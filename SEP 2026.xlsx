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lne\OneDrive\Desktop\cpl-payment-app\"/>
    </mc:Choice>
  </mc:AlternateContent>
  <xr:revisionPtr revIDLastSave="0" documentId="13_ncr:1_{5E0FFC5F-2763-4F70-9BBF-B07FDDAA90F9}" xr6:coauthVersionLast="47" xr6:coauthVersionMax="47" xr10:uidLastSave="{00000000-0000-0000-0000-000000000000}"/>
  <bookViews>
    <workbookView xWindow="-108" yWindow="-108" windowWidth="23256" windowHeight="12456" tabRatio="779" activeTab="1" xr2:uid="{35249704-93DD-46CD-A91B-7B3A76021797}"/>
  </bookViews>
  <sheets>
    <sheet name="WITH DAY" sheetId="111" r:id="rId1"/>
    <sheet name="MASTERLIST" sheetId="109" r:id="rId2"/>
    <sheet name="Sheet1" sheetId="110" r:id="rId3"/>
  </sheets>
  <definedNames>
    <definedName name="_xlnm._FilterDatabase" localSheetId="1" hidden="1">MASTERLIST!#REF!</definedName>
    <definedName name="_xlnm._FilterDatabase" localSheetId="0" hidden="1">'WITH DAY'!$A$2:$X$1138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37" i="109" l="1"/>
  <c r="T1137" i="109" s="1"/>
  <c r="S1136" i="109"/>
  <c r="T1136" i="109" s="1"/>
  <c r="S1135" i="109"/>
  <c r="T1135" i="109" s="1"/>
  <c r="S1134" i="109"/>
  <c r="T1134" i="109" s="1"/>
  <c r="S1133" i="109"/>
  <c r="T1133" i="109" s="1"/>
  <c r="S1132" i="109"/>
  <c r="T1132" i="109" s="1"/>
  <c r="S1131" i="109"/>
  <c r="T1131" i="109" s="1"/>
  <c r="S1130" i="109"/>
  <c r="T1130" i="109" s="1"/>
  <c r="S1129" i="109"/>
  <c r="T1129" i="109" s="1"/>
  <c r="S1128" i="109"/>
  <c r="T1128" i="109" s="1"/>
  <c r="S1127" i="109"/>
  <c r="T1127" i="109" s="1"/>
  <c r="S1126" i="109"/>
  <c r="T1126" i="109" s="1"/>
  <c r="S1125" i="109"/>
  <c r="T1125" i="109" s="1"/>
  <c r="S1124" i="109"/>
  <c r="T1124" i="109" s="1"/>
  <c r="S1123" i="109"/>
  <c r="T1123" i="109" s="1"/>
  <c r="S1122" i="109"/>
  <c r="T1122" i="109" s="1"/>
  <c r="S1121" i="109"/>
  <c r="T1121" i="109" s="1"/>
  <c r="S1120" i="109"/>
  <c r="T1120" i="109" s="1"/>
  <c r="S1119" i="109"/>
  <c r="T1119" i="109" s="1"/>
  <c r="S1118" i="109"/>
  <c r="T1118" i="109" s="1"/>
  <c r="S1117" i="109"/>
  <c r="T1117" i="109" s="1"/>
  <c r="S1116" i="109"/>
  <c r="T1116" i="109" s="1"/>
  <c r="S1115" i="109"/>
  <c r="T1115" i="109" s="1"/>
  <c r="S1114" i="109"/>
  <c r="T1114" i="109" s="1"/>
  <c r="S1113" i="109"/>
  <c r="T1113" i="109" s="1"/>
  <c r="S1112" i="109"/>
  <c r="T1112" i="109" s="1"/>
  <c r="S1111" i="109"/>
  <c r="T1111" i="109" s="1"/>
  <c r="S1110" i="109"/>
  <c r="T1110" i="109" s="1"/>
  <c r="S1109" i="109"/>
  <c r="T1109" i="109" s="1"/>
  <c r="S1108" i="109"/>
  <c r="T1108" i="109" s="1"/>
  <c r="S1107" i="109"/>
  <c r="T1107" i="109" s="1"/>
  <c r="S1106" i="109"/>
  <c r="T1106" i="109" s="1"/>
  <c r="S1105" i="109"/>
  <c r="T1105" i="109" s="1"/>
  <c r="S1104" i="109"/>
  <c r="T1104" i="109" s="1"/>
  <c r="S1103" i="109"/>
  <c r="T1103" i="109" s="1"/>
  <c r="T1099" i="109"/>
  <c r="S1099" i="109"/>
  <c r="S1098" i="109"/>
  <c r="T1098" i="109" s="1"/>
  <c r="T1097" i="109"/>
  <c r="S1097" i="109"/>
  <c r="T1096" i="109"/>
  <c r="S1096" i="109"/>
  <c r="T1095" i="109"/>
  <c r="S1095" i="109"/>
  <c r="S1094" i="109"/>
  <c r="T1094" i="109" s="1"/>
  <c r="T1093" i="109"/>
  <c r="S1093" i="109"/>
  <c r="T1092" i="109"/>
  <c r="S1092" i="109"/>
  <c r="T1091" i="109"/>
  <c r="S1091" i="109"/>
  <c r="S1090" i="109"/>
  <c r="T1090" i="109" s="1"/>
  <c r="T1089" i="109"/>
  <c r="S1089" i="109"/>
  <c r="T1088" i="109"/>
  <c r="S1088" i="109"/>
  <c r="T1087" i="109"/>
  <c r="S1087" i="109"/>
  <c r="S1086" i="109"/>
  <c r="T1086" i="109" s="1"/>
  <c r="T1085" i="109"/>
  <c r="S1085" i="109"/>
  <c r="T1084" i="109"/>
  <c r="S1084" i="109"/>
  <c r="T1083" i="109"/>
  <c r="S1083" i="109"/>
  <c r="S1082" i="109"/>
  <c r="T1082" i="109" s="1"/>
  <c r="T1081" i="109"/>
  <c r="S1081" i="109"/>
  <c r="T1080" i="109"/>
  <c r="S1080" i="109"/>
  <c r="T1079" i="109"/>
  <c r="S1079" i="109"/>
  <c r="S1078" i="109"/>
  <c r="T1078" i="109" s="1"/>
  <c r="T1077" i="109"/>
  <c r="S1077" i="109"/>
  <c r="T1076" i="109"/>
  <c r="S1076" i="109"/>
  <c r="T1075" i="109"/>
  <c r="S1075" i="109"/>
  <c r="S1074" i="109"/>
  <c r="T1074" i="109" s="1"/>
  <c r="T1073" i="109"/>
  <c r="S1073" i="109"/>
  <c r="T1072" i="109"/>
  <c r="S1072" i="109"/>
  <c r="T1071" i="109"/>
  <c r="S1071" i="109"/>
  <c r="S1070" i="109"/>
  <c r="T1070" i="109" s="1"/>
  <c r="T1069" i="109"/>
  <c r="S1069" i="109"/>
  <c r="T1068" i="109"/>
  <c r="S1068" i="109"/>
  <c r="T1067" i="109"/>
  <c r="S1067" i="109"/>
  <c r="S1066" i="109"/>
  <c r="T1066" i="109" s="1"/>
  <c r="S1062" i="109"/>
  <c r="T1062" i="109" s="1"/>
  <c r="S1061" i="109"/>
  <c r="T1061" i="109" s="1"/>
  <c r="S1060" i="109"/>
  <c r="T1060" i="109" s="1"/>
  <c r="S1059" i="109"/>
  <c r="T1059" i="109" s="1"/>
  <c r="S1058" i="109"/>
  <c r="T1058" i="109" s="1"/>
  <c r="S1057" i="109"/>
  <c r="T1057" i="109" s="1"/>
  <c r="S1056" i="109"/>
  <c r="T1056" i="109" s="1"/>
  <c r="S1055" i="109"/>
  <c r="T1055" i="109" s="1"/>
  <c r="S1054" i="109"/>
  <c r="T1054" i="109" s="1"/>
  <c r="S1053" i="109"/>
  <c r="T1053" i="109" s="1"/>
  <c r="S1052" i="109"/>
  <c r="T1052" i="109" s="1"/>
  <c r="S1051" i="109"/>
  <c r="T1051" i="109" s="1"/>
  <c r="S1050" i="109"/>
  <c r="T1050" i="109" s="1"/>
  <c r="S1049" i="109"/>
  <c r="T1049" i="109" s="1"/>
  <c r="S1048" i="109"/>
  <c r="T1048" i="109" s="1"/>
  <c r="S1047" i="109"/>
  <c r="T1047" i="109" s="1"/>
  <c r="S1046" i="109"/>
  <c r="T1046" i="109" s="1"/>
  <c r="S1045" i="109"/>
  <c r="T1045" i="109" s="1"/>
  <c r="S1044" i="109"/>
  <c r="T1044" i="109" s="1"/>
  <c r="S1043" i="109"/>
  <c r="T1043" i="109" s="1"/>
  <c r="S1042" i="109"/>
  <c r="T1042" i="109" s="1"/>
  <c r="S1041" i="109"/>
  <c r="T1041" i="109" s="1"/>
  <c r="S1040" i="109"/>
  <c r="T1040" i="109" s="1"/>
  <c r="S1039" i="109"/>
  <c r="T1039" i="109" s="1"/>
  <c r="S1038" i="109"/>
  <c r="T1038" i="109" s="1"/>
  <c r="S1037" i="109"/>
  <c r="T1037" i="109" s="1"/>
  <c r="S1036" i="109"/>
  <c r="T1036" i="109" s="1"/>
  <c r="S1035" i="109"/>
  <c r="T1035" i="109" s="1"/>
  <c r="S1034" i="109"/>
  <c r="T1034" i="109" s="1"/>
  <c r="S1033" i="109"/>
  <c r="T1033" i="109" s="1"/>
  <c r="S1032" i="109"/>
  <c r="T1032" i="109" s="1"/>
  <c r="S1031" i="109"/>
  <c r="T1031" i="109" s="1"/>
  <c r="S1030" i="109"/>
  <c r="T1030" i="109" s="1"/>
  <c r="S1029" i="109"/>
  <c r="T1029" i="109" s="1"/>
  <c r="S1028" i="109"/>
  <c r="T1028" i="109" s="1"/>
  <c r="S1027" i="109"/>
  <c r="T1027" i="109" s="1"/>
  <c r="T1023" i="109"/>
  <c r="S1023" i="109"/>
  <c r="T1022" i="109"/>
  <c r="S1022" i="109"/>
  <c r="S1021" i="109"/>
  <c r="T1021" i="109" s="1"/>
  <c r="T1020" i="109"/>
  <c r="S1020" i="109"/>
  <c r="T1019" i="109"/>
  <c r="S1019" i="109"/>
  <c r="T1018" i="109"/>
  <c r="S1018" i="109"/>
  <c r="S1017" i="109"/>
  <c r="T1017" i="109" s="1"/>
  <c r="T1016" i="109"/>
  <c r="S1016" i="109"/>
  <c r="T1015" i="109"/>
  <c r="S1015" i="109"/>
  <c r="T1014" i="109"/>
  <c r="S1014" i="109"/>
  <c r="S1013" i="109"/>
  <c r="T1013" i="109" s="1"/>
  <c r="T1012" i="109"/>
  <c r="S1012" i="109"/>
  <c r="T1011" i="109"/>
  <c r="S1011" i="109"/>
  <c r="T1010" i="109"/>
  <c r="S1010" i="109"/>
  <c r="S1009" i="109"/>
  <c r="T1009" i="109" s="1"/>
  <c r="T1008" i="109"/>
  <c r="S1008" i="109"/>
  <c r="T1007" i="109"/>
  <c r="S1007" i="109"/>
  <c r="T1006" i="109"/>
  <c r="S1006" i="109"/>
  <c r="S1005" i="109"/>
  <c r="T1005" i="109" s="1"/>
  <c r="T1004" i="109"/>
  <c r="S1004" i="109"/>
  <c r="T1003" i="109"/>
  <c r="S1003" i="109"/>
  <c r="T1002" i="109"/>
  <c r="S1002" i="109"/>
  <c r="S1001" i="109"/>
  <c r="T1001" i="109" s="1"/>
  <c r="T1000" i="109"/>
  <c r="S1000" i="109"/>
  <c r="T999" i="109"/>
  <c r="S999" i="109"/>
  <c r="T998" i="109"/>
  <c r="S998" i="109"/>
  <c r="S997" i="109"/>
  <c r="T997" i="109" s="1"/>
  <c r="T996" i="109"/>
  <c r="S996" i="109"/>
  <c r="T995" i="109"/>
  <c r="S995" i="109"/>
  <c r="T994" i="109"/>
  <c r="S994" i="109"/>
  <c r="S993" i="109"/>
  <c r="T993" i="109" s="1"/>
  <c r="T992" i="109"/>
  <c r="S992" i="109"/>
  <c r="T991" i="109"/>
  <c r="S991" i="109"/>
  <c r="T990" i="109"/>
  <c r="S990" i="109"/>
  <c r="S989" i="109"/>
  <c r="T989" i="109" s="1"/>
  <c r="T988" i="109"/>
  <c r="S988" i="109"/>
  <c r="T987" i="109"/>
  <c r="S987" i="109"/>
  <c r="T986" i="109"/>
  <c r="S986" i="109"/>
  <c r="S985" i="109"/>
  <c r="T985" i="109" s="1"/>
  <c r="T984" i="109"/>
  <c r="S984" i="109"/>
  <c r="T983" i="109"/>
  <c r="S983" i="109"/>
  <c r="T982" i="109"/>
  <c r="S982" i="109"/>
  <c r="S981" i="109"/>
  <c r="T981" i="109" s="1"/>
  <c r="T980" i="109"/>
  <c r="S980" i="109"/>
  <c r="T979" i="109"/>
  <c r="S979" i="109"/>
  <c r="T978" i="109"/>
  <c r="S978" i="109"/>
  <c r="S977" i="109"/>
  <c r="T977" i="109" s="1"/>
  <c r="T976" i="109"/>
  <c r="S976" i="109"/>
  <c r="T975" i="109"/>
  <c r="S975" i="109"/>
  <c r="T974" i="109"/>
  <c r="S974" i="109"/>
  <c r="S973" i="109"/>
  <c r="T973" i="109" s="1"/>
  <c r="T972" i="109"/>
  <c r="S972" i="109"/>
  <c r="T971" i="109"/>
  <c r="S971" i="109"/>
  <c r="T970" i="109"/>
  <c r="S970" i="109"/>
  <c r="S969" i="109"/>
  <c r="T969" i="109" s="1"/>
  <c r="T968" i="109"/>
  <c r="S968" i="109"/>
  <c r="T967" i="109"/>
  <c r="S967" i="109"/>
  <c r="T966" i="109"/>
  <c r="S966" i="109"/>
  <c r="S965" i="109"/>
  <c r="T965" i="109" s="1"/>
  <c r="T964" i="109"/>
  <c r="S964" i="109"/>
  <c r="T963" i="109"/>
  <c r="S963" i="109"/>
  <c r="T962" i="109"/>
  <c r="S962" i="109"/>
  <c r="S961" i="109"/>
  <c r="T961" i="109" s="1"/>
  <c r="T960" i="109"/>
  <c r="S960" i="109"/>
  <c r="T959" i="109"/>
  <c r="S959" i="109"/>
  <c r="T958" i="109"/>
  <c r="S958" i="109"/>
  <c r="T954" i="109"/>
  <c r="S954" i="109"/>
  <c r="T953" i="109"/>
  <c r="S953" i="109"/>
  <c r="T952" i="109"/>
  <c r="S952" i="109"/>
  <c r="S951" i="109"/>
  <c r="T951" i="109" s="1"/>
  <c r="T950" i="109"/>
  <c r="S950" i="109"/>
  <c r="T949" i="109"/>
  <c r="S949" i="109"/>
  <c r="T948" i="109"/>
  <c r="S948" i="109"/>
  <c r="S947" i="109"/>
  <c r="T947" i="109" s="1"/>
  <c r="T946" i="109"/>
  <c r="S946" i="109"/>
  <c r="T945" i="109"/>
  <c r="S945" i="109"/>
  <c r="T944" i="109"/>
  <c r="S944" i="109"/>
  <c r="S943" i="109"/>
  <c r="T943" i="109" s="1"/>
  <c r="T942" i="109"/>
  <c r="S942" i="109"/>
  <c r="T941" i="109"/>
  <c r="S941" i="109"/>
  <c r="S940" i="109"/>
  <c r="T940" i="109" s="1"/>
  <c r="S939" i="109"/>
  <c r="T939" i="109" s="1"/>
  <c r="S938" i="109"/>
  <c r="T938" i="109" s="1"/>
  <c r="S937" i="109"/>
  <c r="T937" i="109" s="1"/>
  <c r="S936" i="109"/>
  <c r="T936" i="109" s="1"/>
  <c r="S935" i="109"/>
  <c r="T935" i="109" s="1"/>
  <c r="S934" i="109"/>
  <c r="T934" i="109" s="1"/>
  <c r="S933" i="109"/>
  <c r="T933" i="109" s="1"/>
  <c r="S932" i="109"/>
  <c r="T932" i="109" s="1"/>
  <c r="S931" i="109"/>
  <c r="T931" i="109" s="1"/>
  <c r="S930" i="109"/>
  <c r="T930" i="109" s="1"/>
  <c r="S929" i="109"/>
  <c r="T929" i="109" s="1"/>
  <c r="S928" i="109"/>
  <c r="T928" i="109" s="1"/>
  <c r="S927" i="109"/>
  <c r="T927" i="109" s="1"/>
  <c r="S926" i="109"/>
  <c r="T926" i="109" s="1"/>
  <c r="S925" i="109"/>
  <c r="T925" i="109" s="1"/>
  <c r="S924" i="109"/>
  <c r="T924" i="109" s="1"/>
  <c r="S923" i="109"/>
  <c r="T923" i="109" s="1"/>
  <c r="S922" i="109"/>
  <c r="T922" i="109" s="1"/>
  <c r="S921" i="109"/>
  <c r="T921" i="109" s="1"/>
  <c r="T917" i="109"/>
  <c r="S917" i="109"/>
  <c r="T916" i="109"/>
  <c r="S916" i="109"/>
  <c r="T915" i="109"/>
  <c r="S915" i="109"/>
  <c r="S914" i="109"/>
  <c r="T914" i="109" s="1"/>
  <c r="T913" i="109"/>
  <c r="S913" i="109"/>
  <c r="T912" i="109"/>
  <c r="S912" i="109"/>
  <c r="T911" i="109"/>
  <c r="S911" i="109"/>
  <c r="S910" i="109"/>
  <c r="T910" i="109" s="1"/>
  <c r="T909" i="109"/>
  <c r="S909" i="109"/>
  <c r="T908" i="109"/>
  <c r="S908" i="109"/>
  <c r="T907" i="109"/>
  <c r="S907" i="109"/>
  <c r="S906" i="109"/>
  <c r="T906" i="109" s="1"/>
  <c r="S905" i="109"/>
  <c r="T905" i="109" s="1"/>
  <c r="S904" i="109"/>
  <c r="T904" i="109" s="1"/>
  <c r="T903" i="109"/>
  <c r="S903" i="109"/>
  <c r="S902" i="109"/>
  <c r="T902" i="109" s="1"/>
  <c r="S901" i="109"/>
  <c r="T901" i="109" s="1"/>
  <c r="S900" i="109"/>
  <c r="T900" i="109" s="1"/>
  <c r="T899" i="109"/>
  <c r="S899" i="109"/>
  <c r="S898" i="109"/>
  <c r="T898" i="109" s="1"/>
  <c r="S897" i="109"/>
  <c r="T897" i="109" s="1"/>
  <c r="S896" i="109"/>
  <c r="T896" i="109" s="1"/>
  <c r="T895" i="109"/>
  <c r="S895" i="109"/>
  <c r="S894" i="109"/>
  <c r="T894" i="109" s="1"/>
  <c r="S893" i="109"/>
  <c r="T893" i="109" s="1"/>
  <c r="S892" i="109"/>
  <c r="T892" i="109" s="1"/>
  <c r="T891" i="109"/>
  <c r="S891" i="109"/>
  <c r="S890" i="109"/>
  <c r="T890" i="109" s="1"/>
  <c r="S889" i="109"/>
  <c r="T889" i="109" s="1"/>
  <c r="S888" i="109"/>
  <c r="T888" i="109" s="1"/>
  <c r="T887" i="109"/>
  <c r="S887" i="109"/>
  <c r="T886" i="109"/>
  <c r="S886" i="109"/>
  <c r="T885" i="109"/>
  <c r="S885" i="109"/>
  <c r="T884" i="109"/>
  <c r="S884" i="109"/>
  <c r="S883" i="109"/>
  <c r="T883" i="109" s="1"/>
  <c r="T882" i="109"/>
  <c r="S882" i="109"/>
  <c r="T881" i="109"/>
  <c r="S881" i="109"/>
  <c r="T880" i="109"/>
  <c r="S880" i="109"/>
  <c r="S879" i="109"/>
  <c r="T879" i="109" s="1"/>
  <c r="T878" i="109"/>
  <c r="S878" i="109"/>
  <c r="T877" i="109"/>
  <c r="S877" i="109"/>
  <c r="T876" i="109"/>
  <c r="S876" i="109"/>
  <c r="S875" i="109"/>
  <c r="T875" i="109" s="1"/>
  <c r="T874" i="109"/>
  <c r="S874" i="109"/>
  <c r="T873" i="109"/>
  <c r="S873" i="109"/>
  <c r="T872" i="109"/>
  <c r="S872" i="109"/>
  <c r="S871" i="109"/>
  <c r="T871" i="109" s="1"/>
  <c r="T870" i="109"/>
  <c r="S870" i="109"/>
  <c r="T869" i="109"/>
  <c r="S869" i="109"/>
  <c r="T868" i="109"/>
  <c r="S868" i="109"/>
  <c r="S867" i="109"/>
  <c r="T867" i="109" s="1"/>
  <c r="S863" i="109"/>
  <c r="T863" i="109" s="1"/>
  <c r="S862" i="109"/>
  <c r="T862" i="109" s="1"/>
  <c r="T861" i="109"/>
  <c r="S861" i="109"/>
  <c r="S860" i="109"/>
  <c r="T860" i="109" s="1"/>
  <c r="S859" i="109"/>
  <c r="T859" i="109" s="1"/>
  <c r="S858" i="109"/>
  <c r="T858" i="109" s="1"/>
  <c r="T857" i="109"/>
  <c r="S857" i="109"/>
  <c r="S856" i="109"/>
  <c r="T856" i="109" s="1"/>
  <c r="S855" i="109"/>
  <c r="T855" i="109" s="1"/>
  <c r="S854" i="109"/>
  <c r="T854" i="109" s="1"/>
  <c r="T853" i="109"/>
  <c r="S853" i="109"/>
  <c r="S852" i="109"/>
  <c r="T852" i="109" s="1"/>
  <c r="S851" i="109"/>
  <c r="T851" i="109" s="1"/>
  <c r="S850" i="109"/>
  <c r="T850" i="109" s="1"/>
  <c r="S846" i="109"/>
  <c r="T846" i="109" s="1"/>
  <c r="T845" i="109"/>
  <c r="S845" i="109"/>
  <c r="T844" i="109"/>
  <c r="S844" i="109"/>
  <c r="T843" i="109"/>
  <c r="S843" i="109"/>
  <c r="S842" i="109"/>
  <c r="T842" i="109" s="1"/>
  <c r="T841" i="109"/>
  <c r="S841" i="109"/>
  <c r="T840" i="109"/>
  <c r="S840" i="109"/>
  <c r="T839" i="109"/>
  <c r="S839" i="109"/>
  <c r="S838" i="109"/>
  <c r="T838" i="109" s="1"/>
  <c r="T837" i="109"/>
  <c r="S837" i="109"/>
  <c r="S833" i="109"/>
  <c r="T833" i="109" s="1"/>
  <c r="T832" i="109"/>
  <c r="S832" i="109"/>
  <c r="S831" i="109"/>
  <c r="T831" i="109" s="1"/>
  <c r="S830" i="109"/>
  <c r="T830" i="109" s="1"/>
  <c r="S829" i="109"/>
  <c r="T829" i="109" s="1"/>
  <c r="T828" i="109"/>
  <c r="S828" i="109"/>
  <c r="S827" i="109"/>
  <c r="T827" i="109" s="1"/>
  <c r="S826" i="109"/>
  <c r="T826" i="109" s="1"/>
  <c r="S825" i="109"/>
  <c r="T825" i="109" s="1"/>
  <c r="T824" i="109"/>
  <c r="S824" i="109"/>
  <c r="S823" i="109"/>
  <c r="T823" i="109" s="1"/>
  <c r="S822" i="109"/>
  <c r="T822" i="109" s="1"/>
  <c r="S821" i="109"/>
  <c r="T821" i="109" s="1"/>
  <c r="T820" i="109"/>
  <c r="S820" i="109"/>
  <c r="S819" i="109"/>
  <c r="T819" i="109" s="1"/>
  <c r="S818" i="109"/>
  <c r="T818" i="109" s="1"/>
  <c r="S817" i="109"/>
  <c r="T817" i="109" s="1"/>
  <c r="T816" i="109"/>
  <c r="S816" i="109"/>
  <c r="S815" i="109"/>
  <c r="T815" i="109" s="1"/>
  <c r="S814" i="109"/>
  <c r="T814" i="109" s="1"/>
  <c r="S813" i="109"/>
  <c r="T813" i="109" s="1"/>
  <c r="T812" i="109"/>
  <c r="S812" i="109"/>
  <c r="S811" i="109"/>
  <c r="T811" i="109" s="1"/>
  <c r="S810" i="109"/>
  <c r="T810" i="109" s="1"/>
  <c r="S809" i="109"/>
  <c r="T809" i="109" s="1"/>
  <c r="T808" i="109"/>
  <c r="S808" i="109"/>
  <c r="S807" i="109"/>
  <c r="T807" i="109" s="1"/>
  <c r="S806" i="109"/>
  <c r="T806" i="109" s="1"/>
  <c r="S805" i="109"/>
  <c r="T805" i="109" s="1"/>
  <c r="T804" i="109"/>
  <c r="S804" i="109"/>
  <c r="S803" i="109"/>
  <c r="T803" i="109" s="1"/>
  <c r="S802" i="109"/>
  <c r="T802" i="109" s="1"/>
  <c r="S801" i="109"/>
  <c r="T801" i="109" s="1"/>
  <c r="T800" i="109"/>
  <c r="S800" i="109"/>
  <c r="S799" i="109"/>
  <c r="T799" i="109" s="1"/>
  <c r="S798" i="109"/>
  <c r="T798" i="109" s="1"/>
  <c r="S797" i="109"/>
  <c r="T797" i="109" s="1"/>
  <c r="S796" i="109"/>
  <c r="T796" i="109" s="1"/>
  <c r="S795" i="109"/>
  <c r="T795" i="109" s="1"/>
  <c r="S794" i="109"/>
  <c r="T794" i="109" s="1"/>
  <c r="S793" i="109"/>
  <c r="T793" i="109" s="1"/>
  <c r="S792" i="109"/>
  <c r="T792" i="109" s="1"/>
  <c r="S791" i="109"/>
  <c r="T791" i="109" s="1"/>
  <c r="S790" i="109"/>
  <c r="T790" i="109" s="1"/>
  <c r="S789" i="109"/>
  <c r="T789" i="109" s="1"/>
  <c r="S788" i="109"/>
  <c r="T788" i="109" s="1"/>
  <c r="S787" i="109"/>
  <c r="T787" i="109" s="1"/>
  <c r="S786" i="109"/>
  <c r="T786" i="109" s="1"/>
  <c r="S785" i="109"/>
  <c r="T785" i="109" s="1"/>
  <c r="S784" i="109"/>
  <c r="T784" i="109" s="1"/>
  <c r="T783" i="109"/>
  <c r="S783" i="109"/>
  <c r="S782" i="109"/>
  <c r="T782" i="109" s="1"/>
  <c r="S781" i="109"/>
  <c r="T781" i="109" s="1"/>
  <c r="S780" i="109"/>
  <c r="T780" i="109" s="1"/>
  <c r="T779" i="109"/>
  <c r="S779" i="109"/>
  <c r="S778" i="109"/>
  <c r="T778" i="109" s="1"/>
  <c r="S777" i="109"/>
  <c r="T777" i="109" s="1"/>
  <c r="S776" i="109"/>
  <c r="T776" i="109" s="1"/>
  <c r="T775" i="109"/>
  <c r="S775" i="109"/>
  <c r="S774" i="109"/>
  <c r="T774" i="109" s="1"/>
  <c r="S773" i="109"/>
  <c r="T773" i="109" s="1"/>
  <c r="S772" i="109"/>
  <c r="T772" i="109" s="1"/>
  <c r="S771" i="109"/>
  <c r="T771" i="109" s="1"/>
  <c r="S770" i="109"/>
  <c r="T770" i="109" s="1"/>
  <c r="S769" i="109"/>
  <c r="T769" i="109" s="1"/>
  <c r="S768" i="109"/>
  <c r="T768" i="109" s="1"/>
  <c r="T767" i="109"/>
  <c r="S767" i="109"/>
  <c r="S766" i="109"/>
  <c r="T766" i="109" s="1"/>
  <c r="S765" i="109"/>
  <c r="T765" i="109" s="1"/>
  <c r="S764" i="109"/>
  <c r="T764" i="109" s="1"/>
  <c r="S763" i="109"/>
  <c r="T763" i="109" s="1"/>
  <c r="S762" i="109"/>
  <c r="T762" i="109" s="1"/>
  <c r="S761" i="109"/>
  <c r="T761" i="109" s="1"/>
  <c r="S760" i="109"/>
  <c r="T760" i="109" s="1"/>
  <c r="S759" i="109"/>
  <c r="T759" i="109" s="1"/>
  <c r="S758" i="109"/>
  <c r="T758" i="109" s="1"/>
  <c r="S757" i="109"/>
  <c r="T757" i="109" s="1"/>
  <c r="S756" i="109"/>
  <c r="T756" i="109" s="1"/>
  <c r="S755" i="109"/>
  <c r="T755" i="109" s="1"/>
  <c r="S754" i="109"/>
  <c r="T754" i="109" s="1"/>
  <c r="S753" i="109"/>
  <c r="T753" i="109" s="1"/>
  <c r="S752" i="109"/>
  <c r="T752" i="109" s="1"/>
  <c r="T751" i="109"/>
  <c r="S751" i="109"/>
  <c r="S750" i="109"/>
  <c r="T750" i="109" s="1"/>
  <c r="S749" i="109"/>
  <c r="T749" i="109" s="1"/>
  <c r="S748" i="109"/>
  <c r="T748" i="109" s="1"/>
  <c r="T747" i="109"/>
  <c r="S747" i="109"/>
  <c r="S746" i="109"/>
  <c r="T746" i="109" s="1"/>
  <c r="S745" i="109"/>
  <c r="T745" i="109" s="1"/>
  <c r="S744" i="109"/>
  <c r="T744" i="109" s="1"/>
  <c r="T743" i="109"/>
  <c r="S743" i="109"/>
  <c r="S742" i="109"/>
  <c r="T742" i="109" s="1"/>
  <c r="S741" i="109"/>
  <c r="T741" i="109" s="1"/>
  <c r="S740" i="109"/>
  <c r="T740" i="109" s="1"/>
  <c r="T736" i="109"/>
  <c r="S736" i="109"/>
  <c r="T735" i="109"/>
  <c r="S735" i="109"/>
  <c r="T734" i="109"/>
  <c r="S734" i="109"/>
  <c r="S733" i="109"/>
  <c r="T733" i="109" s="1"/>
  <c r="T732" i="109"/>
  <c r="S732" i="109"/>
  <c r="T731" i="109"/>
  <c r="S731" i="109"/>
  <c r="T730" i="109"/>
  <c r="S730" i="109"/>
  <c r="S729" i="109"/>
  <c r="T729" i="109" s="1"/>
  <c r="T728" i="109"/>
  <c r="S728" i="109"/>
  <c r="T727" i="109"/>
  <c r="S727" i="109"/>
  <c r="T726" i="109"/>
  <c r="S726" i="109"/>
  <c r="S725" i="109"/>
  <c r="T725" i="109" s="1"/>
  <c r="T724" i="109"/>
  <c r="S724" i="109"/>
  <c r="T723" i="109"/>
  <c r="S723" i="109"/>
  <c r="T722" i="109"/>
  <c r="S722" i="109"/>
  <c r="S721" i="109"/>
  <c r="T721" i="109" s="1"/>
  <c r="T720" i="109"/>
  <c r="S720" i="109"/>
  <c r="T719" i="109"/>
  <c r="S719" i="109"/>
  <c r="T718" i="109"/>
  <c r="S718" i="109"/>
  <c r="S717" i="109"/>
  <c r="T717" i="109" s="1"/>
  <c r="T716" i="109"/>
  <c r="S716" i="109"/>
  <c r="T715" i="109"/>
  <c r="S715" i="109"/>
  <c r="T714" i="109"/>
  <c r="S714" i="109"/>
  <c r="S713" i="109"/>
  <c r="T713" i="109" s="1"/>
  <c r="T712" i="109"/>
  <c r="S712" i="109"/>
  <c r="T711" i="109"/>
  <c r="S711" i="109"/>
  <c r="T710" i="109"/>
  <c r="S710" i="109"/>
  <c r="S709" i="109"/>
  <c r="T709" i="109" s="1"/>
  <c r="T708" i="109"/>
  <c r="S708" i="109"/>
  <c r="T707" i="109"/>
  <c r="S707" i="109"/>
  <c r="T706" i="109"/>
  <c r="S706" i="109"/>
  <c r="S705" i="109"/>
  <c r="T705" i="109" s="1"/>
  <c r="T704" i="109"/>
  <c r="S704" i="109"/>
  <c r="T703" i="109"/>
  <c r="T737" i="109" s="1"/>
  <c r="S703" i="109"/>
  <c r="S699" i="109"/>
  <c r="T699" i="109" s="1"/>
  <c r="T698" i="109"/>
  <c r="S698" i="109"/>
  <c r="S697" i="109"/>
  <c r="T697" i="109" s="1"/>
  <c r="S696" i="109"/>
  <c r="T696" i="109" s="1"/>
  <c r="S695" i="109"/>
  <c r="T695" i="109" s="1"/>
  <c r="T694" i="109"/>
  <c r="S694" i="109"/>
  <c r="S693" i="109"/>
  <c r="T693" i="109" s="1"/>
  <c r="S692" i="109"/>
  <c r="T692" i="109" s="1"/>
  <c r="S691" i="109"/>
  <c r="T691" i="109" s="1"/>
  <c r="S690" i="109"/>
  <c r="T690" i="109" s="1"/>
  <c r="S689" i="109"/>
  <c r="T689" i="109" s="1"/>
  <c r="S688" i="109"/>
  <c r="T688" i="109" s="1"/>
  <c r="S687" i="109"/>
  <c r="T687" i="109" s="1"/>
  <c r="T686" i="109"/>
  <c r="S686" i="109"/>
  <c r="S685" i="109"/>
  <c r="T685" i="109" s="1"/>
  <c r="S684" i="109"/>
  <c r="T684" i="109" s="1"/>
  <c r="S683" i="109"/>
  <c r="T683" i="109" s="1"/>
  <c r="S682" i="109"/>
  <c r="T682" i="109" s="1"/>
  <c r="S681" i="109"/>
  <c r="T681" i="109" s="1"/>
  <c r="S680" i="109"/>
  <c r="T680" i="109" s="1"/>
  <c r="S679" i="109"/>
  <c r="T679" i="109" s="1"/>
  <c r="S678" i="109"/>
  <c r="T678" i="109" s="1"/>
  <c r="S677" i="109"/>
  <c r="T677" i="109" s="1"/>
  <c r="S676" i="109"/>
  <c r="T676" i="109" s="1"/>
  <c r="S675" i="109"/>
  <c r="T675" i="109" s="1"/>
  <c r="S674" i="109"/>
  <c r="T674" i="109" s="1"/>
  <c r="S673" i="109"/>
  <c r="T673" i="109" s="1"/>
  <c r="S672" i="109"/>
  <c r="T672" i="109" s="1"/>
  <c r="S671" i="109"/>
  <c r="T671" i="109" s="1"/>
  <c r="T670" i="109"/>
  <c r="S670" i="109"/>
  <c r="S669" i="109"/>
  <c r="T669" i="109" s="1"/>
  <c r="T665" i="109"/>
  <c r="S665" i="109"/>
  <c r="S664" i="109"/>
  <c r="T664" i="109" s="1"/>
  <c r="T663" i="109"/>
  <c r="S663" i="109"/>
  <c r="T662" i="109"/>
  <c r="S662" i="109"/>
  <c r="T661" i="109"/>
  <c r="S661" i="109"/>
  <c r="S660" i="109"/>
  <c r="T660" i="109" s="1"/>
  <c r="T659" i="109"/>
  <c r="S659" i="109"/>
  <c r="T658" i="109"/>
  <c r="S658" i="109"/>
  <c r="T657" i="109"/>
  <c r="S657" i="109"/>
  <c r="S656" i="109"/>
  <c r="T656" i="109" s="1"/>
  <c r="T655" i="109"/>
  <c r="S655" i="109"/>
  <c r="T654" i="109"/>
  <c r="S654" i="109"/>
  <c r="T653" i="109"/>
  <c r="S653" i="109"/>
  <c r="S652" i="109"/>
  <c r="T652" i="109" s="1"/>
  <c r="T651" i="109"/>
  <c r="S651" i="109"/>
  <c r="T650" i="109"/>
  <c r="S650" i="109"/>
  <c r="T649" i="109"/>
  <c r="S649" i="109"/>
  <c r="S648" i="109"/>
  <c r="T648" i="109" s="1"/>
  <c r="T647" i="109"/>
  <c r="S647" i="109"/>
  <c r="T646" i="109"/>
  <c r="S646" i="109"/>
  <c r="T645" i="109"/>
  <c r="S645" i="109"/>
  <c r="S644" i="109"/>
  <c r="T644" i="109" s="1"/>
  <c r="T643" i="109"/>
  <c r="S643" i="109"/>
  <c r="T642" i="109"/>
  <c r="S642" i="109"/>
  <c r="T641" i="109"/>
  <c r="S641" i="109"/>
  <c r="S640" i="109"/>
  <c r="T640" i="109" s="1"/>
  <c r="T639" i="109"/>
  <c r="S639" i="109"/>
  <c r="T638" i="109"/>
  <c r="S638" i="109"/>
  <c r="T637" i="109"/>
  <c r="S637" i="109"/>
  <c r="S636" i="109"/>
  <c r="T636" i="109" s="1"/>
  <c r="S632" i="109"/>
  <c r="T632" i="109" s="1"/>
  <c r="S631" i="109"/>
  <c r="T631" i="109" s="1"/>
  <c r="S630" i="109"/>
  <c r="T630" i="109" s="1"/>
  <c r="S629" i="109"/>
  <c r="T629" i="109" s="1"/>
  <c r="S628" i="109"/>
  <c r="T628" i="109" s="1"/>
  <c r="S627" i="109"/>
  <c r="T627" i="109" s="1"/>
  <c r="S626" i="109"/>
  <c r="T626" i="109" s="1"/>
  <c r="T625" i="109"/>
  <c r="S625" i="109"/>
  <c r="S624" i="109"/>
  <c r="T624" i="109" s="1"/>
  <c r="S623" i="109"/>
  <c r="T623" i="109" s="1"/>
  <c r="S622" i="109"/>
  <c r="T622" i="109" s="1"/>
  <c r="T621" i="109"/>
  <c r="S621" i="109"/>
  <c r="S620" i="109"/>
  <c r="T620" i="109" s="1"/>
  <c r="S619" i="109"/>
  <c r="T619" i="109" s="1"/>
  <c r="S618" i="109"/>
  <c r="T618" i="109" s="1"/>
  <c r="T617" i="109"/>
  <c r="S617" i="109"/>
  <c r="S616" i="109"/>
  <c r="T616" i="109" s="1"/>
  <c r="S615" i="109"/>
  <c r="T615" i="109" s="1"/>
  <c r="S614" i="109"/>
  <c r="T614" i="109" s="1"/>
  <c r="S613" i="109"/>
  <c r="T613" i="109" s="1"/>
  <c r="S612" i="109"/>
  <c r="T612" i="109" s="1"/>
  <c r="S611" i="109"/>
  <c r="T611" i="109" s="1"/>
  <c r="S610" i="109"/>
  <c r="T610" i="109" s="1"/>
  <c r="T609" i="109"/>
  <c r="S609" i="109"/>
  <c r="S608" i="109"/>
  <c r="T608" i="109" s="1"/>
  <c r="S607" i="109"/>
  <c r="T607" i="109" s="1"/>
  <c r="S606" i="109"/>
  <c r="T606" i="109" s="1"/>
  <c r="S605" i="109"/>
  <c r="T605" i="109" s="1"/>
  <c r="S604" i="109"/>
  <c r="T604" i="109" s="1"/>
  <c r="S603" i="109"/>
  <c r="T603" i="109" s="1"/>
  <c r="S602" i="109"/>
  <c r="T602" i="109" s="1"/>
  <c r="S601" i="109"/>
  <c r="T601" i="109" s="1"/>
  <c r="S600" i="109"/>
  <c r="T600" i="109" s="1"/>
  <c r="S599" i="109"/>
  <c r="T599" i="109" s="1"/>
  <c r="S598" i="109"/>
  <c r="T598" i="109" s="1"/>
  <c r="S597" i="109"/>
  <c r="T597" i="109" s="1"/>
  <c r="S596" i="109"/>
  <c r="T596" i="109" s="1"/>
  <c r="S595" i="109"/>
  <c r="T595" i="109" s="1"/>
  <c r="S594" i="109"/>
  <c r="T594" i="109" s="1"/>
  <c r="T593" i="109"/>
  <c r="S593" i="109"/>
  <c r="T589" i="109"/>
  <c r="S589" i="109"/>
  <c r="T588" i="109"/>
  <c r="S588" i="109"/>
  <c r="S587" i="109"/>
  <c r="T587" i="109" s="1"/>
  <c r="T586" i="109"/>
  <c r="S586" i="109"/>
  <c r="T585" i="109"/>
  <c r="S585" i="109"/>
  <c r="T584" i="109"/>
  <c r="S584" i="109"/>
  <c r="S583" i="109"/>
  <c r="T583" i="109" s="1"/>
  <c r="T582" i="109"/>
  <c r="S582" i="109"/>
  <c r="T581" i="109"/>
  <c r="S581" i="109"/>
  <c r="T580" i="109"/>
  <c r="S580" i="109"/>
  <c r="S579" i="109"/>
  <c r="T579" i="109" s="1"/>
  <c r="T578" i="109"/>
  <c r="S578" i="109"/>
  <c r="T577" i="109"/>
  <c r="S577" i="109"/>
  <c r="T576" i="109"/>
  <c r="S576" i="109"/>
  <c r="S575" i="109"/>
  <c r="T575" i="109" s="1"/>
  <c r="T574" i="109"/>
  <c r="S574" i="109"/>
  <c r="T573" i="109"/>
  <c r="S573" i="109"/>
  <c r="T572" i="109"/>
  <c r="S572" i="109"/>
  <c r="S571" i="109"/>
  <c r="T571" i="109" s="1"/>
  <c r="T570" i="109"/>
  <c r="S570" i="109"/>
  <c r="T569" i="109"/>
  <c r="S569" i="109"/>
  <c r="T568" i="109"/>
  <c r="S568" i="109"/>
  <c r="S567" i="109"/>
  <c r="T567" i="109" s="1"/>
  <c r="T566" i="109"/>
  <c r="S566" i="109"/>
  <c r="T565" i="109"/>
  <c r="S565" i="109"/>
  <c r="T564" i="109"/>
  <c r="S564" i="109"/>
  <c r="S563" i="109"/>
  <c r="T563" i="109" s="1"/>
  <c r="T562" i="109"/>
  <c r="S562" i="109"/>
  <c r="T561" i="109"/>
  <c r="S561" i="109"/>
  <c r="T560" i="109"/>
  <c r="S560" i="109"/>
  <c r="S559" i="109"/>
  <c r="T559" i="109" s="1"/>
  <c r="T558" i="109"/>
  <c r="S558" i="109"/>
  <c r="T557" i="109"/>
  <c r="S557" i="109"/>
  <c r="T556" i="109"/>
  <c r="S556" i="109"/>
  <c r="S555" i="109"/>
  <c r="T555" i="109" s="1"/>
  <c r="T554" i="109"/>
  <c r="S554" i="109"/>
  <c r="T553" i="109"/>
  <c r="S553" i="109"/>
  <c r="T552" i="109"/>
  <c r="S552" i="109"/>
  <c r="S551" i="109"/>
  <c r="T551" i="109" s="1"/>
  <c r="T550" i="109"/>
  <c r="S550" i="109"/>
  <c r="T549" i="109"/>
  <c r="S549" i="109"/>
  <c r="T548" i="109"/>
  <c r="S548" i="109"/>
  <c r="S547" i="109"/>
  <c r="T547" i="109" s="1"/>
  <c r="T546" i="109"/>
  <c r="S546" i="109"/>
  <c r="T545" i="109"/>
  <c r="S545" i="109"/>
  <c r="T544" i="109"/>
  <c r="S544" i="109"/>
  <c r="S543" i="109"/>
  <c r="T543" i="109" s="1"/>
  <c r="T542" i="109"/>
  <c r="S542" i="109"/>
  <c r="T541" i="109"/>
  <c r="S541" i="109"/>
  <c r="T540" i="109"/>
  <c r="S540" i="109"/>
  <c r="S539" i="109"/>
  <c r="T539" i="109" s="1"/>
  <c r="T538" i="109"/>
  <c r="S538" i="109"/>
  <c r="T537" i="109"/>
  <c r="S537" i="109"/>
  <c r="T536" i="109"/>
  <c r="S536" i="109"/>
  <c r="S535" i="109"/>
  <c r="T535" i="109" s="1"/>
  <c r="T534" i="109"/>
  <c r="S534" i="109"/>
  <c r="T533" i="109"/>
  <c r="S533" i="109"/>
  <c r="T532" i="109"/>
  <c r="S532" i="109"/>
  <c r="S531" i="109"/>
  <c r="T531" i="109" s="1"/>
  <c r="T530" i="109"/>
  <c r="S530" i="109"/>
  <c r="T529" i="109"/>
  <c r="S529" i="109"/>
  <c r="S525" i="109"/>
  <c r="T525" i="109" s="1"/>
  <c r="S524" i="109"/>
  <c r="T524" i="109" s="1"/>
  <c r="S523" i="109"/>
  <c r="T523" i="109" s="1"/>
  <c r="S522" i="109"/>
  <c r="T522" i="109" s="1"/>
  <c r="S521" i="109"/>
  <c r="T521" i="109" s="1"/>
  <c r="T520" i="109"/>
  <c r="S520" i="109"/>
  <c r="S519" i="109"/>
  <c r="T519" i="109" s="1"/>
  <c r="S518" i="109"/>
  <c r="T518" i="109" s="1"/>
  <c r="S517" i="109"/>
  <c r="T517" i="109" s="1"/>
  <c r="S516" i="109"/>
  <c r="T516" i="109" s="1"/>
  <c r="S515" i="109"/>
  <c r="T515" i="109" s="1"/>
  <c r="S514" i="109"/>
  <c r="T514" i="109" s="1"/>
  <c r="S513" i="109"/>
  <c r="T513" i="109" s="1"/>
  <c r="S512" i="109"/>
  <c r="T512" i="109" s="1"/>
  <c r="S511" i="109"/>
  <c r="T511" i="109" s="1"/>
  <c r="S510" i="109"/>
  <c r="T510" i="109" s="1"/>
  <c r="T506" i="109"/>
  <c r="S506" i="109"/>
  <c r="T505" i="109"/>
  <c r="S505" i="109"/>
  <c r="T504" i="109"/>
  <c r="S504" i="109"/>
  <c r="T503" i="109"/>
  <c r="S503" i="109"/>
  <c r="T502" i="109"/>
  <c r="S502" i="109"/>
  <c r="T501" i="109"/>
  <c r="S501" i="109"/>
  <c r="T500" i="109"/>
  <c r="S500" i="109"/>
  <c r="T499" i="109"/>
  <c r="S499" i="109"/>
  <c r="T498" i="109"/>
  <c r="S498" i="109"/>
  <c r="T497" i="109"/>
  <c r="S497" i="109"/>
  <c r="T496" i="109"/>
  <c r="S496" i="109"/>
  <c r="T495" i="109"/>
  <c r="S495" i="109"/>
  <c r="T494" i="109"/>
  <c r="S494" i="109"/>
  <c r="T493" i="109"/>
  <c r="S493" i="109"/>
  <c r="T492" i="109"/>
  <c r="S492" i="109"/>
  <c r="T491" i="109"/>
  <c r="S491" i="109"/>
  <c r="T490" i="109"/>
  <c r="S490" i="109"/>
  <c r="T489" i="109"/>
  <c r="S489" i="109"/>
  <c r="T488" i="109"/>
  <c r="S488" i="109"/>
  <c r="T487" i="109"/>
  <c r="S487" i="109"/>
  <c r="T486" i="109"/>
  <c r="S486" i="109"/>
  <c r="T485" i="109"/>
  <c r="S485" i="109"/>
  <c r="T484" i="109"/>
  <c r="S484" i="109"/>
  <c r="T483" i="109"/>
  <c r="S483" i="109"/>
  <c r="T482" i="109"/>
  <c r="S482" i="109"/>
  <c r="T481" i="109"/>
  <c r="S481" i="109"/>
  <c r="T480" i="109"/>
  <c r="S480" i="109"/>
  <c r="T479" i="109"/>
  <c r="S479" i="109"/>
  <c r="T478" i="109"/>
  <c r="S478" i="109"/>
  <c r="T477" i="109"/>
  <c r="S477" i="109"/>
  <c r="T476" i="109"/>
  <c r="S476" i="109"/>
  <c r="T475" i="109"/>
  <c r="S475" i="109"/>
  <c r="T474" i="109"/>
  <c r="S474" i="109"/>
  <c r="S470" i="109"/>
  <c r="T470" i="109" s="1"/>
  <c r="S469" i="109"/>
  <c r="T469" i="109" s="1"/>
  <c r="S468" i="109"/>
  <c r="T468" i="109" s="1"/>
  <c r="T467" i="109"/>
  <c r="S467" i="109"/>
  <c r="S466" i="109"/>
  <c r="T466" i="109" s="1"/>
  <c r="S465" i="109"/>
  <c r="T465" i="109" s="1"/>
  <c r="S464" i="109"/>
  <c r="T464" i="109" s="1"/>
  <c r="S463" i="109"/>
  <c r="T463" i="109" s="1"/>
  <c r="S462" i="109"/>
  <c r="T462" i="109" s="1"/>
  <c r="S461" i="109"/>
  <c r="T461" i="109" s="1"/>
  <c r="S460" i="109"/>
  <c r="T460" i="109" s="1"/>
  <c r="T459" i="109"/>
  <c r="S459" i="109"/>
  <c r="S458" i="109"/>
  <c r="T458" i="109" s="1"/>
  <c r="S457" i="109"/>
  <c r="T457" i="109" s="1"/>
  <c r="S456" i="109"/>
  <c r="T456" i="109" s="1"/>
  <c r="S455" i="109"/>
  <c r="T455" i="109" s="1"/>
  <c r="S454" i="109"/>
  <c r="T454" i="109" s="1"/>
  <c r="S453" i="109"/>
  <c r="T453" i="109" s="1"/>
  <c r="S452" i="109"/>
  <c r="T452" i="109" s="1"/>
  <c r="T451" i="109"/>
  <c r="S451" i="109"/>
  <c r="S450" i="109"/>
  <c r="T450" i="109" s="1"/>
  <c r="S449" i="109"/>
  <c r="T449" i="109" s="1"/>
  <c r="S448" i="109"/>
  <c r="T448" i="109" s="1"/>
  <c r="S447" i="109"/>
  <c r="T447" i="109" s="1"/>
  <c r="T446" i="109"/>
  <c r="S446" i="109"/>
  <c r="S445" i="109"/>
  <c r="T445" i="109" s="1"/>
  <c r="S444" i="109"/>
  <c r="T444" i="109" s="1"/>
  <c r="T443" i="109"/>
  <c r="S443" i="109"/>
  <c r="T442" i="109"/>
  <c r="S442" i="109"/>
  <c r="T441" i="109"/>
  <c r="S441" i="109"/>
  <c r="S440" i="109"/>
  <c r="T440" i="109" s="1"/>
  <c r="S439" i="109"/>
  <c r="T439" i="109" s="1"/>
  <c r="S438" i="109"/>
  <c r="T438" i="109" s="1"/>
  <c r="T437" i="109"/>
  <c r="S437" i="109"/>
  <c r="S436" i="109"/>
  <c r="T436" i="109" s="1"/>
  <c r="S435" i="109"/>
  <c r="T435" i="109" s="1"/>
  <c r="T434" i="109"/>
  <c r="S434" i="109"/>
  <c r="T433" i="109"/>
  <c r="S433" i="109"/>
  <c r="S432" i="109"/>
  <c r="T432" i="109" s="1"/>
  <c r="S428" i="109"/>
  <c r="T428" i="109" s="1"/>
  <c r="T427" i="109"/>
  <c r="S427" i="109"/>
  <c r="T426" i="109"/>
  <c r="S426" i="109"/>
  <c r="T425" i="109"/>
  <c r="S425" i="109"/>
  <c r="S424" i="109"/>
  <c r="T424" i="109" s="1"/>
  <c r="T423" i="109"/>
  <c r="S423" i="109"/>
  <c r="T422" i="109"/>
  <c r="S422" i="109"/>
  <c r="T421" i="109"/>
  <c r="S421" i="109"/>
  <c r="S420" i="109"/>
  <c r="T420" i="109" s="1"/>
  <c r="T419" i="109"/>
  <c r="S419" i="109"/>
  <c r="T418" i="109"/>
  <c r="S418" i="109"/>
  <c r="T417" i="109"/>
  <c r="S417" i="109"/>
  <c r="S413" i="109"/>
  <c r="T413" i="109" s="1"/>
  <c r="S412" i="109"/>
  <c r="T412" i="109" s="1"/>
  <c r="S411" i="109"/>
  <c r="T411" i="109" s="1"/>
  <c r="T410" i="109"/>
  <c r="S410" i="109"/>
  <c r="S409" i="109"/>
  <c r="T409" i="109" s="1"/>
  <c r="T408" i="109"/>
  <c r="S408" i="109"/>
  <c r="S407" i="109"/>
  <c r="T407" i="109" s="1"/>
  <c r="T406" i="109"/>
  <c r="S406" i="109"/>
  <c r="S405" i="109"/>
  <c r="T405" i="109" s="1"/>
  <c r="S404" i="109"/>
  <c r="T404" i="109" s="1"/>
  <c r="S403" i="109"/>
  <c r="T403" i="109" s="1"/>
  <c r="T402" i="109"/>
  <c r="S402" i="109"/>
  <c r="T401" i="109"/>
  <c r="S401" i="109"/>
  <c r="S400" i="109"/>
  <c r="T400" i="109" s="1"/>
  <c r="S399" i="109"/>
  <c r="T399" i="109" s="1"/>
  <c r="S398" i="109"/>
  <c r="T398" i="109" s="1"/>
  <c r="T397" i="109"/>
  <c r="S397" i="109"/>
  <c r="S396" i="109"/>
  <c r="T396" i="109" s="1"/>
  <c r="S395" i="109"/>
  <c r="T395" i="109" s="1"/>
  <c r="S394" i="109"/>
  <c r="T394" i="109" s="1"/>
  <c r="T393" i="109"/>
  <c r="S393" i="109"/>
  <c r="S392" i="109"/>
  <c r="T392" i="109" s="1"/>
  <c r="S391" i="109"/>
  <c r="T391" i="109" s="1"/>
  <c r="S390" i="109"/>
  <c r="T390" i="109" s="1"/>
  <c r="S389" i="109"/>
  <c r="T389" i="109" s="1"/>
  <c r="S388" i="109"/>
  <c r="T388" i="109" s="1"/>
  <c r="S387" i="109"/>
  <c r="T387" i="109" s="1"/>
  <c r="S386" i="109"/>
  <c r="T386" i="109" s="1"/>
  <c r="S385" i="109"/>
  <c r="T385" i="109" s="1"/>
  <c r="S384" i="109"/>
  <c r="T384" i="109" s="1"/>
  <c r="S383" i="109"/>
  <c r="T383" i="109" s="1"/>
  <c r="S382" i="109"/>
  <c r="T382" i="109" s="1"/>
  <c r="S381" i="109"/>
  <c r="T381" i="109" s="1"/>
  <c r="S380" i="109"/>
  <c r="T380" i="109" s="1"/>
  <c r="S379" i="109"/>
  <c r="T379" i="109" s="1"/>
  <c r="S378" i="109"/>
  <c r="T378" i="109" s="1"/>
  <c r="S377" i="109"/>
  <c r="T377" i="109" s="1"/>
  <c r="S376" i="109"/>
  <c r="T376" i="109" s="1"/>
  <c r="S375" i="109"/>
  <c r="T375" i="109" s="1"/>
  <c r="S374" i="109"/>
  <c r="T374" i="109" s="1"/>
  <c r="S373" i="109"/>
  <c r="T373" i="109" s="1"/>
  <c r="S372" i="109"/>
  <c r="T372" i="109" s="1"/>
  <c r="S371" i="109"/>
  <c r="T371" i="109" s="1"/>
  <c r="S370" i="109"/>
  <c r="T370" i="109" s="1"/>
  <c r="S369" i="109"/>
  <c r="T369" i="109" s="1"/>
  <c r="S368" i="109"/>
  <c r="T368" i="109" s="1"/>
  <c r="S367" i="109"/>
  <c r="T367" i="109" s="1"/>
  <c r="S366" i="109"/>
  <c r="T366" i="109" s="1"/>
  <c r="S365" i="109"/>
  <c r="T365" i="109" s="1"/>
  <c r="S364" i="109"/>
  <c r="T364" i="109" s="1"/>
  <c r="S363" i="109"/>
  <c r="T363" i="109" s="1"/>
  <c r="S362" i="109"/>
  <c r="T362" i="109" s="1"/>
  <c r="S361" i="109"/>
  <c r="T361" i="109" s="1"/>
  <c r="S360" i="109"/>
  <c r="T360" i="109" s="1"/>
  <c r="S359" i="109"/>
  <c r="T359" i="109" s="1"/>
  <c r="S358" i="109"/>
  <c r="T358" i="109" s="1"/>
  <c r="S357" i="109"/>
  <c r="T357" i="109" s="1"/>
  <c r="S356" i="109"/>
  <c r="T356" i="109" s="1"/>
  <c r="S355" i="109"/>
  <c r="T355" i="109" s="1"/>
  <c r="S354" i="109"/>
  <c r="T354" i="109" s="1"/>
  <c r="S353" i="109"/>
  <c r="T353" i="109" s="1"/>
  <c r="S352" i="109"/>
  <c r="T352" i="109" s="1"/>
  <c r="S351" i="109"/>
  <c r="T351" i="109" s="1"/>
  <c r="S350" i="109"/>
  <c r="T350" i="109" s="1"/>
  <c r="S349" i="109"/>
  <c r="T349" i="109" s="1"/>
  <c r="S348" i="109"/>
  <c r="T348" i="109" s="1"/>
  <c r="S347" i="109"/>
  <c r="T347" i="109" s="1"/>
  <c r="S346" i="109"/>
  <c r="T346" i="109" s="1"/>
  <c r="S345" i="109"/>
  <c r="T345" i="109" s="1"/>
  <c r="S344" i="109"/>
  <c r="T344" i="109" s="1"/>
  <c r="S343" i="109"/>
  <c r="T343" i="109" s="1"/>
  <c r="S342" i="109"/>
  <c r="T342" i="109" s="1"/>
  <c r="S341" i="109"/>
  <c r="T341" i="109" s="1"/>
  <c r="S340" i="109"/>
  <c r="T340" i="109" s="1"/>
  <c r="S339" i="109"/>
  <c r="T339" i="109" s="1"/>
  <c r="S338" i="109"/>
  <c r="T338" i="109" s="1"/>
  <c r="S337" i="109"/>
  <c r="T337" i="109" s="1"/>
  <c r="S336" i="109"/>
  <c r="T336" i="109" s="1"/>
  <c r="S335" i="109"/>
  <c r="T335" i="109" s="1"/>
  <c r="S334" i="109"/>
  <c r="T334" i="109" s="1"/>
  <c r="S333" i="109"/>
  <c r="T333" i="109" s="1"/>
  <c r="S332" i="109"/>
  <c r="T332" i="109" s="1"/>
  <c r="S331" i="109"/>
  <c r="T331" i="109" s="1"/>
  <c r="S330" i="109"/>
  <c r="T330" i="109" s="1"/>
  <c r="S329" i="109"/>
  <c r="T329" i="109" s="1"/>
  <c r="S328" i="109"/>
  <c r="T328" i="109" s="1"/>
  <c r="S327" i="109"/>
  <c r="T327" i="109" s="1"/>
  <c r="S326" i="109"/>
  <c r="T326" i="109" s="1"/>
  <c r="S325" i="109"/>
  <c r="T325" i="109" s="1"/>
  <c r="S324" i="109"/>
  <c r="T324" i="109" s="1"/>
  <c r="S323" i="109"/>
  <c r="T323" i="109" s="1"/>
  <c r="S322" i="109"/>
  <c r="T322" i="109" s="1"/>
  <c r="S321" i="109"/>
  <c r="T321" i="109" s="1"/>
  <c r="S320" i="109"/>
  <c r="T320" i="109" s="1"/>
  <c r="S319" i="109"/>
  <c r="T319" i="109" s="1"/>
  <c r="S318" i="109"/>
  <c r="T318" i="109" s="1"/>
  <c r="S317" i="109"/>
  <c r="T317" i="109" s="1"/>
  <c r="T313" i="109"/>
  <c r="S313" i="109"/>
  <c r="T312" i="109"/>
  <c r="S312" i="109"/>
  <c r="T311" i="109"/>
  <c r="S311" i="109"/>
  <c r="T310" i="109"/>
  <c r="S310" i="109"/>
  <c r="T309" i="109"/>
  <c r="S309" i="109"/>
  <c r="T308" i="109"/>
  <c r="S308" i="109"/>
  <c r="T307" i="109"/>
  <c r="S307" i="109"/>
  <c r="T306" i="109"/>
  <c r="S306" i="109"/>
  <c r="T305" i="109"/>
  <c r="S305" i="109"/>
  <c r="T304" i="109"/>
  <c r="S304" i="109"/>
  <c r="T303" i="109"/>
  <c r="S303" i="109"/>
  <c r="T302" i="109"/>
  <c r="S302" i="109"/>
  <c r="T301" i="109"/>
  <c r="S301" i="109"/>
  <c r="T300" i="109"/>
  <c r="S300" i="109"/>
  <c r="T299" i="109"/>
  <c r="S299" i="109"/>
  <c r="T298" i="109"/>
  <c r="S298" i="109"/>
  <c r="T297" i="109"/>
  <c r="S297" i="109"/>
  <c r="T296" i="109"/>
  <c r="S296" i="109"/>
  <c r="T295" i="109"/>
  <c r="S295" i="109"/>
  <c r="T294" i="109"/>
  <c r="S294" i="109"/>
  <c r="T293" i="109"/>
  <c r="S293" i="109"/>
  <c r="T292" i="109"/>
  <c r="S292" i="109"/>
  <c r="T291" i="109"/>
  <c r="S291" i="109"/>
  <c r="T290" i="109"/>
  <c r="S290" i="109"/>
  <c r="T289" i="109"/>
  <c r="S289" i="109"/>
  <c r="T288" i="109"/>
  <c r="S288" i="109"/>
  <c r="T287" i="109"/>
  <c r="S287" i="109"/>
  <c r="T286" i="109"/>
  <c r="S286" i="109"/>
  <c r="T285" i="109"/>
  <c r="S285" i="109"/>
  <c r="T284" i="109"/>
  <c r="S284" i="109"/>
  <c r="T283" i="109"/>
  <c r="S283" i="109"/>
  <c r="T282" i="109"/>
  <c r="S282" i="109"/>
  <c r="T281" i="109"/>
  <c r="S281" i="109"/>
  <c r="T280" i="109"/>
  <c r="S280" i="109"/>
  <c r="T279" i="109"/>
  <c r="S279" i="109"/>
  <c r="T278" i="109"/>
  <c r="S278" i="109"/>
  <c r="T277" i="109"/>
  <c r="S277" i="109"/>
  <c r="T276" i="109"/>
  <c r="S276" i="109"/>
  <c r="T275" i="109"/>
  <c r="S275" i="109"/>
  <c r="T274" i="109"/>
  <c r="S274" i="109"/>
  <c r="T273" i="109"/>
  <c r="S273" i="109"/>
  <c r="T272" i="109"/>
  <c r="S272" i="109"/>
  <c r="T271" i="109"/>
  <c r="S271" i="109"/>
  <c r="T270" i="109"/>
  <c r="S270" i="109"/>
  <c r="T269" i="109"/>
  <c r="S269" i="109"/>
  <c r="T268" i="109"/>
  <c r="S268" i="109"/>
  <c r="T267" i="109"/>
  <c r="S267" i="109"/>
  <c r="T266" i="109"/>
  <c r="S266" i="109"/>
  <c r="T265" i="109"/>
  <c r="S265" i="109"/>
  <c r="T264" i="109"/>
  <c r="S264" i="109"/>
  <c r="T263" i="109"/>
  <c r="S263" i="109"/>
  <c r="T262" i="109"/>
  <c r="S262" i="109"/>
  <c r="T261" i="109"/>
  <c r="S261" i="109"/>
  <c r="T260" i="109"/>
  <c r="S260" i="109"/>
  <c r="T259" i="109"/>
  <c r="S259" i="109"/>
  <c r="T258" i="109"/>
  <c r="S258" i="109"/>
  <c r="T257" i="109"/>
  <c r="S257" i="109"/>
  <c r="T256" i="109"/>
  <c r="S256" i="109"/>
  <c r="T255" i="109"/>
  <c r="S255" i="109"/>
  <c r="T254" i="109"/>
  <c r="S254" i="109"/>
  <c r="T253" i="109"/>
  <c r="S253" i="109"/>
  <c r="T252" i="109"/>
  <c r="S252" i="109"/>
  <c r="T251" i="109"/>
  <c r="S251" i="109"/>
  <c r="T250" i="109"/>
  <c r="S250" i="109"/>
  <c r="T249" i="109"/>
  <c r="S249" i="109"/>
  <c r="S245" i="109"/>
  <c r="T245" i="109" s="1"/>
  <c r="S244" i="109"/>
  <c r="T244" i="109" s="1"/>
  <c r="S243" i="109"/>
  <c r="T243" i="109" s="1"/>
  <c r="S242" i="109"/>
  <c r="T242" i="109" s="1"/>
  <c r="S241" i="109"/>
  <c r="T241" i="109" s="1"/>
  <c r="S240" i="109"/>
  <c r="T240" i="109" s="1"/>
  <c r="S239" i="109"/>
  <c r="T239" i="109" s="1"/>
  <c r="S238" i="109"/>
  <c r="T238" i="109" s="1"/>
  <c r="S237" i="109"/>
  <c r="T237" i="109" s="1"/>
  <c r="S236" i="109"/>
  <c r="T236" i="109" s="1"/>
  <c r="S235" i="109"/>
  <c r="T235" i="109" s="1"/>
  <c r="S234" i="109"/>
  <c r="T234" i="109" s="1"/>
  <c r="S233" i="109"/>
  <c r="T233" i="109" s="1"/>
  <c r="S232" i="109"/>
  <c r="T232" i="109" s="1"/>
  <c r="S231" i="109"/>
  <c r="T231" i="109" s="1"/>
  <c r="T230" i="109"/>
  <c r="S230" i="109"/>
  <c r="T229" i="109"/>
  <c r="S229" i="109"/>
  <c r="T228" i="109"/>
  <c r="S228" i="109"/>
  <c r="T227" i="109"/>
  <c r="S227" i="109"/>
  <c r="T226" i="109"/>
  <c r="S226" i="109"/>
  <c r="T225" i="109"/>
  <c r="S225" i="109"/>
  <c r="T224" i="109"/>
  <c r="S224" i="109"/>
  <c r="T223" i="109"/>
  <c r="S223" i="109"/>
  <c r="T222" i="109"/>
  <c r="S222" i="109"/>
  <c r="T221" i="109"/>
  <c r="S221" i="109"/>
  <c r="T220" i="109"/>
  <c r="S220" i="109"/>
  <c r="S219" i="109"/>
  <c r="T219" i="109" s="1"/>
  <c r="T218" i="109"/>
  <c r="S218" i="109"/>
  <c r="T217" i="109"/>
  <c r="S217" i="109"/>
  <c r="T216" i="109"/>
  <c r="S216" i="109"/>
  <c r="S215" i="109"/>
  <c r="T215" i="109" s="1"/>
  <c r="T214" i="109"/>
  <c r="S214" i="109"/>
  <c r="T213" i="109"/>
  <c r="S213" i="109"/>
  <c r="T212" i="109"/>
  <c r="S212" i="109"/>
  <c r="S211" i="109"/>
  <c r="T211" i="109" s="1"/>
  <c r="S207" i="109"/>
  <c r="T207" i="109" s="1"/>
  <c r="S206" i="109"/>
  <c r="T206" i="109" s="1"/>
  <c r="S205" i="109"/>
  <c r="T205" i="109" s="1"/>
  <c r="S204" i="109"/>
  <c r="T204" i="109" s="1"/>
  <c r="S203" i="109"/>
  <c r="T203" i="109" s="1"/>
  <c r="S202" i="109"/>
  <c r="T202" i="109" s="1"/>
  <c r="S201" i="109"/>
  <c r="T201" i="109" s="1"/>
  <c r="S200" i="109"/>
  <c r="T200" i="109" s="1"/>
  <c r="S199" i="109"/>
  <c r="T199" i="109" s="1"/>
  <c r="S198" i="109"/>
  <c r="T198" i="109" s="1"/>
  <c r="S197" i="109"/>
  <c r="T197" i="109" s="1"/>
  <c r="S196" i="109"/>
  <c r="T196" i="109" s="1"/>
  <c r="S195" i="109"/>
  <c r="T195" i="109" s="1"/>
  <c r="S194" i="109"/>
  <c r="T194" i="109" s="1"/>
  <c r="S193" i="109"/>
  <c r="T193" i="109" s="1"/>
  <c r="S192" i="109"/>
  <c r="T192" i="109" s="1"/>
  <c r="S191" i="109"/>
  <c r="T191" i="109" s="1"/>
  <c r="S190" i="109"/>
  <c r="T190" i="109" s="1"/>
  <c r="S189" i="109"/>
  <c r="T189" i="109" s="1"/>
  <c r="S188" i="109"/>
  <c r="T188" i="109" s="1"/>
  <c r="S187" i="109"/>
  <c r="T187" i="109" s="1"/>
  <c r="S186" i="109"/>
  <c r="T186" i="109" s="1"/>
  <c r="S185" i="109"/>
  <c r="T185" i="109" s="1"/>
  <c r="S184" i="109"/>
  <c r="T184" i="109" s="1"/>
  <c r="S183" i="109"/>
  <c r="T183" i="109" s="1"/>
  <c r="S182" i="109"/>
  <c r="T182" i="109" s="1"/>
  <c r="S181" i="109"/>
  <c r="T181" i="109" s="1"/>
  <c r="S180" i="109"/>
  <c r="T180" i="109" s="1"/>
  <c r="S179" i="109"/>
  <c r="T179" i="109" s="1"/>
  <c r="S178" i="109"/>
  <c r="T178" i="109" s="1"/>
  <c r="S177" i="109"/>
  <c r="T177" i="109" s="1"/>
  <c r="S176" i="109"/>
  <c r="T176" i="109" s="1"/>
  <c r="S175" i="109"/>
  <c r="T175" i="109" s="1"/>
  <c r="S174" i="109"/>
  <c r="T174" i="109" s="1"/>
  <c r="S173" i="109"/>
  <c r="T173" i="109" s="1"/>
  <c r="S172" i="109"/>
  <c r="T172" i="109" s="1"/>
  <c r="S171" i="109"/>
  <c r="T171" i="109" s="1"/>
  <c r="T167" i="109"/>
  <c r="S167" i="109"/>
  <c r="T166" i="109"/>
  <c r="S166" i="109"/>
  <c r="T165" i="109"/>
  <c r="S165" i="109"/>
  <c r="T164" i="109"/>
  <c r="S164" i="109"/>
  <c r="T163" i="109"/>
  <c r="S163" i="109"/>
  <c r="T162" i="109"/>
  <c r="S162" i="109"/>
  <c r="T161" i="109"/>
  <c r="S161" i="109"/>
  <c r="T160" i="109"/>
  <c r="S160" i="109"/>
  <c r="T159" i="109"/>
  <c r="S159" i="109"/>
  <c r="T158" i="109"/>
  <c r="S158" i="109"/>
  <c r="T157" i="109"/>
  <c r="S157" i="109"/>
  <c r="T156" i="109"/>
  <c r="S156" i="109"/>
  <c r="T155" i="109"/>
  <c r="S155" i="109"/>
  <c r="S154" i="109"/>
  <c r="T154" i="109" s="1"/>
  <c r="T153" i="109"/>
  <c r="S153" i="109"/>
  <c r="T152" i="109"/>
  <c r="S152" i="109"/>
  <c r="T151" i="109"/>
  <c r="S151" i="109"/>
  <c r="S150" i="109"/>
  <c r="T150" i="109" s="1"/>
  <c r="T149" i="109"/>
  <c r="S149" i="109"/>
  <c r="T148" i="109"/>
  <c r="S148" i="109"/>
  <c r="T147" i="109"/>
  <c r="S147" i="109"/>
  <c r="S146" i="109"/>
  <c r="T146" i="109" s="1"/>
  <c r="T145" i="109"/>
  <c r="S145" i="109"/>
  <c r="T144" i="109"/>
  <c r="S144" i="109"/>
  <c r="T143" i="109"/>
  <c r="S143" i="109"/>
  <c r="S142" i="109"/>
  <c r="T142" i="109" s="1"/>
  <c r="T141" i="109"/>
  <c r="S141" i="109"/>
  <c r="T140" i="109"/>
  <c r="S140" i="109"/>
  <c r="T139" i="109"/>
  <c r="S139" i="109"/>
  <c r="S138" i="109"/>
  <c r="T138" i="109" s="1"/>
  <c r="T137" i="109"/>
  <c r="S137" i="109"/>
  <c r="T136" i="109"/>
  <c r="S136" i="109"/>
  <c r="T135" i="109"/>
  <c r="S135" i="109"/>
  <c r="S134" i="109"/>
  <c r="T134" i="109" s="1"/>
  <c r="T133" i="109"/>
  <c r="S133" i="109"/>
  <c r="T132" i="109"/>
  <c r="S132" i="109"/>
  <c r="T131" i="109"/>
  <c r="S131" i="109"/>
  <c r="S130" i="109"/>
  <c r="T130" i="109" s="1"/>
  <c r="T129" i="109"/>
  <c r="S129" i="109"/>
  <c r="T128" i="109"/>
  <c r="S128" i="109"/>
  <c r="T127" i="109"/>
  <c r="S127" i="109"/>
  <c r="S126" i="109"/>
  <c r="T126" i="109" s="1"/>
  <c r="T125" i="109"/>
  <c r="S125" i="109"/>
  <c r="T124" i="109"/>
  <c r="S124" i="109"/>
  <c r="T123" i="109"/>
  <c r="S123" i="109"/>
  <c r="S122" i="109"/>
  <c r="T122" i="109" s="1"/>
  <c r="T121" i="109"/>
  <c r="S121" i="109"/>
  <c r="T120" i="109"/>
  <c r="S120" i="109"/>
  <c r="T119" i="109"/>
  <c r="S119" i="109"/>
  <c r="S118" i="109"/>
  <c r="T118" i="109" s="1"/>
  <c r="T117" i="109"/>
  <c r="S117" i="109"/>
  <c r="T116" i="109"/>
  <c r="S116" i="109"/>
  <c r="T115" i="109"/>
  <c r="S115" i="109"/>
  <c r="S114" i="109"/>
  <c r="T114" i="109" s="1"/>
  <c r="T113" i="109"/>
  <c r="S113" i="109"/>
  <c r="T112" i="109"/>
  <c r="S112" i="109"/>
  <c r="T111" i="109"/>
  <c r="S111" i="109"/>
  <c r="S110" i="109"/>
  <c r="T110" i="109" s="1"/>
  <c r="T109" i="109"/>
  <c r="S109" i="109"/>
  <c r="T108" i="109"/>
  <c r="S108" i="109"/>
  <c r="T107" i="109"/>
  <c r="S107" i="109"/>
  <c r="S106" i="109"/>
  <c r="T106" i="109" s="1"/>
  <c r="T105" i="109"/>
  <c r="S105" i="109"/>
  <c r="T104" i="109"/>
  <c r="S104" i="109"/>
  <c r="T103" i="109"/>
  <c r="S103" i="109"/>
  <c r="S102" i="109"/>
  <c r="T102" i="109" s="1"/>
  <c r="T101" i="109"/>
  <c r="S101" i="109"/>
  <c r="T100" i="109"/>
  <c r="S100" i="109"/>
  <c r="T99" i="109"/>
  <c r="S99" i="109"/>
  <c r="S98" i="109"/>
  <c r="T98" i="109" s="1"/>
  <c r="T97" i="109"/>
  <c r="S97" i="109"/>
  <c r="T96" i="109"/>
  <c r="S96" i="109"/>
  <c r="T95" i="109"/>
  <c r="S95" i="109"/>
  <c r="S94" i="109"/>
  <c r="T94" i="109" s="1"/>
  <c r="T93" i="109"/>
  <c r="S93" i="109"/>
  <c r="T92" i="109"/>
  <c r="S92" i="109"/>
  <c r="T91" i="109"/>
  <c r="S91" i="109"/>
  <c r="S90" i="109"/>
  <c r="T90" i="109" s="1"/>
  <c r="T89" i="109"/>
  <c r="S89" i="109"/>
  <c r="T88" i="109"/>
  <c r="S88" i="109"/>
  <c r="T87" i="109"/>
  <c r="S87" i="109"/>
  <c r="S86" i="109"/>
  <c r="T86" i="109" s="1"/>
  <c r="T85" i="109"/>
  <c r="S85" i="109"/>
  <c r="T84" i="109"/>
  <c r="S84" i="109"/>
  <c r="S80" i="109"/>
  <c r="T80" i="109" s="1"/>
  <c r="S79" i="109"/>
  <c r="T79" i="109" s="1"/>
  <c r="S78" i="109"/>
  <c r="T78" i="109" s="1"/>
  <c r="S77" i="109"/>
  <c r="T77" i="109" s="1"/>
  <c r="S76" i="109"/>
  <c r="T76" i="109" s="1"/>
  <c r="S75" i="109"/>
  <c r="T75" i="109" s="1"/>
  <c r="S74" i="109"/>
  <c r="T74" i="109" s="1"/>
  <c r="S73" i="109"/>
  <c r="T73" i="109" s="1"/>
  <c r="S72" i="109"/>
  <c r="T72" i="109" s="1"/>
  <c r="S71" i="109"/>
  <c r="T71" i="109" s="1"/>
  <c r="S70" i="109"/>
  <c r="T70" i="109" s="1"/>
  <c r="S69" i="109"/>
  <c r="T69" i="109" s="1"/>
  <c r="S68" i="109"/>
  <c r="T68" i="109" s="1"/>
  <c r="S67" i="109"/>
  <c r="T67" i="109" s="1"/>
  <c r="S66" i="109"/>
  <c r="T66" i="109" s="1"/>
  <c r="S65" i="109"/>
  <c r="T65" i="109" s="1"/>
  <c r="S64" i="109"/>
  <c r="T64" i="109" s="1"/>
  <c r="S63" i="109"/>
  <c r="T63" i="109" s="1"/>
  <c r="S62" i="109"/>
  <c r="T62" i="109" s="1"/>
  <c r="S61" i="109"/>
  <c r="T61" i="109" s="1"/>
  <c r="S60" i="109"/>
  <c r="T60" i="109" s="1"/>
  <c r="S59" i="109"/>
  <c r="T59" i="109" s="1"/>
  <c r="S58" i="109"/>
  <c r="T58" i="109" s="1"/>
  <c r="S57" i="109"/>
  <c r="T57" i="109" s="1"/>
  <c r="S56" i="109"/>
  <c r="T56" i="109" s="1"/>
  <c r="S55" i="109"/>
  <c r="T55" i="109" s="1"/>
  <c r="S54" i="109"/>
  <c r="T54" i="109" s="1"/>
  <c r="S53" i="109"/>
  <c r="T53" i="109" s="1"/>
  <c r="S52" i="109"/>
  <c r="T52" i="109" s="1"/>
  <c r="S51" i="109"/>
  <c r="T51" i="109" s="1"/>
  <c r="S50" i="109"/>
  <c r="T50" i="109" s="1"/>
  <c r="S49" i="109"/>
  <c r="T49" i="109" s="1"/>
  <c r="S48" i="109"/>
  <c r="T48" i="109" s="1"/>
  <c r="S47" i="109"/>
  <c r="T47" i="109" s="1"/>
  <c r="S46" i="109"/>
  <c r="T46" i="109" s="1"/>
  <c r="S45" i="109"/>
  <c r="T45" i="109" s="1"/>
  <c r="S44" i="109"/>
  <c r="T44" i="109" s="1"/>
  <c r="S43" i="109"/>
  <c r="T43" i="109" s="1"/>
  <c r="S42" i="109"/>
  <c r="T42" i="109" s="1"/>
  <c r="S41" i="109"/>
  <c r="T41" i="109" s="1"/>
  <c r="S40" i="109"/>
  <c r="T40" i="109" s="1"/>
  <c r="S39" i="109"/>
  <c r="T39" i="109" s="1"/>
  <c r="S38" i="109"/>
  <c r="T38" i="109" s="1"/>
  <c r="S37" i="109"/>
  <c r="T37" i="109" s="1"/>
  <c r="S36" i="109"/>
  <c r="T36" i="109" s="1"/>
  <c r="S35" i="109"/>
  <c r="T35" i="109" s="1"/>
  <c r="S34" i="109"/>
  <c r="T34" i="109" s="1"/>
  <c r="S33" i="109"/>
  <c r="T33" i="109" s="1"/>
  <c r="S32" i="109"/>
  <c r="T32" i="109" s="1"/>
  <c r="S31" i="109"/>
  <c r="T31" i="109" s="1"/>
  <c r="S30" i="109"/>
  <c r="T30" i="109" s="1"/>
  <c r="S29" i="109"/>
  <c r="T29" i="109" s="1"/>
  <c r="S28" i="109"/>
  <c r="T28" i="109" s="1"/>
  <c r="S27" i="109"/>
  <c r="T27" i="109" s="1"/>
  <c r="S26" i="109"/>
  <c r="T26" i="109" s="1"/>
  <c r="S25" i="109"/>
  <c r="T25" i="109" s="1"/>
  <c r="S24" i="109"/>
  <c r="T24" i="109" s="1"/>
  <c r="S23" i="109"/>
  <c r="T23" i="109" s="1"/>
  <c r="S22" i="109"/>
  <c r="T22" i="109" s="1"/>
  <c r="S21" i="109"/>
  <c r="T21" i="109" s="1"/>
  <c r="S20" i="109"/>
  <c r="T20" i="109" s="1"/>
  <c r="S19" i="109"/>
  <c r="T19" i="109" s="1"/>
  <c r="S18" i="109"/>
  <c r="T18" i="109" s="1"/>
  <c r="S17" i="109"/>
  <c r="T17" i="109" s="1"/>
  <c r="S16" i="109"/>
  <c r="T16" i="109" s="1"/>
  <c r="S15" i="109"/>
  <c r="T15" i="109" s="1"/>
  <c r="S14" i="109"/>
  <c r="T14" i="109" s="1"/>
  <c r="S13" i="109"/>
  <c r="T13" i="109" s="1"/>
  <c r="S12" i="109"/>
  <c r="T12" i="109" s="1"/>
  <c r="S11" i="109"/>
  <c r="T11" i="109" s="1"/>
  <c r="S10" i="109"/>
  <c r="T10" i="109" s="1"/>
  <c r="S9" i="109"/>
  <c r="T9" i="109" s="1"/>
  <c r="S8" i="109"/>
  <c r="T8" i="109" s="1"/>
  <c r="S7" i="109"/>
  <c r="T7" i="109" s="1"/>
  <c r="S6" i="109"/>
  <c r="T6" i="109" s="1"/>
  <c r="S5" i="109"/>
  <c r="T5" i="109" s="1"/>
  <c r="S4" i="109"/>
  <c r="T4" i="109" s="1"/>
  <c r="S3" i="109"/>
  <c r="T3" i="109" s="1"/>
  <c r="T81" i="109" s="1"/>
  <c r="S1137" i="111"/>
  <c r="T1137" i="111" s="1"/>
  <c r="S1136" i="111"/>
  <c r="T1136" i="111" s="1"/>
  <c r="S1135" i="111"/>
  <c r="T1135" i="111" s="1"/>
  <c r="S1134" i="111"/>
  <c r="T1134" i="111" s="1"/>
  <c r="S1133" i="111"/>
  <c r="T1133" i="111" s="1"/>
  <c r="T1132" i="111"/>
  <c r="S1132" i="111"/>
  <c r="T1131" i="111"/>
  <c r="S1131" i="111"/>
  <c r="S1130" i="111"/>
  <c r="T1130" i="111" s="1"/>
  <c r="S1129" i="111"/>
  <c r="T1129" i="111" s="1"/>
  <c r="T1128" i="111"/>
  <c r="S1128" i="111"/>
  <c r="T1127" i="111"/>
  <c r="S1127" i="111"/>
  <c r="S1126" i="111"/>
  <c r="T1126" i="111" s="1"/>
  <c r="S1125" i="111"/>
  <c r="T1125" i="111" s="1"/>
  <c r="T1124" i="111"/>
  <c r="S1124" i="111"/>
  <c r="T1123" i="111"/>
  <c r="S1123" i="111"/>
  <c r="S1122" i="111"/>
  <c r="T1122" i="111" s="1"/>
  <c r="S1121" i="111"/>
  <c r="T1121" i="111" s="1"/>
  <c r="T1120" i="111"/>
  <c r="S1120" i="111"/>
  <c r="T1119" i="111"/>
  <c r="S1119" i="111"/>
  <c r="S1118" i="111"/>
  <c r="T1118" i="111" s="1"/>
  <c r="S1117" i="111"/>
  <c r="T1117" i="111" s="1"/>
  <c r="T1116" i="111"/>
  <c r="S1116" i="111"/>
  <c r="S1115" i="111"/>
  <c r="T1115" i="111" s="1"/>
  <c r="S1114" i="111"/>
  <c r="T1114" i="111" s="1"/>
  <c r="S1113" i="111"/>
  <c r="T1113" i="111" s="1"/>
  <c r="T1112" i="111"/>
  <c r="S1112" i="111"/>
  <c r="T1111" i="111"/>
  <c r="S1111" i="111"/>
  <c r="S1110" i="111"/>
  <c r="T1110" i="111" s="1"/>
  <c r="S1109" i="111"/>
  <c r="T1109" i="111" s="1"/>
  <c r="T1108" i="111"/>
  <c r="S1108" i="111"/>
  <c r="T1107" i="111"/>
  <c r="S1107" i="111"/>
  <c r="S1106" i="111"/>
  <c r="T1106" i="111" s="1"/>
  <c r="S1105" i="111"/>
  <c r="T1105" i="111" s="1"/>
  <c r="S1104" i="111"/>
  <c r="T1104" i="111" s="1"/>
  <c r="S1103" i="111"/>
  <c r="T1103" i="111" s="1"/>
  <c r="S1099" i="111"/>
  <c r="T1099" i="111" s="1"/>
  <c r="S1098" i="111"/>
  <c r="T1098" i="111" s="1"/>
  <c r="S1097" i="111"/>
  <c r="T1097" i="111" s="1"/>
  <c r="S1096" i="111"/>
  <c r="T1096" i="111" s="1"/>
  <c r="S1095" i="111"/>
  <c r="T1095" i="111" s="1"/>
  <c r="S1094" i="111"/>
  <c r="T1094" i="111" s="1"/>
  <c r="S1093" i="111"/>
  <c r="T1093" i="111" s="1"/>
  <c r="S1092" i="111"/>
  <c r="T1092" i="111" s="1"/>
  <c r="S1091" i="111"/>
  <c r="T1091" i="111" s="1"/>
  <c r="S1090" i="111"/>
  <c r="T1090" i="111" s="1"/>
  <c r="S1089" i="111"/>
  <c r="T1089" i="111" s="1"/>
  <c r="S1088" i="111"/>
  <c r="T1088" i="111" s="1"/>
  <c r="T1087" i="111"/>
  <c r="S1087" i="111"/>
  <c r="S1086" i="111"/>
  <c r="T1086" i="111" s="1"/>
  <c r="S1085" i="111"/>
  <c r="T1085" i="111" s="1"/>
  <c r="S1084" i="111"/>
  <c r="T1084" i="111" s="1"/>
  <c r="S1083" i="111"/>
  <c r="T1083" i="111" s="1"/>
  <c r="S1082" i="111"/>
  <c r="T1082" i="111" s="1"/>
  <c r="S1081" i="111"/>
  <c r="T1081" i="111" s="1"/>
  <c r="S1080" i="111"/>
  <c r="T1080" i="111" s="1"/>
  <c r="S1079" i="111"/>
  <c r="T1079" i="111" s="1"/>
  <c r="S1078" i="111"/>
  <c r="T1078" i="111" s="1"/>
  <c r="S1077" i="111"/>
  <c r="T1077" i="111" s="1"/>
  <c r="S1076" i="111"/>
  <c r="T1076" i="111" s="1"/>
  <c r="S1075" i="111"/>
  <c r="T1075" i="111" s="1"/>
  <c r="S1074" i="111"/>
  <c r="T1074" i="111" s="1"/>
  <c r="S1073" i="111"/>
  <c r="T1073" i="111" s="1"/>
  <c r="S1072" i="111"/>
  <c r="T1072" i="111" s="1"/>
  <c r="S1071" i="111"/>
  <c r="T1071" i="111" s="1"/>
  <c r="S1070" i="111"/>
  <c r="T1070" i="111" s="1"/>
  <c r="S1069" i="111"/>
  <c r="T1069" i="111" s="1"/>
  <c r="S1068" i="111"/>
  <c r="T1068" i="111" s="1"/>
  <c r="S1067" i="111"/>
  <c r="T1067" i="111" s="1"/>
  <c r="S1066" i="111"/>
  <c r="T1066" i="111" s="1"/>
  <c r="T1062" i="111"/>
  <c r="S1062" i="111"/>
  <c r="S1061" i="111"/>
  <c r="T1061" i="111" s="1"/>
  <c r="S1060" i="111"/>
  <c r="T1060" i="111" s="1"/>
  <c r="T1059" i="111"/>
  <c r="S1059" i="111"/>
  <c r="T1058" i="111"/>
  <c r="S1058" i="111"/>
  <c r="S1057" i="111"/>
  <c r="T1057" i="111" s="1"/>
  <c r="S1056" i="111"/>
  <c r="T1056" i="111" s="1"/>
  <c r="S1055" i="111"/>
  <c r="T1055" i="111" s="1"/>
  <c r="T1054" i="111"/>
  <c r="S1054" i="111"/>
  <c r="S1053" i="111"/>
  <c r="T1053" i="111" s="1"/>
  <c r="S1052" i="111"/>
  <c r="T1052" i="111" s="1"/>
  <c r="T1051" i="111"/>
  <c r="S1051" i="111"/>
  <c r="S1050" i="111"/>
  <c r="T1050" i="111" s="1"/>
  <c r="S1049" i="111"/>
  <c r="T1049" i="111" s="1"/>
  <c r="S1048" i="111"/>
  <c r="T1048" i="111" s="1"/>
  <c r="T1047" i="111"/>
  <c r="S1047" i="111"/>
  <c r="T1046" i="111"/>
  <c r="S1046" i="111"/>
  <c r="S1045" i="111"/>
  <c r="T1045" i="111" s="1"/>
  <c r="S1044" i="111"/>
  <c r="T1044" i="111" s="1"/>
  <c r="T1043" i="111"/>
  <c r="S1043" i="111"/>
  <c r="T1042" i="111"/>
  <c r="S1042" i="111"/>
  <c r="S1041" i="111"/>
  <c r="T1041" i="111" s="1"/>
  <c r="S1040" i="111"/>
  <c r="T1040" i="111" s="1"/>
  <c r="S1039" i="111"/>
  <c r="T1039" i="111" s="1"/>
  <c r="T1038" i="111"/>
  <c r="S1038" i="111"/>
  <c r="S1037" i="111"/>
  <c r="T1037" i="111" s="1"/>
  <c r="S1036" i="111"/>
  <c r="T1036" i="111" s="1"/>
  <c r="T1035" i="111"/>
  <c r="S1035" i="111"/>
  <c r="S1034" i="111"/>
  <c r="T1034" i="111" s="1"/>
  <c r="S1033" i="111"/>
  <c r="T1033" i="111" s="1"/>
  <c r="S1032" i="111"/>
  <c r="T1032" i="111" s="1"/>
  <c r="T1031" i="111"/>
  <c r="S1031" i="111"/>
  <c r="T1030" i="111"/>
  <c r="S1030" i="111"/>
  <c r="S1029" i="111"/>
  <c r="T1029" i="111" s="1"/>
  <c r="S1028" i="111"/>
  <c r="T1028" i="111" s="1"/>
  <c r="T1027" i="111"/>
  <c r="S1027" i="111"/>
  <c r="S1023" i="111"/>
  <c r="T1023" i="111" s="1"/>
  <c r="S1022" i="111"/>
  <c r="T1022" i="111" s="1"/>
  <c r="S1021" i="111"/>
  <c r="T1021" i="111" s="1"/>
  <c r="S1020" i="111"/>
  <c r="T1020" i="111" s="1"/>
  <c r="S1019" i="111"/>
  <c r="T1019" i="111" s="1"/>
  <c r="S1018" i="111"/>
  <c r="T1018" i="111" s="1"/>
  <c r="S1017" i="111"/>
  <c r="T1017" i="111" s="1"/>
  <c r="S1016" i="111"/>
  <c r="T1016" i="111" s="1"/>
  <c r="S1015" i="111"/>
  <c r="T1015" i="111" s="1"/>
  <c r="S1014" i="111"/>
  <c r="T1014" i="111" s="1"/>
  <c r="S1013" i="111"/>
  <c r="T1013" i="111" s="1"/>
  <c r="S1012" i="111"/>
  <c r="T1012" i="111" s="1"/>
  <c r="S1011" i="111"/>
  <c r="T1011" i="111" s="1"/>
  <c r="S1010" i="111"/>
  <c r="T1010" i="111" s="1"/>
  <c r="S1009" i="111"/>
  <c r="T1009" i="111" s="1"/>
  <c r="S1008" i="111"/>
  <c r="T1008" i="111" s="1"/>
  <c r="S1007" i="111"/>
  <c r="T1007" i="111" s="1"/>
  <c r="S1006" i="111"/>
  <c r="T1006" i="111" s="1"/>
  <c r="S1005" i="111"/>
  <c r="T1005" i="111" s="1"/>
  <c r="S1004" i="111"/>
  <c r="T1004" i="111" s="1"/>
  <c r="S1003" i="111"/>
  <c r="T1003" i="111" s="1"/>
  <c r="S1002" i="111"/>
  <c r="T1002" i="111" s="1"/>
  <c r="S1001" i="111"/>
  <c r="T1001" i="111" s="1"/>
  <c r="S1000" i="111"/>
  <c r="T1000" i="111" s="1"/>
  <c r="S999" i="111"/>
  <c r="T999" i="111" s="1"/>
  <c r="S998" i="111"/>
  <c r="T998" i="111" s="1"/>
  <c r="S997" i="111"/>
  <c r="T997" i="111" s="1"/>
  <c r="S996" i="111"/>
  <c r="T996" i="111" s="1"/>
  <c r="S995" i="111"/>
  <c r="T995" i="111" s="1"/>
  <c r="S994" i="111"/>
  <c r="T994" i="111" s="1"/>
  <c r="S993" i="111"/>
  <c r="T993" i="111" s="1"/>
  <c r="S992" i="111"/>
  <c r="T992" i="111" s="1"/>
  <c r="S991" i="111"/>
  <c r="T991" i="111" s="1"/>
  <c r="S990" i="111"/>
  <c r="T990" i="111" s="1"/>
  <c r="S989" i="111"/>
  <c r="T989" i="111" s="1"/>
  <c r="S988" i="111"/>
  <c r="T988" i="111" s="1"/>
  <c r="S987" i="111"/>
  <c r="T987" i="111" s="1"/>
  <c r="S986" i="111"/>
  <c r="T986" i="111" s="1"/>
  <c r="S985" i="111"/>
  <c r="T985" i="111" s="1"/>
  <c r="S984" i="111"/>
  <c r="T984" i="111" s="1"/>
  <c r="S983" i="111"/>
  <c r="T983" i="111" s="1"/>
  <c r="S982" i="111"/>
  <c r="T982" i="111" s="1"/>
  <c r="S981" i="111"/>
  <c r="T981" i="111" s="1"/>
  <c r="S980" i="111"/>
  <c r="T980" i="111" s="1"/>
  <c r="S979" i="111"/>
  <c r="T979" i="111" s="1"/>
  <c r="S978" i="111"/>
  <c r="T978" i="111" s="1"/>
  <c r="S977" i="111"/>
  <c r="T977" i="111" s="1"/>
  <c r="S976" i="111"/>
  <c r="T976" i="111" s="1"/>
  <c r="S975" i="111"/>
  <c r="T975" i="111" s="1"/>
  <c r="S974" i="111"/>
  <c r="T974" i="111" s="1"/>
  <c r="S973" i="111"/>
  <c r="T973" i="111" s="1"/>
  <c r="S972" i="111"/>
  <c r="T972" i="111" s="1"/>
  <c r="S971" i="111"/>
  <c r="T971" i="111" s="1"/>
  <c r="S970" i="111"/>
  <c r="T970" i="111" s="1"/>
  <c r="S969" i="111"/>
  <c r="T969" i="111" s="1"/>
  <c r="S968" i="111"/>
  <c r="T968" i="111" s="1"/>
  <c r="S967" i="111"/>
  <c r="T967" i="111" s="1"/>
  <c r="S966" i="111"/>
  <c r="T966" i="111" s="1"/>
  <c r="S965" i="111"/>
  <c r="T965" i="111" s="1"/>
  <c r="S964" i="111"/>
  <c r="T964" i="111" s="1"/>
  <c r="S963" i="111"/>
  <c r="T963" i="111" s="1"/>
  <c r="S962" i="111"/>
  <c r="T962" i="111" s="1"/>
  <c r="S961" i="111"/>
  <c r="T961" i="111" s="1"/>
  <c r="S960" i="111"/>
  <c r="T960" i="111" s="1"/>
  <c r="S959" i="111"/>
  <c r="T959" i="111" s="1"/>
  <c r="S958" i="111"/>
  <c r="T958" i="111" s="1"/>
  <c r="S954" i="111"/>
  <c r="T954" i="111" s="1"/>
  <c r="S953" i="111"/>
  <c r="T953" i="111" s="1"/>
  <c r="S952" i="111"/>
  <c r="T952" i="111" s="1"/>
  <c r="S951" i="111"/>
  <c r="T951" i="111" s="1"/>
  <c r="S950" i="111"/>
  <c r="T950" i="111" s="1"/>
  <c r="S949" i="111"/>
  <c r="T949" i="111" s="1"/>
  <c r="S948" i="111"/>
  <c r="T948" i="111" s="1"/>
  <c r="S947" i="111"/>
  <c r="T947" i="111" s="1"/>
  <c r="S946" i="111"/>
  <c r="T946" i="111" s="1"/>
  <c r="S945" i="111"/>
  <c r="T945" i="111" s="1"/>
  <c r="S944" i="111"/>
  <c r="T944" i="111" s="1"/>
  <c r="S943" i="111"/>
  <c r="T943" i="111" s="1"/>
  <c r="S942" i="111"/>
  <c r="T942" i="111" s="1"/>
  <c r="S941" i="111"/>
  <c r="T941" i="111" s="1"/>
  <c r="T940" i="111"/>
  <c r="S940" i="111"/>
  <c r="S939" i="111"/>
  <c r="T939" i="111" s="1"/>
  <c r="S938" i="111"/>
  <c r="T938" i="111" s="1"/>
  <c r="S937" i="111"/>
  <c r="T937" i="111" s="1"/>
  <c r="T936" i="111"/>
  <c r="S936" i="111"/>
  <c r="S935" i="111"/>
  <c r="T935" i="111" s="1"/>
  <c r="S934" i="111"/>
  <c r="T934" i="111" s="1"/>
  <c r="T933" i="111"/>
  <c r="S933" i="111"/>
  <c r="S932" i="111"/>
  <c r="T932" i="111" s="1"/>
  <c r="S931" i="111"/>
  <c r="T931" i="111" s="1"/>
  <c r="S930" i="111"/>
  <c r="T930" i="111" s="1"/>
  <c r="T929" i="111"/>
  <c r="S929" i="111"/>
  <c r="T928" i="111"/>
  <c r="S928" i="111"/>
  <c r="S927" i="111"/>
  <c r="T927" i="111" s="1"/>
  <c r="S926" i="111"/>
  <c r="T926" i="111" s="1"/>
  <c r="S925" i="111"/>
  <c r="T925" i="111" s="1"/>
  <c r="S924" i="111"/>
  <c r="T924" i="111" s="1"/>
  <c r="T923" i="111"/>
  <c r="S923" i="111"/>
  <c r="T922" i="111"/>
  <c r="S922" i="111"/>
  <c r="S921" i="111"/>
  <c r="T921" i="111" s="1"/>
  <c r="S917" i="111"/>
  <c r="T917" i="111" s="1"/>
  <c r="S916" i="111"/>
  <c r="T916" i="111" s="1"/>
  <c r="S915" i="111"/>
  <c r="T915" i="111" s="1"/>
  <c r="S914" i="111"/>
  <c r="T914" i="111" s="1"/>
  <c r="S913" i="111"/>
  <c r="T913" i="111" s="1"/>
  <c r="S912" i="111"/>
  <c r="T912" i="111" s="1"/>
  <c r="S911" i="111"/>
  <c r="T911" i="111" s="1"/>
  <c r="S910" i="111"/>
  <c r="T910" i="111" s="1"/>
  <c r="S909" i="111"/>
  <c r="T909" i="111" s="1"/>
  <c r="S908" i="111"/>
  <c r="T908" i="111" s="1"/>
  <c r="S907" i="111"/>
  <c r="T907" i="111" s="1"/>
  <c r="S906" i="111"/>
  <c r="T906" i="111" s="1"/>
  <c r="S905" i="111"/>
  <c r="T905" i="111" s="1"/>
  <c r="T904" i="111"/>
  <c r="S904" i="111"/>
  <c r="S903" i="111"/>
  <c r="T903" i="111" s="1"/>
  <c r="S902" i="111"/>
  <c r="T902" i="111" s="1"/>
  <c r="S901" i="111"/>
  <c r="T901" i="111" s="1"/>
  <c r="T900" i="111"/>
  <c r="S900" i="111"/>
  <c r="S899" i="111"/>
  <c r="T899" i="111" s="1"/>
  <c r="S898" i="111"/>
  <c r="T898" i="111" s="1"/>
  <c r="S897" i="111"/>
  <c r="T897" i="111" s="1"/>
  <c r="S896" i="111"/>
  <c r="T896" i="111" s="1"/>
  <c r="S895" i="111"/>
  <c r="T895" i="111" s="1"/>
  <c r="S894" i="111"/>
  <c r="T894" i="111" s="1"/>
  <c r="S893" i="111"/>
  <c r="T893" i="111" s="1"/>
  <c r="T892" i="111"/>
  <c r="S892" i="111"/>
  <c r="S891" i="111"/>
  <c r="T891" i="111" s="1"/>
  <c r="S890" i="111"/>
  <c r="T890" i="111" s="1"/>
  <c r="S889" i="111"/>
  <c r="T889" i="111" s="1"/>
  <c r="S888" i="111"/>
  <c r="T888" i="111" s="1"/>
  <c r="S887" i="111"/>
  <c r="T887" i="111" s="1"/>
  <c r="S886" i="111"/>
  <c r="T886" i="111" s="1"/>
  <c r="S885" i="111"/>
  <c r="T885" i="111" s="1"/>
  <c r="S884" i="111"/>
  <c r="T884" i="111" s="1"/>
  <c r="S883" i="111"/>
  <c r="T883" i="111" s="1"/>
  <c r="S882" i="111"/>
  <c r="T882" i="111" s="1"/>
  <c r="S881" i="111"/>
  <c r="T881" i="111" s="1"/>
  <c r="S880" i="111"/>
  <c r="T880" i="111" s="1"/>
  <c r="S879" i="111"/>
  <c r="T879" i="111" s="1"/>
  <c r="S878" i="111"/>
  <c r="T878" i="111" s="1"/>
  <c r="S877" i="111"/>
  <c r="T877" i="111" s="1"/>
  <c r="S876" i="111"/>
  <c r="T876" i="111" s="1"/>
  <c r="S875" i="111"/>
  <c r="T875" i="111" s="1"/>
  <c r="S874" i="111"/>
  <c r="T874" i="111" s="1"/>
  <c r="S873" i="111"/>
  <c r="T873" i="111" s="1"/>
  <c r="S872" i="111"/>
  <c r="T872" i="111" s="1"/>
  <c r="S871" i="111"/>
  <c r="T871" i="111" s="1"/>
  <c r="S870" i="111"/>
  <c r="T870" i="111" s="1"/>
  <c r="S869" i="111"/>
  <c r="T869" i="111" s="1"/>
  <c r="S868" i="111"/>
  <c r="T868" i="111" s="1"/>
  <c r="S867" i="111"/>
  <c r="T867" i="111" s="1"/>
  <c r="S863" i="111"/>
  <c r="T863" i="111" s="1"/>
  <c r="S862" i="111"/>
  <c r="T862" i="111" s="1"/>
  <c r="S861" i="111"/>
  <c r="T861" i="111" s="1"/>
  <c r="T860" i="111"/>
  <c r="S860" i="111"/>
  <c r="S859" i="111"/>
  <c r="T859" i="111" s="1"/>
  <c r="S858" i="111"/>
  <c r="T858" i="111" s="1"/>
  <c r="S857" i="111"/>
  <c r="T857" i="111" s="1"/>
  <c r="S856" i="111"/>
  <c r="T856" i="111" s="1"/>
  <c r="S855" i="111"/>
  <c r="T855" i="111" s="1"/>
  <c r="S854" i="111"/>
  <c r="T854" i="111" s="1"/>
  <c r="S853" i="111"/>
  <c r="T853" i="111" s="1"/>
  <c r="S852" i="111"/>
  <c r="T852" i="111" s="1"/>
  <c r="S851" i="111"/>
  <c r="T851" i="111" s="1"/>
  <c r="S850" i="111"/>
  <c r="T850" i="111" s="1"/>
  <c r="S846" i="111"/>
  <c r="T846" i="111" s="1"/>
  <c r="S845" i="111"/>
  <c r="T845" i="111" s="1"/>
  <c r="S844" i="111"/>
  <c r="T844" i="111" s="1"/>
  <c r="T843" i="111"/>
  <c r="S843" i="111"/>
  <c r="S842" i="111"/>
  <c r="T842" i="111" s="1"/>
  <c r="S841" i="111"/>
  <c r="T841" i="111" s="1"/>
  <c r="S840" i="111"/>
  <c r="T840" i="111" s="1"/>
  <c r="S839" i="111"/>
  <c r="T839" i="111" s="1"/>
  <c r="S838" i="111"/>
  <c r="T838" i="111" s="1"/>
  <c r="S837" i="111"/>
  <c r="T837" i="111" s="1"/>
  <c r="S833" i="111"/>
  <c r="T833" i="111" s="1"/>
  <c r="S832" i="111"/>
  <c r="T832" i="111" s="1"/>
  <c r="T831" i="111"/>
  <c r="S831" i="111"/>
  <c r="T830" i="111"/>
  <c r="S830" i="111"/>
  <c r="S829" i="111"/>
  <c r="T829" i="111" s="1"/>
  <c r="S828" i="111"/>
  <c r="T828" i="111" s="1"/>
  <c r="S827" i="111"/>
  <c r="T827" i="111" s="1"/>
  <c r="S826" i="111"/>
  <c r="T826" i="111" s="1"/>
  <c r="S825" i="111"/>
  <c r="T825" i="111" s="1"/>
  <c r="S824" i="111"/>
  <c r="T824" i="111" s="1"/>
  <c r="S823" i="111"/>
  <c r="T823" i="111" s="1"/>
  <c r="T822" i="111"/>
  <c r="S822" i="111"/>
  <c r="S821" i="111"/>
  <c r="T821" i="111" s="1"/>
  <c r="T820" i="111"/>
  <c r="S820" i="111"/>
  <c r="S819" i="111"/>
  <c r="T819" i="111" s="1"/>
  <c r="S818" i="111"/>
  <c r="T818" i="111" s="1"/>
  <c r="S817" i="111"/>
  <c r="T817" i="111" s="1"/>
  <c r="T816" i="111"/>
  <c r="S816" i="111"/>
  <c r="S815" i="111"/>
  <c r="T815" i="111" s="1"/>
  <c r="S814" i="111"/>
  <c r="T814" i="111" s="1"/>
  <c r="S813" i="111"/>
  <c r="T813" i="111" s="1"/>
  <c r="S812" i="111"/>
  <c r="T812" i="111" s="1"/>
  <c r="T811" i="111"/>
  <c r="S811" i="111"/>
  <c r="S810" i="111"/>
  <c r="T810" i="111" s="1"/>
  <c r="S809" i="111"/>
  <c r="T809" i="111" s="1"/>
  <c r="S808" i="111"/>
  <c r="T808" i="111" s="1"/>
  <c r="S807" i="111"/>
  <c r="T807" i="111" s="1"/>
  <c r="T806" i="111"/>
  <c r="S806" i="111"/>
  <c r="S805" i="111"/>
  <c r="T805" i="111" s="1"/>
  <c r="S804" i="111"/>
  <c r="T804" i="111" s="1"/>
  <c r="S803" i="111"/>
  <c r="T803" i="111" s="1"/>
  <c r="T802" i="111"/>
  <c r="S802" i="111"/>
  <c r="S801" i="111"/>
  <c r="T801" i="111" s="1"/>
  <c r="T800" i="111"/>
  <c r="S800" i="111"/>
  <c r="S799" i="111"/>
  <c r="T799" i="111" s="1"/>
  <c r="S798" i="111"/>
  <c r="T798" i="111" s="1"/>
  <c r="S797" i="111"/>
  <c r="T797" i="111" s="1"/>
  <c r="S796" i="111"/>
  <c r="T796" i="111" s="1"/>
  <c r="S795" i="111"/>
  <c r="T795" i="111" s="1"/>
  <c r="S794" i="111"/>
  <c r="T794" i="111" s="1"/>
  <c r="S793" i="111"/>
  <c r="T793" i="111" s="1"/>
  <c r="T792" i="111"/>
  <c r="S792" i="111"/>
  <c r="T791" i="111"/>
  <c r="S791" i="111"/>
  <c r="T790" i="111"/>
  <c r="S790" i="111"/>
  <c r="S789" i="111"/>
  <c r="T789" i="111" s="1"/>
  <c r="S788" i="111"/>
  <c r="T788" i="111" s="1"/>
  <c r="S787" i="111"/>
  <c r="T787" i="111" s="1"/>
  <c r="S786" i="111"/>
  <c r="T786" i="111" s="1"/>
  <c r="S785" i="111"/>
  <c r="T785" i="111" s="1"/>
  <c r="T784" i="111"/>
  <c r="S784" i="111"/>
  <c r="T783" i="111"/>
  <c r="S783" i="111"/>
  <c r="T782" i="111"/>
  <c r="S782" i="111"/>
  <c r="S781" i="111"/>
  <c r="T781" i="111" s="1"/>
  <c r="S780" i="111"/>
  <c r="T780" i="111" s="1"/>
  <c r="T779" i="111"/>
  <c r="S779" i="111"/>
  <c r="S778" i="111"/>
  <c r="T778" i="111" s="1"/>
  <c r="S777" i="111"/>
  <c r="T777" i="111" s="1"/>
  <c r="T776" i="111"/>
  <c r="S776" i="111"/>
  <c r="T775" i="111"/>
  <c r="S775" i="111"/>
  <c r="T774" i="111"/>
  <c r="S774" i="111"/>
  <c r="S773" i="111"/>
  <c r="T773" i="111" s="1"/>
  <c r="S772" i="111"/>
  <c r="T772" i="111" s="1"/>
  <c r="S771" i="111"/>
  <c r="T771" i="111" s="1"/>
  <c r="S770" i="111"/>
  <c r="T770" i="111" s="1"/>
  <c r="S769" i="111"/>
  <c r="T769" i="111" s="1"/>
  <c r="T768" i="111"/>
  <c r="S768" i="111"/>
  <c r="T767" i="111"/>
  <c r="S767" i="111"/>
  <c r="T766" i="111"/>
  <c r="S766" i="111"/>
  <c r="S765" i="111"/>
  <c r="T765" i="111" s="1"/>
  <c r="S764" i="111"/>
  <c r="T764" i="111" s="1"/>
  <c r="S763" i="111"/>
  <c r="T763" i="111" s="1"/>
  <c r="S762" i="111"/>
  <c r="T762" i="111" s="1"/>
  <c r="S761" i="111"/>
  <c r="T761" i="111" s="1"/>
  <c r="S760" i="111"/>
  <c r="T760" i="111" s="1"/>
  <c r="S759" i="111"/>
  <c r="T759" i="111" s="1"/>
  <c r="S758" i="111"/>
  <c r="T758" i="111" s="1"/>
  <c r="S757" i="111"/>
  <c r="T757" i="111" s="1"/>
  <c r="T756" i="111"/>
  <c r="S756" i="111"/>
  <c r="S755" i="111"/>
  <c r="T755" i="111" s="1"/>
  <c r="S754" i="111"/>
  <c r="T754" i="111" s="1"/>
  <c r="S753" i="111"/>
  <c r="T753" i="111" s="1"/>
  <c r="S752" i="111"/>
  <c r="T752" i="111" s="1"/>
  <c r="S751" i="111"/>
  <c r="T751" i="111" s="1"/>
  <c r="S750" i="111"/>
  <c r="T750" i="111" s="1"/>
  <c r="S749" i="111"/>
  <c r="T749" i="111" s="1"/>
  <c r="S748" i="111"/>
  <c r="T748" i="111" s="1"/>
  <c r="S747" i="111"/>
  <c r="T747" i="111" s="1"/>
  <c r="S746" i="111"/>
  <c r="T746" i="111" s="1"/>
  <c r="S745" i="111"/>
  <c r="T745" i="111" s="1"/>
  <c r="S744" i="111"/>
  <c r="T744" i="111" s="1"/>
  <c r="S743" i="111"/>
  <c r="T743" i="111" s="1"/>
  <c r="S742" i="111"/>
  <c r="T742" i="111" s="1"/>
  <c r="S741" i="111"/>
  <c r="T741" i="111" s="1"/>
  <c r="S740" i="111"/>
  <c r="T740" i="111" s="1"/>
  <c r="S736" i="111"/>
  <c r="T736" i="111" s="1"/>
  <c r="S735" i="111"/>
  <c r="T735" i="111" s="1"/>
  <c r="S734" i="111"/>
  <c r="T734" i="111" s="1"/>
  <c r="S733" i="111"/>
  <c r="T733" i="111" s="1"/>
  <c r="S732" i="111"/>
  <c r="T732" i="111" s="1"/>
  <c r="S731" i="111"/>
  <c r="T731" i="111" s="1"/>
  <c r="T730" i="111"/>
  <c r="S730" i="111"/>
  <c r="S729" i="111"/>
  <c r="T729" i="111" s="1"/>
  <c r="S728" i="111"/>
  <c r="T728" i="111" s="1"/>
  <c r="S727" i="111"/>
  <c r="T727" i="111" s="1"/>
  <c r="S726" i="111"/>
  <c r="T726" i="111" s="1"/>
  <c r="S725" i="111"/>
  <c r="T725" i="111" s="1"/>
  <c r="S724" i="111"/>
  <c r="T724" i="111" s="1"/>
  <c r="S723" i="111"/>
  <c r="T723" i="111" s="1"/>
  <c r="S722" i="111"/>
  <c r="T722" i="111" s="1"/>
  <c r="S721" i="111"/>
  <c r="T721" i="111" s="1"/>
  <c r="S720" i="111"/>
  <c r="T720" i="111" s="1"/>
  <c r="S719" i="111"/>
  <c r="T719" i="111" s="1"/>
  <c r="S718" i="111"/>
  <c r="T718" i="111" s="1"/>
  <c r="S717" i="111"/>
  <c r="T717" i="111" s="1"/>
  <c r="S716" i="111"/>
  <c r="T716" i="111" s="1"/>
  <c r="S715" i="111"/>
  <c r="T715" i="111" s="1"/>
  <c r="S714" i="111"/>
  <c r="T714" i="111" s="1"/>
  <c r="S713" i="111"/>
  <c r="T713" i="111" s="1"/>
  <c r="S712" i="111"/>
  <c r="T712" i="111" s="1"/>
  <c r="S711" i="111"/>
  <c r="T711" i="111" s="1"/>
  <c r="S710" i="111"/>
  <c r="T710" i="111" s="1"/>
  <c r="S709" i="111"/>
  <c r="T709" i="111" s="1"/>
  <c r="S708" i="111"/>
  <c r="T708" i="111" s="1"/>
  <c r="S707" i="111"/>
  <c r="T707" i="111" s="1"/>
  <c r="S706" i="111"/>
  <c r="T706" i="111" s="1"/>
  <c r="S705" i="111"/>
  <c r="T705" i="111" s="1"/>
  <c r="S704" i="111"/>
  <c r="T704" i="111" s="1"/>
  <c r="S703" i="111"/>
  <c r="T703" i="111" s="1"/>
  <c r="S699" i="111"/>
  <c r="T699" i="111" s="1"/>
  <c r="S698" i="111"/>
  <c r="T698" i="111" s="1"/>
  <c r="T697" i="111"/>
  <c r="S697" i="111"/>
  <c r="S696" i="111"/>
  <c r="T696" i="111" s="1"/>
  <c r="S695" i="111"/>
  <c r="T695" i="111" s="1"/>
  <c r="S694" i="111"/>
  <c r="T694" i="111" s="1"/>
  <c r="S693" i="111"/>
  <c r="T693" i="111" s="1"/>
  <c r="S692" i="111"/>
  <c r="T692" i="111" s="1"/>
  <c r="S691" i="111"/>
  <c r="T691" i="111" s="1"/>
  <c r="S690" i="111"/>
  <c r="T690" i="111" s="1"/>
  <c r="S689" i="111"/>
  <c r="T689" i="111" s="1"/>
  <c r="S688" i="111"/>
  <c r="T688" i="111" s="1"/>
  <c r="T687" i="111"/>
  <c r="S687" i="111"/>
  <c r="T686" i="111"/>
  <c r="S686" i="111"/>
  <c r="T685" i="111"/>
  <c r="S685" i="111"/>
  <c r="S684" i="111"/>
  <c r="T684" i="111" s="1"/>
  <c r="S683" i="111"/>
  <c r="T683" i="111" s="1"/>
  <c r="S682" i="111"/>
  <c r="T682" i="111" s="1"/>
  <c r="S681" i="111"/>
  <c r="T681" i="111" s="1"/>
  <c r="S680" i="111"/>
  <c r="T680" i="111" s="1"/>
  <c r="T679" i="111"/>
  <c r="S679" i="111"/>
  <c r="T678" i="111"/>
  <c r="S678" i="111"/>
  <c r="T677" i="111"/>
  <c r="S677" i="111"/>
  <c r="S676" i="111"/>
  <c r="T676" i="111" s="1"/>
  <c r="S675" i="111"/>
  <c r="T675" i="111" s="1"/>
  <c r="T674" i="111"/>
  <c r="S674" i="111"/>
  <c r="S673" i="111"/>
  <c r="T673" i="111" s="1"/>
  <c r="S672" i="111"/>
  <c r="T672" i="111" s="1"/>
  <c r="T671" i="111"/>
  <c r="S671" i="111"/>
  <c r="T670" i="111"/>
  <c r="S670" i="111"/>
  <c r="T669" i="111"/>
  <c r="S669" i="111"/>
  <c r="T665" i="111"/>
  <c r="S665" i="111"/>
  <c r="S664" i="111"/>
  <c r="T664" i="111" s="1"/>
  <c r="S663" i="111"/>
  <c r="T663" i="111" s="1"/>
  <c r="S662" i="111"/>
  <c r="T662" i="111" s="1"/>
  <c r="S661" i="111"/>
  <c r="T661" i="111" s="1"/>
  <c r="S660" i="111"/>
  <c r="T660" i="111" s="1"/>
  <c r="S659" i="111"/>
  <c r="T659" i="111" s="1"/>
  <c r="S658" i="111"/>
  <c r="T658" i="111" s="1"/>
  <c r="T657" i="111"/>
  <c r="S657" i="111"/>
  <c r="S656" i="111"/>
  <c r="T656" i="111" s="1"/>
  <c r="S655" i="111"/>
  <c r="T655" i="111" s="1"/>
  <c r="S654" i="111"/>
  <c r="T654" i="111" s="1"/>
  <c r="S653" i="111"/>
  <c r="T653" i="111" s="1"/>
  <c r="S652" i="111"/>
  <c r="T652" i="111" s="1"/>
  <c r="S651" i="111"/>
  <c r="T651" i="111" s="1"/>
  <c r="S650" i="111"/>
  <c r="T650" i="111" s="1"/>
  <c r="S649" i="111"/>
  <c r="T649" i="111" s="1"/>
  <c r="S648" i="111"/>
  <c r="T648" i="111" s="1"/>
  <c r="S647" i="111"/>
  <c r="T647" i="111" s="1"/>
  <c r="S646" i="111"/>
  <c r="T646" i="111" s="1"/>
  <c r="S645" i="111"/>
  <c r="T645" i="111" s="1"/>
  <c r="S644" i="111"/>
  <c r="T644" i="111" s="1"/>
  <c r="S643" i="111"/>
  <c r="T643" i="111" s="1"/>
  <c r="S642" i="111"/>
  <c r="T642" i="111" s="1"/>
  <c r="S641" i="111"/>
  <c r="T641" i="111" s="1"/>
  <c r="S640" i="111"/>
  <c r="T640" i="111" s="1"/>
  <c r="S639" i="111"/>
  <c r="T639" i="111" s="1"/>
  <c r="S638" i="111"/>
  <c r="T638" i="111" s="1"/>
  <c r="S637" i="111"/>
  <c r="T637" i="111" s="1"/>
  <c r="S636" i="111"/>
  <c r="T636" i="111" s="1"/>
  <c r="S632" i="111"/>
  <c r="T632" i="111" s="1"/>
  <c r="S631" i="111"/>
  <c r="T631" i="111" s="1"/>
  <c r="S630" i="111"/>
  <c r="T630" i="111" s="1"/>
  <c r="S629" i="111"/>
  <c r="T629" i="111" s="1"/>
  <c r="S628" i="111"/>
  <c r="T628" i="111" s="1"/>
  <c r="S627" i="111"/>
  <c r="T627" i="111" s="1"/>
  <c r="S626" i="111"/>
  <c r="T626" i="111" s="1"/>
  <c r="S625" i="111"/>
  <c r="T625" i="111" s="1"/>
  <c r="S624" i="111"/>
  <c r="T624" i="111" s="1"/>
  <c r="S623" i="111"/>
  <c r="T623" i="111" s="1"/>
  <c r="T622" i="111"/>
  <c r="S622" i="111"/>
  <c r="T621" i="111"/>
  <c r="S621" i="111"/>
  <c r="T620" i="111"/>
  <c r="S620" i="111"/>
  <c r="T619" i="111"/>
  <c r="S619" i="111"/>
  <c r="T618" i="111"/>
  <c r="S618" i="111"/>
  <c r="T617" i="111"/>
  <c r="S617" i="111"/>
  <c r="T616" i="111"/>
  <c r="S616" i="111"/>
  <c r="S615" i="111"/>
  <c r="T615" i="111" s="1"/>
  <c r="S614" i="111"/>
  <c r="T614" i="111" s="1"/>
  <c r="S613" i="111"/>
  <c r="T613" i="111" s="1"/>
  <c r="S612" i="111"/>
  <c r="T612" i="111" s="1"/>
  <c r="S611" i="111"/>
  <c r="T611" i="111" s="1"/>
  <c r="T610" i="111"/>
  <c r="S610" i="111"/>
  <c r="T609" i="111"/>
  <c r="S609" i="111"/>
  <c r="T608" i="111"/>
  <c r="S608" i="111"/>
  <c r="S607" i="111"/>
  <c r="T607" i="111" s="1"/>
  <c r="S606" i="111"/>
  <c r="T606" i="111" s="1"/>
  <c r="S605" i="111"/>
  <c r="T605" i="111" s="1"/>
  <c r="S604" i="111"/>
  <c r="T604" i="111" s="1"/>
  <c r="S603" i="111"/>
  <c r="T603" i="111" s="1"/>
  <c r="T602" i="111"/>
  <c r="S602" i="111"/>
  <c r="T601" i="111"/>
  <c r="S601" i="111"/>
  <c r="T600" i="111"/>
  <c r="S600" i="111"/>
  <c r="S599" i="111"/>
  <c r="T599" i="111" s="1"/>
  <c r="S598" i="111"/>
  <c r="T598" i="111" s="1"/>
  <c r="S597" i="111"/>
  <c r="T597" i="111" s="1"/>
  <c r="S596" i="111"/>
  <c r="T596" i="111" s="1"/>
  <c r="S595" i="111"/>
  <c r="T595" i="111" s="1"/>
  <c r="S594" i="111"/>
  <c r="T594" i="111" s="1"/>
  <c r="S593" i="111"/>
  <c r="T593" i="111" s="1"/>
  <c r="S589" i="111"/>
  <c r="T589" i="111" s="1"/>
  <c r="S588" i="111"/>
  <c r="T588" i="111" s="1"/>
  <c r="S587" i="111"/>
  <c r="T587" i="111" s="1"/>
  <c r="S586" i="111"/>
  <c r="T586" i="111" s="1"/>
  <c r="S585" i="111"/>
  <c r="T585" i="111" s="1"/>
  <c r="T584" i="111"/>
  <c r="S584" i="111"/>
  <c r="S583" i="111"/>
  <c r="T583" i="111" s="1"/>
  <c r="S582" i="111"/>
  <c r="T582" i="111" s="1"/>
  <c r="S581" i="111"/>
  <c r="T581" i="111" s="1"/>
  <c r="S580" i="111"/>
  <c r="T580" i="111" s="1"/>
  <c r="S579" i="111"/>
  <c r="T579" i="111" s="1"/>
  <c r="S578" i="111"/>
  <c r="T578" i="111" s="1"/>
  <c r="S577" i="111"/>
  <c r="T577" i="111" s="1"/>
  <c r="S576" i="111"/>
  <c r="T576" i="111" s="1"/>
  <c r="S575" i="111"/>
  <c r="T575" i="111" s="1"/>
  <c r="S574" i="111"/>
  <c r="T574" i="111" s="1"/>
  <c r="S573" i="111"/>
  <c r="T573" i="111" s="1"/>
  <c r="S572" i="111"/>
  <c r="T572" i="111" s="1"/>
  <c r="S571" i="111"/>
  <c r="T571" i="111" s="1"/>
  <c r="S570" i="111"/>
  <c r="T570" i="111" s="1"/>
  <c r="S569" i="111"/>
  <c r="T569" i="111" s="1"/>
  <c r="S568" i="111"/>
  <c r="T568" i="111" s="1"/>
  <c r="S567" i="111"/>
  <c r="T567" i="111" s="1"/>
  <c r="S566" i="111"/>
  <c r="T566" i="111" s="1"/>
  <c r="S565" i="111"/>
  <c r="T565" i="111" s="1"/>
  <c r="S564" i="111"/>
  <c r="T564" i="111" s="1"/>
  <c r="S563" i="111"/>
  <c r="T563" i="111" s="1"/>
  <c r="S562" i="111"/>
  <c r="T562" i="111" s="1"/>
  <c r="S561" i="111"/>
  <c r="T561" i="111" s="1"/>
  <c r="S560" i="111"/>
  <c r="T560" i="111" s="1"/>
  <c r="S559" i="111"/>
  <c r="T559" i="111" s="1"/>
  <c r="S558" i="111"/>
  <c r="T558" i="111" s="1"/>
  <c r="S557" i="111"/>
  <c r="T557" i="111" s="1"/>
  <c r="S556" i="111"/>
  <c r="T556" i="111" s="1"/>
  <c r="S555" i="111"/>
  <c r="T555" i="111" s="1"/>
  <c r="S554" i="111"/>
  <c r="T554" i="111" s="1"/>
  <c r="S553" i="111"/>
  <c r="T553" i="111" s="1"/>
  <c r="S552" i="111"/>
  <c r="T552" i="111" s="1"/>
  <c r="S551" i="111"/>
  <c r="T551" i="111" s="1"/>
  <c r="S550" i="111"/>
  <c r="T550" i="111" s="1"/>
  <c r="S549" i="111"/>
  <c r="T549" i="111" s="1"/>
  <c r="S548" i="111"/>
  <c r="T548" i="111" s="1"/>
  <c r="S547" i="111"/>
  <c r="T547" i="111" s="1"/>
  <c r="S546" i="111"/>
  <c r="T546" i="111" s="1"/>
  <c r="S545" i="111"/>
  <c r="T545" i="111" s="1"/>
  <c r="S544" i="111"/>
  <c r="T544" i="111" s="1"/>
  <c r="S543" i="111"/>
  <c r="T543" i="111" s="1"/>
  <c r="S542" i="111"/>
  <c r="T542" i="111" s="1"/>
  <c r="S541" i="111"/>
  <c r="T541" i="111" s="1"/>
  <c r="T540" i="111"/>
  <c r="S540" i="111"/>
  <c r="S539" i="111"/>
  <c r="T539" i="111" s="1"/>
  <c r="S538" i="111"/>
  <c r="T538" i="111" s="1"/>
  <c r="S537" i="111"/>
  <c r="T537" i="111" s="1"/>
  <c r="S536" i="111"/>
  <c r="T536" i="111" s="1"/>
  <c r="S535" i="111"/>
  <c r="T535" i="111" s="1"/>
  <c r="S534" i="111"/>
  <c r="T534" i="111" s="1"/>
  <c r="S533" i="111"/>
  <c r="T533" i="111" s="1"/>
  <c r="S532" i="111"/>
  <c r="T532" i="111" s="1"/>
  <c r="S531" i="111"/>
  <c r="T531" i="111" s="1"/>
  <c r="S530" i="111"/>
  <c r="T530" i="111" s="1"/>
  <c r="S529" i="111"/>
  <c r="T529" i="111" s="1"/>
  <c r="S525" i="111"/>
  <c r="T525" i="111" s="1"/>
  <c r="S524" i="111"/>
  <c r="T524" i="111" s="1"/>
  <c r="S523" i="111"/>
  <c r="T523" i="111" s="1"/>
  <c r="T522" i="111"/>
  <c r="S522" i="111"/>
  <c r="S521" i="111"/>
  <c r="T521" i="111" s="1"/>
  <c r="S520" i="111"/>
  <c r="T520" i="111" s="1"/>
  <c r="S519" i="111"/>
  <c r="T519" i="111" s="1"/>
  <c r="S518" i="111"/>
  <c r="T518" i="111" s="1"/>
  <c r="S517" i="111"/>
  <c r="T517" i="111" s="1"/>
  <c r="S516" i="111"/>
  <c r="T516" i="111" s="1"/>
  <c r="S515" i="111"/>
  <c r="T515" i="111" s="1"/>
  <c r="T514" i="111"/>
  <c r="S514" i="111"/>
  <c r="S513" i="111"/>
  <c r="T513" i="111" s="1"/>
  <c r="S512" i="111"/>
  <c r="T512" i="111" s="1"/>
  <c r="S511" i="111"/>
  <c r="T511" i="111" s="1"/>
  <c r="S510" i="111"/>
  <c r="T510" i="111" s="1"/>
  <c r="S506" i="111"/>
  <c r="T506" i="111" s="1"/>
  <c r="S505" i="111"/>
  <c r="T505" i="111" s="1"/>
  <c r="S504" i="111"/>
  <c r="T504" i="111" s="1"/>
  <c r="T503" i="111"/>
  <c r="S503" i="111"/>
  <c r="S502" i="111"/>
  <c r="T502" i="111" s="1"/>
  <c r="S501" i="111"/>
  <c r="T501" i="111" s="1"/>
  <c r="S500" i="111"/>
  <c r="T500" i="111" s="1"/>
  <c r="S499" i="111"/>
  <c r="T499" i="111" s="1"/>
  <c r="S498" i="111"/>
  <c r="T498" i="111" s="1"/>
  <c r="S497" i="111"/>
  <c r="T497" i="111" s="1"/>
  <c r="S496" i="111"/>
  <c r="T496" i="111" s="1"/>
  <c r="S495" i="111"/>
  <c r="T495" i="111" s="1"/>
  <c r="S494" i="111"/>
  <c r="T494" i="111" s="1"/>
  <c r="S493" i="111"/>
  <c r="T493" i="111" s="1"/>
  <c r="S492" i="111"/>
  <c r="T492" i="111" s="1"/>
  <c r="S491" i="111"/>
  <c r="T491" i="111" s="1"/>
  <c r="S490" i="111"/>
  <c r="T490" i="111" s="1"/>
  <c r="S489" i="111"/>
  <c r="T489" i="111" s="1"/>
  <c r="S488" i="111"/>
  <c r="T488" i="111" s="1"/>
  <c r="S487" i="111"/>
  <c r="T487" i="111" s="1"/>
  <c r="S486" i="111"/>
  <c r="T486" i="111" s="1"/>
  <c r="S485" i="111"/>
  <c r="T485" i="111" s="1"/>
  <c r="S484" i="111"/>
  <c r="T484" i="111" s="1"/>
  <c r="S483" i="111"/>
  <c r="T483" i="111" s="1"/>
  <c r="S482" i="111"/>
  <c r="T482" i="111" s="1"/>
  <c r="S481" i="111"/>
  <c r="T481" i="111" s="1"/>
  <c r="S480" i="111"/>
  <c r="T480" i="111" s="1"/>
  <c r="S479" i="111"/>
  <c r="T479" i="111" s="1"/>
  <c r="S478" i="111"/>
  <c r="T478" i="111" s="1"/>
  <c r="S477" i="111"/>
  <c r="T477" i="111" s="1"/>
  <c r="S476" i="111"/>
  <c r="T476" i="111" s="1"/>
  <c r="S475" i="111"/>
  <c r="T475" i="111" s="1"/>
  <c r="S474" i="111"/>
  <c r="T474" i="111" s="1"/>
  <c r="S470" i="111"/>
  <c r="T470" i="111" s="1"/>
  <c r="S469" i="111"/>
  <c r="T469" i="111" s="1"/>
  <c r="S468" i="111"/>
  <c r="T468" i="111" s="1"/>
  <c r="S467" i="111"/>
  <c r="T467" i="111" s="1"/>
  <c r="S466" i="111"/>
  <c r="T466" i="111" s="1"/>
  <c r="S465" i="111"/>
  <c r="T465" i="111" s="1"/>
  <c r="S464" i="111"/>
  <c r="T464" i="111" s="1"/>
  <c r="S463" i="111"/>
  <c r="T463" i="111" s="1"/>
  <c r="S462" i="111"/>
  <c r="T462" i="111" s="1"/>
  <c r="S461" i="111"/>
  <c r="T461" i="111" s="1"/>
  <c r="S460" i="111"/>
  <c r="T460" i="111" s="1"/>
  <c r="S459" i="111"/>
  <c r="T459" i="111" s="1"/>
  <c r="S458" i="111"/>
  <c r="T458" i="111" s="1"/>
  <c r="T457" i="111"/>
  <c r="S457" i="111"/>
  <c r="S456" i="111"/>
  <c r="T456" i="111" s="1"/>
  <c r="S455" i="111"/>
  <c r="T455" i="111" s="1"/>
  <c r="S454" i="111"/>
  <c r="T454" i="111" s="1"/>
  <c r="S453" i="111"/>
  <c r="T453" i="111" s="1"/>
  <c r="S452" i="111"/>
  <c r="T452" i="111" s="1"/>
  <c r="S451" i="111"/>
  <c r="T451" i="111" s="1"/>
  <c r="S450" i="111"/>
  <c r="T450" i="111" s="1"/>
  <c r="S449" i="111"/>
  <c r="T449" i="111" s="1"/>
  <c r="S448" i="111"/>
  <c r="T448" i="111" s="1"/>
  <c r="S447" i="111"/>
  <c r="T447" i="111" s="1"/>
  <c r="S446" i="111"/>
  <c r="T446" i="111" s="1"/>
  <c r="S445" i="111"/>
  <c r="T445" i="111" s="1"/>
  <c r="S444" i="111"/>
  <c r="T444" i="111" s="1"/>
  <c r="S443" i="111"/>
  <c r="T443" i="111" s="1"/>
  <c r="S442" i="111"/>
  <c r="T442" i="111" s="1"/>
  <c r="S441" i="111"/>
  <c r="T441" i="111" s="1"/>
  <c r="S440" i="111"/>
  <c r="T440" i="111" s="1"/>
  <c r="T439" i="111"/>
  <c r="S439" i="111"/>
  <c r="S438" i="111"/>
  <c r="T438" i="111" s="1"/>
  <c r="S437" i="111"/>
  <c r="T437" i="111" s="1"/>
  <c r="S436" i="111"/>
  <c r="T436" i="111" s="1"/>
  <c r="S435" i="111"/>
  <c r="T435" i="111" s="1"/>
  <c r="S434" i="111"/>
  <c r="T434" i="111" s="1"/>
  <c r="S433" i="111"/>
  <c r="T433" i="111" s="1"/>
  <c r="S432" i="111"/>
  <c r="T432" i="111" s="1"/>
  <c r="S428" i="111"/>
  <c r="T428" i="111" s="1"/>
  <c r="S427" i="111"/>
  <c r="T427" i="111" s="1"/>
  <c r="S426" i="111"/>
  <c r="T426" i="111" s="1"/>
  <c r="S425" i="111"/>
  <c r="T425" i="111" s="1"/>
  <c r="S424" i="111"/>
  <c r="T424" i="111" s="1"/>
  <c r="S423" i="111"/>
  <c r="T423" i="111" s="1"/>
  <c r="S422" i="111"/>
  <c r="T422" i="111" s="1"/>
  <c r="S421" i="111"/>
  <c r="T421" i="111" s="1"/>
  <c r="S420" i="111"/>
  <c r="T420" i="111" s="1"/>
  <c r="S419" i="111"/>
  <c r="T419" i="111" s="1"/>
  <c r="S418" i="111"/>
  <c r="T418" i="111" s="1"/>
  <c r="S417" i="111"/>
  <c r="T417" i="111" s="1"/>
  <c r="S413" i="111"/>
  <c r="T413" i="111" s="1"/>
  <c r="S412" i="111"/>
  <c r="T412" i="111" s="1"/>
  <c r="S411" i="111"/>
  <c r="T411" i="111" s="1"/>
  <c r="T410" i="111"/>
  <c r="S410" i="111"/>
  <c r="T409" i="111"/>
  <c r="S409" i="111"/>
  <c r="S408" i="111"/>
  <c r="T408" i="111" s="1"/>
  <c r="S407" i="111"/>
  <c r="T407" i="111" s="1"/>
  <c r="S406" i="111"/>
  <c r="T406" i="111" s="1"/>
  <c r="S405" i="111"/>
  <c r="T405" i="111" s="1"/>
  <c r="S404" i="111"/>
  <c r="T404" i="111" s="1"/>
  <c r="S403" i="111"/>
  <c r="T403" i="111" s="1"/>
  <c r="S402" i="111"/>
  <c r="T402" i="111" s="1"/>
  <c r="T401" i="111"/>
  <c r="S401" i="111"/>
  <c r="S400" i="111"/>
  <c r="T400" i="111" s="1"/>
  <c r="S399" i="111"/>
  <c r="T399" i="111" s="1"/>
  <c r="T398" i="111"/>
  <c r="S398" i="111"/>
  <c r="S397" i="111"/>
  <c r="T397" i="111" s="1"/>
  <c r="S396" i="111"/>
  <c r="T396" i="111" s="1"/>
  <c r="T395" i="111"/>
  <c r="S395" i="111"/>
  <c r="S394" i="111"/>
  <c r="T394" i="111" s="1"/>
  <c r="S393" i="111"/>
  <c r="T393" i="111" s="1"/>
  <c r="S392" i="111"/>
  <c r="T392" i="111" s="1"/>
  <c r="S391" i="111"/>
  <c r="T391" i="111" s="1"/>
  <c r="S390" i="111"/>
  <c r="T390" i="111" s="1"/>
  <c r="S389" i="111"/>
  <c r="T389" i="111" s="1"/>
  <c r="S388" i="111"/>
  <c r="T388" i="111" s="1"/>
  <c r="T387" i="111"/>
  <c r="S387" i="111"/>
  <c r="T386" i="111"/>
  <c r="S386" i="111"/>
  <c r="S385" i="111"/>
  <c r="T385" i="111" s="1"/>
  <c r="S384" i="111"/>
  <c r="T384" i="111" s="1"/>
  <c r="S383" i="111"/>
  <c r="T383" i="111" s="1"/>
  <c r="S382" i="111"/>
  <c r="T382" i="111" s="1"/>
  <c r="S381" i="111"/>
  <c r="T381" i="111" s="1"/>
  <c r="S380" i="111"/>
  <c r="T380" i="111" s="1"/>
  <c r="S379" i="111"/>
  <c r="T379" i="111" s="1"/>
  <c r="S378" i="111"/>
  <c r="T378" i="111" s="1"/>
  <c r="S377" i="111"/>
  <c r="T377" i="111" s="1"/>
  <c r="S376" i="111"/>
  <c r="T376" i="111" s="1"/>
  <c r="T375" i="111"/>
  <c r="S375" i="111"/>
  <c r="S374" i="111"/>
  <c r="T374" i="111" s="1"/>
  <c r="S373" i="111"/>
  <c r="T373" i="111" s="1"/>
  <c r="S372" i="111"/>
  <c r="T372" i="111" s="1"/>
  <c r="S371" i="111"/>
  <c r="T371" i="111" s="1"/>
  <c r="S370" i="111"/>
  <c r="T370" i="111" s="1"/>
  <c r="S369" i="111"/>
  <c r="T369" i="111" s="1"/>
  <c r="S368" i="111"/>
  <c r="T368" i="111" s="1"/>
  <c r="S367" i="111"/>
  <c r="T367" i="111" s="1"/>
  <c r="S366" i="111"/>
  <c r="T366" i="111" s="1"/>
  <c r="S365" i="111"/>
  <c r="T365" i="111" s="1"/>
  <c r="S364" i="111"/>
  <c r="T364" i="111" s="1"/>
  <c r="S363" i="111"/>
  <c r="T363" i="111" s="1"/>
  <c r="S362" i="111"/>
  <c r="T362" i="111" s="1"/>
  <c r="S361" i="111"/>
  <c r="T361" i="111" s="1"/>
  <c r="S360" i="111"/>
  <c r="T360" i="111" s="1"/>
  <c r="S359" i="111"/>
  <c r="T359" i="111" s="1"/>
  <c r="S358" i="111"/>
  <c r="T358" i="111" s="1"/>
  <c r="T357" i="111"/>
  <c r="S357" i="111"/>
  <c r="S356" i="111"/>
  <c r="T356" i="111" s="1"/>
  <c r="S355" i="111"/>
  <c r="T355" i="111" s="1"/>
  <c r="S354" i="111"/>
  <c r="T354" i="111" s="1"/>
  <c r="S353" i="111"/>
  <c r="T353" i="111" s="1"/>
  <c r="S352" i="111"/>
  <c r="T352" i="111" s="1"/>
  <c r="S351" i="111"/>
  <c r="T351" i="111" s="1"/>
  <c r="S350" i="111"/>
  <c r="T350" i="111" s="1"/>
  <c r="S349" i="111"/>
  <c r="T349" i="111" s="1"/>
  <c r="S348" i="111"/>
  <c r="T348" i="111" s="1"/>
  <c r="S347" i="111"/>
  <c r="T347" i="111" s="1"/>
  <c r="T346" i="111"/>
  <c r="S346" i="111"/>
  <c r="T345" i="111"/>
  <c r="S345" i="111"/>
  <c r="S344" i="111"/>
  <c r="T344" i="111" s="1"/>
  <c r="S343" i="111"/>
  <c r="T343" i="111" s="1"/>
  <c r="S342" i="111"/>
  <c r="T342" i="111" s="1"/>
  <c r="S341" i="111"/>
  <c r="T341" i="111" s="1"/>
  <c r="S340" i="111"/>
  <c r="T340" i="111" s="1"/>
  <c r="S339" i="111"/>
  <c r="T339" i="111" s="1"/>
  <c r="S338" i="111"/>
  <c r="T338" i="111" s="1"/>
  <c r="T337" i="111"/>
  <c r="S337" i="111"/>
  <c r="S336" i="111"/>
  <c r="T336" i="111" s="1"/>
  <c r="S335" i="111"/>
  <c r="T335" i="111" s="1"/>
  <c r="T334" i="111"/>
  <c r="S334" i="111"/>
  <c r="S333" i="111"/>
  <c r="T333" i="111" s="1"/>
  <c r="S332" i="111"/>
  <c r="T332" i="111" s="1"/>
  <c r="T331" i="111"/>
  <c r="S331" i="111"/>
  <c r="S330" i="111"/>
  <c r="T330" i="111" s="1"/>
  <c r="S329" i="111"/>
  <c r="T329" i="111" s="1"/>
  <c r="S328" i="111"/>
  <c r="T328" i="111" s="1"/>
  <c r="S327" i="111"/>
  <c r="T327" i="111" s="1"/>
  <c r="S326" i="111"/>
  <c r="T326" i="111" s="1"/>
  <c r="S325" i="111"/>
  <c r="T325" i="111" s="1"/>
  <c r="S324" i="111"/>
  <c r="T324" i="111" s="1"/>
  <c r="S323" i="111"/>
  <c r="T323" i="111" s="1"/>
  <c r="T322" i="111"/>
  <c r="S322" i="111"/>
  <c r="S321" i="111"/>
  <c r="T321" i="111" s="1"/>
  <c r="S320" i="111"/>
  <c r="T320" i="111" s="1"/>
  <c r="S319" i="111"/>
  <c r="T319" i="111" s="1"/>
  <c r="S318" i="111"/>
  <c r="T318" i="111" s="1"/>
  <c r="S317" i="111"/>
  <c r="T317" i="111" s="1"/>
  <c r="S313" i="111"/>
  <c r="T313" i="111" s="1"/>
  <c r="S312" i="111"/>
  <c r="T312" i="111" s="1"/>
  <c r="S311" i="111"/>
  <c r="T311" i="111" s="1"/>
  <c r="S310" i="111"/>
  <c r="T310" i="111" s="1"/>
  <c r="S309" i="111"/>
  <c r="T309" i="111" s="1"/>
  <c r="S308" i="111"/>
  <c r="T308" i="111" s="1"/>
  <c r="S307" i="111"/>
  <c r="T307" i="111" s="1"/>
  <c r="S306" i="111"/>
  <c r="T306" i="111" s="1"/>
  <c r="S305" i="111"/>
  <c r="T305" i="111" s="1"/>
  <c r="S304" i="111"/>
  <c r="T304" i="111" s="1"/>
  <c r="S303" i="111"/>
  <c r="T303" i="111" s="1"/>
  <c r="S302" i="111"/>
  <c r="T302" i="111" s="1"/>
  <c r="S301" i="111"/>
  <c r="T301" i="111" s="1"/>
  <c r="S300" i="111"/>
  <c r="T300" i="111" s="1"/>
  <c r="S299" i="111"/>
  <c r="T299" i="111" s="1"/>
  <c r="S298" i="111"/>
  <c r="T298" i="111" s="1"/>
  <c r="S297" i="111"/>
  <c r="T297" i="111" s="1"/>
  <c r="S296" i="111"/>
  <c r="T296" i="111" s="1"/>
  <c r="S295" i="111"/>
  <c r="T295" i="111" s="1"/>
  <c r="S294" i="111"/>
  <c r="T294" i="111" s="1"/>
  <c r="S293" i="111"/>
  <c r="T293" i="111" s="1"/>
  <c r="S292" i="111"/>
  <c r="T292" i="111" s="1"/>
  <c r="S291" i="111"/>
  <c r="T291" i="111" s="1"/>
  <c r="S290" i="111"/>
  <c r="T290" i="111" s="1"/>
  <c r="S289" i="111"/>
  <c r="T289" i="111" s="1"/>
  <c r="S288" i="111"/>
  <c r="T288" i="111" s="1"/>
  <c r="S287" i="111"/>
  <c r="T287" i="111" s="1"/>
  <c r="T286" i="111"/>
  <c r="S286" i="111"/>
  <c r="S285" i="111"/>
  <c r="T285" i="111" s="1"/>
  <c r="S284" i="111"/>
  <c r="T284" i="111" s="1"/>
  <c r="S283" i="111"/>
  <c r="T283" i="111" s="1"/>
  <c r="S282" i="111"/>
  <c r="T282" i="111" s="1"/>
  <c r="S281" i="111"/>
  <c r="T281" i="111" s="1"/>
  <c r="S280" i="111"/>
  <c r="T280" i="111" s="1"/>
  <c r="S279" i="111"/>
  <c r="T279" i="111" s="1"/>
  <c r="S278" i="111"/>
  <c r="T278" i="111" s="1"/>
  <c r="S277" i="111"/>
  <c r="T277" i="111" s="1"/>
  <c r="S276" i="111"/>
  <c r="T276" i="111" s="1"/>
  <c r="S275" i="111"/>
  <c r="T275" i="111" s="1"/>
  <c r="S274" i="111"/>
  <c r="T274" i="111" s="1"/>
  <c r="S273" i="111"/>
  <c r="T273" i="111" s="1"/>
  <c r="S272" i="111"/>
  <c r="T272" i="111" s="1"/>
  <c r="S271" i="111"/>
  <c r="T271" i="111" s="1"/>
  <c r="S270" i="111"/>
  <c r="T270" i="111" s="1"/>
  <c r="S269" i="111"/>
  <c r="T269" i="111" s="1"/>
  <c r="S268" i="111"/>
  <c r="T268" i="111" s="1"/>
  <c r="S267" i="111"/>
  <c r="T267" i="111" s="1"/>
  <c r="S266" i="111"/>
  <c r="T266" i="111" s="1"/>
  <c r="S265" i="111"/>
  <c r="T265" i="111" s="1"/>
  <c r="S264" i="111"/>
  <c r="T264" i="111" s="1"/>
  <c r="S263" i="111"/>
  <c r="T263" i="111" s="1"/>
  <c r="S262" i="111"/>
  <c r="T262" i="111" s="1"/>
  <c r="S261" i="111"/>
  <c r="T261" i="111" s="1"/>
  <c r="S260" i="111"/>
  <c r="T260" i="111" s="1"/>
  <c r="S259" i="111"/>
  <c r="T259" i="111" s="1"/>
  <c r="S258" i="111"/>
  <c r="T258" i="111" s="1"/>
  <c r="S257" i="111"/>
  <c r="T257" i="111" s="1"/>
  <c r="S256" i="111"/>
  <c r="T256" i="111" s="1"/>
  <c r="S255" i="111"/>
  <c r="T255" i="111" s="1"/>
  <c r="S254" i="111"/>
  <c r="T254" i="111" s="1"/>
  <c r="S253" i="111"/>
  <c r="T253" i="111" s="1"/>
  <c r="S252" i="111"/>
  <c r="T252" i="111" s="1"/>
  <c r="S251" i="111"/>
  <c r="T251" i="111" s="1"/>
  <c r="S250" i="111"/>
  <c r="T250" i="111" s="1"/>
  <c r="S249" i="111"/>
  <c r="T249" i="111" s="1"/>
  <c r="S245" i="111"/>
  <c r="T245" i="111" s="1"/>
  <c r="S244" i="111"/>
  <c r="T244" i="111" s="1"/>
  <c r="S243" i="111"/>
  <c r="T243" i="111" s="1"/>
  <c r="T242" i="111"/>
  <c r="S242" i="111"/>
  <c r="S241" i="111"/>
  <c r="T241" i="111" s="1"/>
  <c r="S240" i="111"/>
  <c r="T240" i="111" s="1"/>
  <c r="S239" i="111"/>
  <c r="T239" i="111" s="1"/>
  <c r="S238" i="111"/>
  <c r="T238" i="111" s="1"/>
  <c r="S237" i="111"/>
  <c r="T237" i="111" s="1"/>
  <c r="S236" i="111"/>
  <c r="T236" i="111" s="1"/>
  <c r="S235" i="111"/>
  <c r="T235" i="111" s="1"/>
  <c r="S234" i="111"/>
  <c r="T234" i="111" s="1"/>
  <c r="S233" i="111"/>
  <c r="T233" i="111" s="1"/>
  <c r="S232" i="111"/>
  <c r="T232" i="111" s="1"/>
  <c r="S231" i="111"/>
  <c r="T231" i="111" s="1"/>
  <c r="S230" i="111"/>
  <c r="T230" i="111" s="1"/>
  <c r="S229" i="111"/>
  <c r="T229" i="111" s="1"/>
  <c r="S228" i="111"/>
  <c r="T228" i="111" s="1"/>
  <c r="S227" i="111"/>
  <c r="T227" i="111" s="1"/>
  <c r="S226" i="111"/>
  <c r="T226" i="111" s="1"/>
  <c r="S225" i="111"/>
  <c r="T225" i="111" s="1"/>
  <c r="S224" i="111"/>
  <c r="T224" i="111" s="1"/>
  <c r="S223" i="111"/>
  <c r="T223" i="111" s="1"/>
  <c r="S222" i="111"/>
  <c r="T222" i="111" s="1"/>
  <c r="S221" i="111"/>
  <c r="T221" i="111" s="1"/>
  <c r="S220" i="111"/>
  <c r="T220" i="111" s="1"/>
  <c r="S219" i="111"/>
  <c r="T219" i="111" s="1"/>
  <c r="S218" i="111"/>
  <c r="T218" i="111" s="1"/>
  <c r="S217" i="111"/>
  <c r="T217" i="111" s="1"/>
  <c r="S216" i="111"/>
  <c r="T216" i="111" s="1"/>
  <c r="S215" i="111"/>
  <c r="T215" i="111" s="1"/>
  <c r="S214" i="111"/>
  <c r="T214" i="111" s="1"/>
  <c r="S213" i="111"/>
  <c r="T213" i="111" s="1"/>
  <c r="S212" i="111"/>
  <c r="T212" i="111" s="1"/>
  <c r="S211" i="111"/>
  <c r="T211" i="111" s="1"/>
  <c r="S207" i="111"/>
  <c r="T207" i="111" s="1"/>
  <c r="S206" i="111"/>
  <c r="T206" i="111" s="1"/>
  <c r="S205" i="111"/>
  <c r="T205" i="111" s="1"/>
  <c r="T204" i="111"/>
  <c r="S204" i="111"/>
  <c r="T203" i="111"/>
  <c r="S203" i="111"/>
  <c r="S202" i="111"/>
  <c r="T202" i="111" s="1"/>
  <c r="S201" i="111"/>
  <c r="T201" i="111" s="1"/>
  <c r="S200" i="111"/>
  <c r="T200" i="111" s="1"/>
  <c r="S199" i="111"/>
  <c r="T199" i="111" s="1"/>
  <c r="S198" i="111"/>
  <c r="T198" i="111" s="1"/>
  <c r="S197" i="111"/>
  <c r="T197" i="111" s="1"/>
  <c r="S196" i="111"/>
  <c r="T196" i="111" s="1"/>
  <c r="S195" i="111"/>
  <c r="T195" i="111" s="1"/>
  <c r="S194" i="111"/>
  <c r="T194" i="111" s="1"/>
  <c r="S193" i="111"/>
  <c r="T193" i="111" s="1"/>
  <c r="T192" i="111"/>
  <c r="S192" i="111"/>
  <c r="S191" i="111"/>
  <c r="T191" i="111" s="1"/>
  <c r="S190" i="111"/>
  <c r="T190" i="111" s="1"/>
  <c r="S189" i="111"/>
  <c r="T189" i="111" s="1"/>
  <c r="S188" i="111"/>
  <c r="T188" i="111" s="1"/>
  <c r="S187" i="111"/>
  <c r="T187" i="111" s="1"/>
  <c r="S186" i="111"/>
  <c r="T186" i="111" s="1"/>
  <c r="S185" i="111"/>
  <c r="T185" i="111" s="1"/>
  <c r="S184" i="111"/>
  <c r="T184" i="111" s="1"/>
  <c r="S183" i="111"/>
  <c r="T183" i="111" s="1"/>
  <c r="S182" i="111"/>
  <c r="T182" i="111" s="1"/>
  <c r="S181" i="111"/>
  <c r="T181" i="111" s="1"/>
  <c r="S180" i="111"/>
  <c r="T180" i="111" s="1"/>
  <c r="S179" i="111"/>
  <c r="T179" i="111" s="1"/>
  <c r="S178" i="111"/>
  <c r="T178" i="111" s="1"/>
  <c r="S177" i="111"/>
  <c r="T177" i="111" s="1"/>
  <c r="S176" i="111"/>
  <c r="T176" i="111" s="1"/>
  <c r="S175" i="111"/>
  <c r="T175" i="111" s="1"/>
  <c r="T174" i="111"/>
  <c r="S174" i="111"/>
  <c r="S173" i="111"/>
  <c r="T173" i="111" s="1"/>
  <c r="S172" i="111"/>
  <c r="T172" i="111" s="1"/>
  <c r="S171" i="111"/>
  <c r="T171" i="111" s="1"/>
  <c r="S167" i="111"/>
  <c r="T167" i="111" s="1"/>
  <c r="S166" i="111"/>
  <c r="T166" i="111" s="1"/>
  <c r="S165" i="111"/>
  <c r="T165" i="111" s="1"/>
  <c r="S164" i="111"/>
  <c r="T164" i="111" s="1"/>
  <c r="S163" i="111"/>
  <c r="T163" i="111" s="1"/>
  <c r="S162" i="111"/>
  <c r="T162" i="111" s="1"/>
  <c r="S161" i="111"/>
  <c r="T161" i="111" s="1"/>
  <c r="S160" i="111"/>
  <c r="T160" i="111" s="1"/>
  <c r="S159" i="111"/>
  <c r="T159" i="111" s="1"/>
  <c r="S158" i="111"/>
  <c r="T158" i="111" s="1"/>
  <c r="S157" i="111"/>
  <c r="T157" i="111" s="1"/>
  <c r="S156" i="111"/>
  <c r="T156" i="111" s="1"/>
  <c r="S155" i="111"/>
  <c r="T155" i="111" s="1"/>
  <c r="S154" i="111"/>
  <c r="T154" i="111" s="1"/>
  <c r="S153" i="111"/>
  <c r="T153" i="111" s="1"/>
  <c r="S152" i="111"/>
  <c r="T152" i="111" s="1"/>
  <c r="S151" i="111"/>
  <c r="T151" i="111" s="1"/>
  <c r="S150" i="111"/>
  <c r="T150" i="111" s="1"/>
  <c r="S149" i="111"/>
  <c r="T149" i="111" s="1"/>
  <c r="S148" i="111"/>
  <c r="T148" i="111" s="1"/>
  <c r="T147" i="111"/>
  <c r="S147" i="111"/>
  <c r="S146" i="111"/>
  <c r="T146" i="111" s="1"/>
  <c r="S145" i="111"/>
  <c r="T145" i="111" s="1"/>
  <c r="S144" i="111"/>
  <c r="T144" i="111" s="1"/>
  <c r="S143" i="111"/>
  <c r="T143" i="111" s="1"/>
  <c r="S142" i="111"/>
  <c r="T142" i="111" s="1"/>
  <c r="S141" i="111"/>
  <c r="T141" i="111" s="1"/>
  <c r="S140" i="111"/>
  <c r="T140" i="111" s="1"/>
  <c r="S139" i="111"/>
  <c r="T139" i="111" s="1"/>
  <c r="S138" i="111"/>
  <c r="T138" i="111" s="1"/>
  <c r="S137" i="111"/>
  <c r="T137" i="111" s="1"/>
  <c r="S136" i="111"/>
  <c r="T136" i="111" s="1"/>
  <c r="S135" i="111"/>
  <c r="T135" i="111" s="1"/>
  <c r="S134" i="111"/>
  <c r="T134" i="111" s="1"/>
  <c r="S133" i="111"/>
  <c r="T133" i="111" s="1"/>
  <c r="S132" i="111"/>
  <c r="T132" i="111" s="1"/>
  <c r="S131" i="111"/>
  <c r="T131" i="111" s="1"/>
  <c r="S130" i="111"/>
  <c r="T130" i="111" s="1"/>
  <c r="S129" i="111"/>
  <c r="T129" i="111" s="1"/>
  <c r="S128" i="111"/>
  <c r="T128" i="111" s="1"/>
  <c r="S127" i="111"/>
  <c r="T127" i="111" s="1"/>
  <c r="S126" i="111"/>
  <c r="T126" i="111" s="1"/>
  <c r="S125" i="111"/>
  <c r="T125" i="111" s="1"/>
  <c r="S124" i="111"/>
  <c r="T124" i="111" s="1"/>
  <c r="S123" i="111"/>
  <c r="T123" i="111" s="1"/>
  <c r="S122" i="111"/>
  <c r="T122" i="111" s="1"/>
  <c r="S121" i="111"/>
  <c r="T121" i="111" s="1"/>
  <c r="S120" i="111"/>
  <c r="T120" i="111" s="1"/>
  <c r="S119" i="111"/>
  <c r="T119" i="111" s="1"/>
  <c r="S118" i="111"/>
  <c r="T118" i="111" s="1"/>
  <c r="S117" i="111"/>
  <c r="T117" i="111" s="1"/>
  <c r="S116" i="111"/>
  <c r="T116" i="111" s="1"/>
  <c r="T115" i="111"/>
  <c r="S115" i="111"/>
  <c r="S114" i="111"/>
  <c r="T114" i="111" s="1"/>
  <c r="S113" i="111"/>
  <c r="T113" i="111" s="1"/>
  <c r="S112" i="111"/>
  <c r="T112" i="111" s="1"/>
  <c r="S111" i="111"/>
  <c r="T111" i="111" s="1"/>
  <c r="S110" i="111"/>
  <c r="T110" i="111" s="1"/>
  <c r="S109" i="111"/>
  <c r="T109" i="111" s="1"/>
  <c r="S108" i="111"/>
  <c r="T108" i="111" s="1"/>
  <c r="S107" i="111"/>
  <c r="T107" i="111" s="1"/>
  <c r="S106" i="111"/>
  <c r="T106" i="111" s="1"/>
  <c r="S105" i="111"/>
  <c r="T105" i="111" s="1"/>
  <c r="S104" i="111"/>
  <c r="T104" i="111" s="1"/>
  <c r="S103" i="111"/>
  <c r="T103" i="111" s="1"/>
  <c r="S102" i="111"/>
  <c r="T102" i="111" s="1"/>
  <c r="S101" i="111"/>
  <c r="T101" i="111" s="1"/>
  <c r="S100" i="111"/>
  <c r="T100" i="111" s="1"/>
  <c r="S99" i="111"/>
  <c r="T99" i="111" s="1"/>
  <c r="S98" i="111"/>
  <c r="T98" i="111" s="1"/>
  <c r="S97" i="111"/>
  <c r="T97" i="111" s="1"/>
  <c r="S96" i="111"/>
  <c r="T96" i="111" s="1"/>
  <c r="S95" i="111"/>
  <c r="T95" i="111" s="1"/>
  <c r="S94" i="111"/>
  <c r="T94" i="111" s="1"/>
  <c r="S93" i="111"/>
  <c r="T93" i="111" s="1"/>
  <c r="S92" i="111"/>
  <c r="T92" i="111" s="1"/>
  <c r="S91" i="111"/>
  <c r="T91" i="111" s="1"/>
  <c r="S90" i="111"/>
  <c r="T90" i="111" s="1"/>
  <c r="S89" i="111"/>
  <c r="T89" i="111" s="1"/>
  <c r="S88" i="111"/>
  <c r="T88" i="111" s="1"/>
  <c r="S87" i="111"/>
  <c r="T87" i="111" s="1"/>
  <c r="S86" i="111"/>
  <c r="T86" i="111" s="1"/>
  <c r="S85" i="111"/>
  <c r="T85" i="111" s="1"/>
  <c r="S84" i="111"/>
  <c r="T84" i="111" s="1"/>
  <c r="S80" i="111"/>
  <c r="T80" i="111" s="1"/>
  <c r="S79" i="111"/>
  <c r="T79" i="111" s="1"/>
  <c r="T78" i="111"/>
  <c r="S78" i="111"/>
  <c r="S77" i="111"/>
  <c r="T77" i="111" s="1"/>
  <c r="S76" i="111"/>
  <c r="T76" i="111" s="1"/>
  <c r="T75" i="111"/>
  <c r="S75" i="111"/>
  <c r="S74" i="111"/>
  <c r="T74" i="111" s="1"/>
  <c r="S73" i="111"/>
  <c r="T73" i="111" s="1"/>
  <c r="S72" i="111"/>
  <c r="T72" i="111" s="1"/>
  <c r="S71" i="111"/>
  <c r="T71" i="111" s="1"/>
  <c r="S70" i="111"/>
  <c r="T70" i="111" s="1"/>
  <c r="S69" i="111"/>
  <c r="T69" i="111" s="1"/>
  <c r="S68" i="111"/>
  <c r="T68" i="111" s="1"/>
  <c r="S67" i="111"/>
  <c r="T67" i="111" s="1"/>
  <c r="S66" i="111"/>
  <c r="T66" i="111" s="1"/>
  <c r="S65" i="111"/>
  <c r="T65" i="111" s="1"/>
  <c r="S64" i="111"/>
  <c r="T64" i="111" s="1"/>
  <c r="S63" i="111"/>
  <c r="T63" i="111" s="1"/>
  <c r="S62" i="111"/>
  <c r="T62" i="111" s="1"/>
  <c r="S61" i="111"/>
  <c r="T61" i="111" s="1"/>
  <c r="S60" i="111"/>
  <c r="T60" i="111" s="1"/>
  <c r="S59" i="111"/>
  <c r="T59" i="111" s="1"/>
  <c r="S58" i="111"/>
  <c r="T58" i="111" s="1"/>
  <c r="S57" i="111"/>
  <c r="T57" i="111" s="1"/>
  <c r="S56" i="111"/>
  <c r="T56" i="111" s="1"/>
  <c r="T55" i="111"/>
  <c r="S55" i="111"/>
  <c r="S54" i="111"/>
  <c r="T54" i="111" s="1"/>
  <c r="S53" i="111"/>
  <c r="T53" i="111" s="1"/>
  <c r="S52" i="111"/>
  <c r="T52" i="111" s="1"/>
  <c r="S51" i="111"/>
  <c r="T51" i="111" s="1"/>
  <c r="S50" i="111"/>
  <c r="T50" i="111" s="1"/>
  <c r="S49" i="111"/>
  <c r="T49" i="111" s="1"/>
  <c r="S48" i="111"/>
  <c r="T48" i="111" s="1"/>
  <c r="S47" i="111"/>
  <c r="T47" i="111" s="1"/>
  <c r="T46" i="111"/>
  <c r="S46" i="111"/>
  <c r="S45" i="111"/>
  <c r="T45" i="111" s="1"/>
  <c r="S44" i="111"/>
  <c r="T44" i="111" s="1"/>
  <c r="S43" i="111"/>
  <c r="T43" i="111" s="1"/>
  <c r="S42" i="111"/>
  <c r="T42" i="111" s="1"/>
  <c r="S41" i="111"/>
  <c r="T41" i="111" s="1"/>
  <c r="S40" i="111"/>
  <c r="T40" i="111" s="1"/>
  <c r="S39" i="111"/>
  <c r="T39" i="111" s="1"/>
  <c r="S38" i="111"/>
  <c r="T38" i="111" s="1"/>
  <c r="S37" i="111"/>
  <c r="T37" i="111" s="1"/>
  <c r="S36" i="111"/>
  <c r="T36" i="111" s="1"/>
  <c r="S35" i="111"/>
  <c r="T35" i="111" s="1"/>
  <c r="S34" i="111"/>
  <c r="T34" i="111" s="1"/>
  <c r="S33" i="111"/>
  <c r="T33" i="111" s="1"/>
  <c r="S32" i="111"/>
  <c r="T32" i="111" s="1"/>
  <c r="S31" i="111"/>
  <c r="T31" i="111" s="1"/>
  <c r="S30" i="111"/>
  <c r="T30" i="111" s="1"/>
  <c r="S29" i="111"/>
  <c r="T29" i="111" s="1"/>
  <c r="S28" i="111"/>
  <c r="T28" i="111" s="1"/>
  <c r="S27" i="111"/>
  <c r="T27" i="111" s="1"/>
  <c r="S26" i="111"/>
  <c r="T26" i="111" s="1"/>
  <c r="S25" i="111"/>
  <c r="T25" i="111" s="1"/>
  <c r="S24" i="111"/>
  <c r="T24" i="111" s="1"/>
  <c r="S23" i="111"/>
  <c r="T23" i="111" s="1"/>
  <c r="S22" i="111"/>
  <c r="T22" i="111" s="1"/>
  <c r="S21" i="111"/>
  <c r="T21" i="111" s="1"/>
  <c r="S20" i="111"/>
  <c r="T20" i="111" s="1"/>
  <c r="S19" i="111"/>
  <c r="T19" i="111" s="1"/>
  <c r="S18" i="111"/>
  <c r="T18" i="111" s="1"/>
  <c r="S17" i="111"/>
  <c r="T17" i="111" s="1"/>
  <c r="S16" i="111"/>
  <c r="T16" i="111" s="1"/>
  <c r="S15" i="111"/>
  <c r="T15" i="111" s="1"/>
  <c r="T14" i="111"/>
  <c r="S14" i="111"/>
  <c r="S13" i="111"/>
  <c r="T13" i="111" s="1"/>
  <c r="S12" i="111"/>
  <c r="T12" i="111" s="1"/>
  <c r="T11" i="111"/>
  <c r="S11" i="111"/>
  <c r="S10" i="111"/>
  <c r="T10" i="111" s="1"/>
  <c r="S9" i="111"/>
  <c r="T9" i="111" s="1"/>
  <c r="S8" i="111"/>
  <c r="T8" i="111" s="1"/>
  <c r="S7" i="111"/>
  <c r="T7" i="111" s="1"/>
  <c r="S6" i="111"/>
  <c r="T6" i="111" s="1"/>
  <c r="S5" i="111"/>
  <c r="T5" i="111" s="1"/>
  <c r="S4" i="111"/>
  <c r="T4" i="111" s="1"/>
  <c r="S3" i="111"/>
  <c r="T3" i="111" s="1"/>
  <c r="T1063" i="109" l="1"/>
  <c r="U905" i="109"/>
  <c r="T864" i="109"/>
  <c r="T507" i="109"/>
  <c r="T429" i="109"/>
  <c r="T314" i="109"/>
  <c r="T633" i="109"/>
  <c r="T208" i="109"/>
  <c r="T471" i="109"/>
  <c r="T168" i="109"/>
  <c r="T414" i="109"/>
  <c r="T526" i="109"/>
  <c r="U230" i="109"/>
  <c r="T246" i="109"/>
  <c r="T834" i="109"/>
  <c r="T847" i="109"/>
  <c r="T700" i="109"/>
  <c r="T1024" i="109"/>
  <c r="T1100" i="109"/>
  <c r="T918" i="109"/>
  <c r="U886" i="109"/>
  <c r="U918" i="109" s="1"/>
  <c r="T666" i="109"/>
  <c r="U940" i="109"/>
  <c r="T955" i="109"/>
  <c r="U955" i="109" s="1"/>
  <c r="T1138" i="109"/>
  <c r="T590" i="109"/>
  <c r="U917" i="109"/>
  <c r="T864" i="111"/>
  <c r="T429" i="111"/>
  <c r="T414" i="111"/>
  <c r="T507" i="111"/>
  <c r="T737" i="111"/>
  <c r="T847" i="111"/>
  <c r="T526" i="111"/>
  <c r="T1100" i="111"/>
  <c r="T168" i="111"/>
  <c r="T666" i="111"/>
  <c r="T700" i="111"/>
  <c r="T81" i="111"/>
  <c r="T208" i="111"/>
  <c r="U230" i="111"/>
  <c r="T246" i="111"/>
  <c r="T590" i="111"/>
  <c r="T314" i="111"/>
  <c r="U940" i="111"/>
  <c r="T955" i="111"/>
  <c r="U955" i="111" s="1"/>
  <c r="T1024" i="111"/>
  <c r="T918" i="111"/>
  <c r="U917" i="111"/>
  <c r="T1138" i="111"/>
  <c r="U886" i="111"/>
  <c r="T1063" i="111"/>
  <c r="T471" i="111"/>
  <c r="T633" i="111"/>
  <c r="U905" i="111"/>
  <c r="T834" i="111"/>
  <c r="T1139" i="109" l="1"/>
  <c r="T1139" i="111"/>
  <c r="U918" i="111"/>
</calcChain>
</file>

<file path=xl/sharedStrings.xml><?xml version="1.0" encoding="utf-8"?>
<sst xmlns="http://schemas.openxmlformats.org/spreadsheetml/2006/main" count="45853" uniqueCount="8413">
  <si>
    <t>MAZ</t>
  </si>
  <si>
    <t>LAKHAN ROY</t>
  </si>
  <si>
    <t>Lt. RAKESH ROY</t>
  </si>
  <si>
    <t>MALE</t>
  </si>
  <si>
    <t>Transfred fm Last MR NO. 71 RCC/132, wef 22.12.25 (FN)</t>
  </si>
  <si>
    <t>SBIN0007059</t>
  </si>
  <si>
    <t>SUBMITTED</t>
  </si>
  <si>
    <t>Transferred from Mr No. 71 RCC/132/Dec 2025 wef 21-Dec-2025 (F/N)</t>
  </si>
  <si>
    <t>T. LALZUIA</t>
  </si>
  <si>
    <t>15/01/1959</t>
  </si>
  <si>
    <t>Lt. CHALLIANKHUAIA</t>
  </si>
  <si>
    <t>SBIN0RRMIGB</t>
  </si>
  <si>
    <t>SHYAMJOY ROY</t>
  </si>
  <si>
    <t>15/02/1986</t>
  </si>
  <si>
    <t>SKD-III</t>
  </si>
  <si>
    <t>GOURANGO DAS</t>
  </si>
  <si>
    <t>Lt. GIRISH DAS</t>
  </si>
  <si>
    <t>S/O Lt. GIRISH DAS
NoK - Kanika Das (Wife)
Vill - Gurudayalpur
Post -Dholai
Dist- Cachar
PS- Dholai
STATE- Assam
PIN No- 788114</t>
  </si>
  <si>
    <t>3857 6374 0910</t>
  </si>
  <si>
    <t>7109 2536 4116</t>
  </si>
  <si>
    <t>Transfer from 71 RCC Mr No. 188 w.e.f 20/01/2026 (A/N).</t>
  </si>
  <si>
    <t>LIANZELA</t>
  </si>
  <si>
    <t>LALAMSOI</t>
  </si>
  <si>
    <t>NoK:-NEMIE (WIFE)
Vill:- NAUSEL, PO:- SIPHIR,
PS:- BAWNGKAWN, DIST:- AIZAWL, 
STATE:- MIZORAM, PIN:- 796025</t>
  </si>
  <si>
    <t>SBIN0014264</t>
  </si>
  <si>
    <t>RECRUITED FEB 2026</t>
  </si>
  <si>
    <t>SKD-II</t>
  </si>
  <si>
    <t>SUJIT ROY</t>
  </si>
  <si>
    <t>20/05/1978</t>
  </si>
  <si>
    <t>DURGESH ROY (L)</t>
  </si>
  <si>
    <t>5057 6827 3888</t>
  </si>
  <si>
    <t>TRANSFER FROM 71 RCC</t>
  </si>
  <si>
    <t>SBIN0017400</t>
  </si>
  <si>
    <t>Transfer from 71 RCC wef 21-Sep-2024 (F/N)</t>
  </si>
  <si>
    <t>BIRAMOHAN SINGHA</t>
  </si>
  <si>
    <t>TOMBA SINGHA</t>
  </si>
  <si>
    <t>6807 1542 8346</t>
  </si>
  <si>
    <t>7103 9056 8312</t>
  </si>
  <si>
    <t>ALOK DUTTA</t>
  </si>
  <si>
    <t>SANTOS DUTTA</t>
  </si>
  <si>
    <t>7955 5903 8237</t>
  </si>
  <si>
    <t>7831 8245 1715</t>
  </si>
  <si>
    <t>S/NO</t>
  </si>
  <si>
    <t>CODE</t>
  </si>
  <si>
    <t>TRADE</t>
  </si>
  <si>
    <t>GENDER</t>
  </si>
  <si>
    <t>Adhar No./Any valid Govt docs</t>
  </si>
  <si>
    <t>AYUSHMAN CARD</t>
  </si>
  <si>
    <t>REMARKS</t>
  </si>
  <si>
    <t>BANK A/C NO</t>
  </si>
  <si>
    <t>IFS CODE</t>
  </si>
  <si>
    <t>MANDATE FORM STATUS</t>
  </si>
  <si>
    <t>Date of Enrolment</t>
  </si>
  <si>
    <t>Date of Discharge</t>
  </si>
  <si>
    <t>0410</t>
  </si>
  <si>
    <t>LAWMTHANGPUIA</t>
  </si>
  <si>
    <t>C. VANLALRINGA</t>
  </si>
  <si>
    <t>4919 6606 3945</t>
  </si>
  <si>
    <t>7819 5537 7180</t>
  </si>
  <si>
    <t>RE-MEDICAL AUG 2025</t>
  </si>
  <si>
    <t/>
  </si>
  <si>
    <t>LALCHHUANSANGA</t>
  </si>
  <si>
    <t>LATE ZATAWNA</t>
  </si>
  <si>
    <t>6729 7364 8499</t>
  </si>
  <si>
    <t>7819 5504 0167</t>
  </si>
  <si>
    <t>LALRINPUIA</t>
  </si>
  <si>
    <t>LALLAWTA</t>
  </si>
  <si>
    <t>3413 6133 5346</t>
  </si>
  <si>
    <t>0</t>
  </si>
  <si>
    <t>MATE</t>
  </si>
  <si>
    <t>KC VANLALBIAKA</t>
  </si>
  <si>
    <t>NEIHHNEMI (MOTHER)</t>
  </si>
  <si>
    <t>9856 0873 0676</t>
  </si>
  <si>
    <t>7827 9723 4213</t>
  </si>
  <si>
    <t>LALHNEHLIANA</t>
  </si>
  <si>
    <t>RAMCHUNGA</t>
  </si>
  <si>
    <t>2231 1929 2537</t>
  </si>
  <si>
    <t>7827 9516 3843</t>
  </si>
  <si>
    <t>NIDHU NATH</t>
  </si>
  <si>
    <t>RAJENDRA NATH</t>
  </si>
  <si>
    <t>7185 3902 6754</t>
  </si>
  <si>
    <t>SBIN0009447</t>
  </si>
  <si>
    <t>VANLALRINMAWIA</t>
  </si>
  <si>
    <t>T.LALZAULIANA</t>
  </si>
  <si>
    <t>4915 1327 6763</t>
  </si>
  <si>
    <t>ANIL HANSDA</t>
  </si>
  <si>
    <t>RECRUITED JUN 2025</t>
  </si>
  <si>
    <t>ALBINUS SOREN</t>
  </si>
  <si>
    <t>SIMON SOREN</t>
  </si>
  <si>
    <t>6184 2253 8006</t>
  </si>
  <si>
    <t>0407</t>
  </si>
  <si>
    <t>CPDVR</t>
  </si>
  <si>
    <t>LALSANGKHUMA SAILO</t>
  </si>
  <si>
    <t>VANLALHUMA</t>
  </si>
  <si>
    <t>8732 4231 0209</t>
  </si>
  <si>
    <t>7819 5564 3319</t>
  </si>
  <si>
    <t>RAJU HANSDA</t>
  </si>
  <si>
    <t>SIBASINI TUDU</t>
  </si>
  <si>
    <t>MUNSI TUDU</t>
  </si>
  <si>
    <t>6449 8080 0221</t>
  </si>
  <si>
    <t>7819 5556 1739</t>
  </si>
  <si>
    <t>LALTLUANGLIANA</t>
  </si>
  <si>
    <t>HRANGHMINGTHANGA</t>
  </si>
  <si>
    <t>9062 0107 1326</t>
  </si>
  <si>
    <t>7819 5546 5459</t>
  </si>
  <si>
    <t>SANKAR SOREN</t>
  </si>
  <si>
    <t>SUTILAL SOREN</t>
  </si>
  <si>
    <t>9166 3636 6252</t>
  </si>
  <si>
    <t>2255 0711 9800</t>
  </si>
  <si>
    <t>RECRUITED JUL 2025</t>
  </si>
  <si>
    <t>SAILEN MARANDI</t>
  </si>
  <si>
    <t>AJIT MARANDI</t>
  </si>
  <si>
    <t>7554 0790 5832</t>
  </si>
  <si>
    <t>7103 7603 1757</t>
  </si>
  <si>
    <t>RECRUITED SEP 2025</t>
  </si>
  <si>
    <t>AJAY BASKEY</t>
  </si>
  <si>
    <t>SUSHANT BASKEY</t>
  </si>
  <si>
    <t>NOK-SUSHANT BASKEY (FATHER)
S/O-SUSHANT BASKEY
VILL-DEWAN BARI
PO-RANI BAHAL
DIST-DUMKA
STATE-JHARKHAND
PS-MASANJOR
PIN-814144</t>
  </si>
  <si>
    <t>9711 2761 8227</t>
  </si>
  <si>
    <t>LALROCHHARI</t>
  </si>
  <si>
    <t>BUANKUNGA</t>
  </si>
  <si>
    <t>FEMALE</t>
  </si>
  <si>
    <t>9787 4021 5847</t>
  </si>
  <si>
    <t>SUBAS HEMBROM</t>
  </si>
  <si>
    <t>5820 9284 1802</t>
  </si>
  <si>
    <t>LALRINMAWIA</t>
  </si>
  <si>
    <t>MC. ROSANGA</t>
  </si>
  <si>
    <t>3518 9563 7512</t>
  </si>
  <si>
    <t>MATE/MAZ</t>
  </si>
  <si>
    <t>H MARANDI</t>
  </si>
  <si>
    <t>CHANDAN MARANDI</t>
  </si>
  <si>
    <t>2781 4224 2520</t>
  </si>
  <si>
    <t>PACHHUNGA</t>
  </si>
  <si>
    <t>S. NGUNMANGA</t>
  </si>
  <si>
    <t>7144 4297 6442</t>
  </si>
  <si>
    <t>7819 5493 8099</t>
  </si>
  <si>
    <t>KROSSHMINGTHANGA</t>
  </si>
  <si>
    <t>28/03/2002</t>
  </si>
  <si>
    <t>LALROHLUA</t>
  </si>
  <si>
    <t>3743 4810 0864</t>
  </si>
  <si>
    <t>7828 1536 2379</t>
  </si>
  <si>
    <t>JEREMY LALTANPUIA</t>
  </si>
  <si>
    <t>28/05/2002</t>
  </si>
  <si>
    <t>LALCHUANSANGA</t>
  </si>
  <si>
    <t>4883 7626 0088</t>
  </si>
  <si>
    <t>7828 1299 8423</t>
  </si>
  <si>
    <t>MAZ/MATE</t>
  </si>
  <si>
    <t>SUKAL HEMBROM</t>
  </si>
  <si>
    <t>BHUJU HEMBROM</t>
  </si>
  <si>
    <t>2379 2649 1407</t>
  </si>
  <si>
    <t>7819 5510 6870</t>
  </si>
  <si>
    <t>LALDUHZUALA</t>
  </si>
  <si>
    <t>SENNAWLA</t>
  </si>
  <si>
    <t>6161 0929 0462</t>
  </si>
  <si>
    <t>7819 5489 2648</t>
  </si>
  <si>
    <t>VANLALZAWMA</t>
  </si>
  <si>
    <t>THANGVEA (L)</t>
  </si>
  <si>
    <t>9472 9888 6595</t>
  </si>
  <si>
    <t>7819 5482 0218</t>
  </si>
  <si>
    <t>K.LALRUATTLUANGA</t>
  </si>
  <si>
    <t>ZAITHANTLUANGA</t>
  </si>
  <si>
    <t>5685 1080 2505</t>
  </si>
  <si>
    <t>7819 5486 0955</t>
  </si>
  <si>
    <t>VANLALHRIATA</t>
  </si>
  <si>
    <t>VANLALHRUAII (MOTHER)</t>
  </si>
  <si>
    <t>3580 0518 6951</t>
  </si>
  <si>
    <t>SITARAM SOREN</t>
  </si>
  <si>
    <t>MOHAN SOREN</t>
  </si>
  <si>
    <t>MOSO HEMBROM</t>
  </si>
  <si>
    <t>RECRUITED OCT 2025</t>
  </si>
  <si>
    <t>SBIN0009786</t>
  </si>
  <si>
    <t>DARO SOREN</t>
  </si>
  <si>
    <t>Transfred fm Last MR NO. 71 RCC/135, wef 21.12.26 (FN)</t>
  </si>
  <si>
    <t>Transferred from Mr No. 71 RCC/135/Jan 2026 wef 21-Dec-2025 (F/N)</t>
  </si>
  <si>
    <t>SBIN0009805</t>
  </si>
  <si>
    <t>SBIN0016976</t>
  </si>
  <si>
    <t>SBIN0009402</t>
  </si>
  <si>
    <t>LALHRIATA</t>
  </si>
  <si>
    <t>LALTHANSANGA</t>
  </si>
  <si>
    <t>REMIDICAL</t>
  </si>
  <si>
    <t>SBIN0061387</t>
  </si>
  <si>
    <t>RINA DAS</t>
  </si>
  <si>
    <t>NORESOR DAS</t>
  </si>
  <si>
    <t>5678 7318 2186</t>
  </si>
  <si>
    <t>RECRUITED JAN 2024</t>
  </si>
  <si>
    <t>SBIN0005823</t>
  </si>
  <si>
    <t>ROCHHINGPUII</t>
  </si>
  <si>
    <t>K.KHAMTHUAMA</t>
  </si>
  <si>
    <t>2901 1763 0056</t>
  </si>
  <si>
    <t>RECRUITED MAR 2025</t>
  </si>
  <si>
    <t>SHIVADHAN MARANDI</t>
  </si>
  <si>
    <t>JITAN MARANDI</t>
  </si>
  <si>
    <t>7811 9043 6229</t>
  </si>
  <si>
    <t>REMEDICAL</t>
  </si>
  <si>
    <t>0780</t>
  </si>
  <si>
    <t>MAIKAL TOPNO</t>
  </si>
  <si>
    <t>PAIRAS TOPNO</t>
  </si>
  <si>
    <t>7810 9926 3172</t>
  </si>
  <si>
    <t>0769</t>
  </si>
  <si>
    <t>GOSUANTHANGA</t>
  </si>
  <si>
    <t>CHINTHAWNGA</t>
  </si>
  <si>
    <t>7820 1406 2031</t>
  </si>
  <si>
    <t>0779</t>
  </si>
  <si>
    <t>ZUITHANGA</t>
  </si>
  <si>
    <t>LIANKEUVA</t>
  </si>
  <si>
    <t>7810 9555 4701</t>
  </si>
  <si>
    <t>0776</t>
  </si>
  <si>
    <t>ASAMUDDIN LASKAR</t>
  </si>
  <si>
    <t>ABDUL WAHID LASKAR</t>
  </si>
  <si>
    <t>3985 7861 2234</t>
  </si>
  <si>
    <t>0767</t>
  </si>
  <si>
    <t>HABESH KISKU</t>
  </si>
  <si>
    <t>SUDAN KISKU</t>
  </si>
  <si>
    <t>SBIN0005842</t>
  </si>
  <si>
    <t>0768</t>
  </si>
  <si>
    <t>RL ZONUNSANGA</t>
  </si>
  <si>
    <t>RL MANGZOALA</t>
  </si>
  <si>
    <t>7819 6646 4257</t>
  </si>
  <si>
    <t>SBIN0013641</t>
  </si>
  <si>
    <t>LALCHHANCHHUAHA</t>
  </si>
  <si>
    <t>R LALSAWMA</t>
  </si>
  <si>
    <t>RUPLAL RAY</t>
  </si>
  <si>
    <t>HARIHAR RAY</t>
  </si>
  <si>
    <t>5912 5880 1638</t>
  </si>
  <si>
    <t>RECRUITED APR 2025</t>
  </si>
  <si>
    <t>SUSHANT BESHRA</t>
  </si>
  <si>
    <t>BHARAT BESHRA</t>
  </si>
  <si>
    <t>5207 9988 6430</t>
  </si>
  <si>
    <t>PMSBY</t>
  </si>
  <si>
    <t>7832 7032 2684</t>
  </si>
  <si>
    <t>MIRU MURMU</t>
  </si>
  <si>
    <t>W/O SHYAMLAL MARANDI</t>
  </si>
  <si>
    <t>9752 0991 9126</t>
  </si>
  <si>
    <t>7835 1411 6575</t>
  </si>
  <si>
    <t>SUNIL TUDU</t>
  </si>
  <si>
    <t>ESHWAR TUDU</t>
  </si>
  <si>
    <t>HOPNA MURMU</t>
  </si>
  <si>
    <t>MAHBIR MURMU</t>
  </si>
  <si>
    <t>S/O MAHBIR MURMU
Nok - Rina Das (Wife)
Vill- Jhagrahi
Post-Dhogoria
Dist -Dumka
PS- Kathikund
State- Jharkhand
Pin- 814158</t>
  </si>
  <si>
    <t>7810 9886 4264</t>
  </si>
  <si>
    <t>SBIN0012264</t>
  </si>
  <si>
    <t>DAKTAR MARANDI</t>
  </si>
  <si>
    <t>MANGAL MARANDI</t>
  </si>
  <si>
    <t>NOK-URMILA HANSDA (WIFE)
S/O-MANGAL MARANDI
VILL-SULANGO
POST-RAGHUNATHPUR
DISTRICT-DUMKA
STATE-JHARKHAND
P.S-RANISHWAR
PIN-814148</t>
  </si>
  <si>
    <t>8763 5197 9692</t>
  </si>
  <si>
    <t>7822 5060 3684</t>
  </si>
  <si>
    <t>RECRUITED AUG 2024</t>
  </si>
  <si>
    <t>LALRAMSIAMI</t>
  </si>
  <si>
    <t>J ZARZOLIANA</t>
  </si>
  <si>
    <t>7460 1715 4970</t>
  </si>
  <si>
    <t>MANOJ TURI</t>
  </si>
  <si>
    <t>JAYRAM TURI</t>
  </si>
  <si>
    <t>9555 6690 1193</t>
  </si>
  <si>
    <t>7845 3765 2905</t>
  </si>
  <si>
    <t>BABULAL TUDU</t>
  </si>
  <si>
    <t>RECRUITED NOV 2025</t>
  </si>
  <si>
    <t>PARMESHWAR BESRA</t>
  </si>
  <si>
    <t>RECRUITED NOV 2024</t>
  </si>
  <si>
    <t>ZONUNTHARI</t>
  </si>
  <si>
    <t>LALCHHANHIMA</t>
  </si>
  <si>
    <t>2394 1995 9476</t>
  </si>
  <si>
    <t>RECRUITED DEC 2025</t>
  </si>
  <si>
    <t>JONATHANA</t>
  </si>
  <si>
    <t>LALERMSIAMA (L)</t>
  </si>
  <si>
    <t>6598 7560 7259</t>
  </si>
  <si>
    <t>H.LALHMINGSANGA</t>
  </si>
  <si>
    <t>H.KHAWLMAWIA</t>
  </si>
  <si>
    <t>7015 8041 2422</t>
  </si>
  <si>
    <t>H.DAWNKIMA</t>
  </si>
  <si>
    <t>ROCHUNGNUNGA</t>
  </si>
  <si>
    <t>4306 8155 5445</t>
  </si>
  <si>
    <t>MARSHIL HANSDA</t>
  </si>
  <si>
    <t>KHUKU HANSDA</t>
  </si>
  <si>
    <t>9744 8245 3732</t>
  </si>
  <si>
    <t>7822 4289 2794</t>
  </si>
  <si>
    <t>SIPAT SEKH</t>
  </si>
  <si>
    <t>HIYAT SEKH</t>
  </si>
  <si>
    <t>6483 6890 6280</t>
  </si>
  <si>
    <t>7820 2523 9433</t>
  </si>
  <si>
    <t>VANLALRINCHHANI</t>
  </si>
  <si>
    <t>W/O LALNUNPUIA</t>
  </si>
  <si>
    <t>9315 7232 8873</t>
  </si>
  <si>
    <t>JOGESH HEMBRAM</t>
  </si>
  <si>
    <t>RUBUN HEMBRAM</t>
  </si>
  <si>
    <t>4894 9003 1256</t>
  </si>
  <si>
    <t>7832 4723 8285</t>
  </si>
  <si>
    <t>BINOD TUDU</t>
  </si>
  <si>
    <t>4061 6333 2607</t>
  </si>
  <si>
    <t>7841 4268 1745</t>
  </si>
  <si>
    <t>JOSEN HANSDA</t>
  </si>
  <si>
    <t>MOHILAL HANSDA</t>
  </si>
  <si>
    <t>4854 7981 7875</t>
  </si>
  <si>
    <t>PIRU TUDU</t>
  </si>
  <si>
    <t>MANGAL TUDU</t>
  </si>
  <si>
    <t>3154 7019 0508</t>
  </si>
  <si>
    <t>7827 4035 4783</t>
  </si>
  <si>
    <t>PAUL TUDU</t>
  </si>
  <si>
    <t>7395 4778 7111</t>
  </si>
  <si>
    <t>6532 7854 5632</t>
  </si>
  <si>
    <t>BABULAL MARANDI</t>
  </si>
  <si>
    <t>7413 6777 2400</t>
  </si>
  <si>
    <t>7847 2822 2864</t>
  </si>
  <si>
    <t>SAILEN HEMBRAM</t>
  </si>
  <si>
    <t>9146 6507 8477</t>
  </si>
  <si>
    <t>8932 7520 5469</t>
  </si>
  <si>
    <t>JAI PRAKASH HEMBROM</t>
  </si>
  <si>
    <t>SISUF MARANDI</t>
  </si>
  <si>
    <t>4278 4022 5840</t>
  </si>
  <si>
    <t>7847 4698 0514</t>
  </si>
  <si>
    <t>CHANDAN TUDU</t>
  </si>
  <si>
    <t>BEJUN TUDU</t>
  </si>
  <si>
    <t>3509 8343 8017</t>
  </si>
  <si>
    <t>7837 1145 2810</t>
  </si>
  <si>
    <t>SKD-II/MAZ</t>
  </si>
  <si>
    <t>SUBAN TUDU</t>
  </si>
  <si>
    <t>CHOTKA TUDU</t>
  </si>
  <si>
    <t>7856 1095 3341</t>
  </si>
  <si>
    <t>7811 7745 1956</t>
  </si>
  <si>
    <t>AMIT MURMU</t>
  </si>
  <si>
    <t>BUDHAN MURMU</t>
  </si>
  <si>
    <t>3559 3125 2796</t>
  </si>
  <si>
    <t>7110 9511 2110</t>
  </si>
  <si>
    <t>0271</t>
  </si>
  <si>
    <t>THAKUR TUDU</t>
  </si>
  <si>
    <t>CHUNDA TUDU</t>
  </si>
  <si>
    <t>S/O Chunda Tudu
Nok - Sushila Hembrom (Wife)
Vill- Gulamsuli
Post- Pratappur
Dist - Dumka
PS-  Ranishwar
State- Jharkhand
Pin- 814148</t>
  </si>
  <si>
    <t>7951 2693 3447</t>
  </si>
  <si>
    <t>7810 9892 1812</t>
  </si>
  <si>
    <t>RECRUITED FEB 2024</t>
  </si>
  <si>
    <t>RABON HASADA</t>
  </si>
  <si>
    <t>CHOTAKA HASADA</t>
  </si>
  <si>
    <t>NOK-LATA MURMU (WIFE)
S/O-CHOTAKA HASADA
Vill -BANDARJHORHI
Post -JARMUNDI
Dist-DUMKA
State-JHARKHAND
PS-JARMUNDUI
Pin- 814141</t>
  </si>
  <si>
    <t>7406 1906 2160</t>
  </si>
  <si>
    <t>7813 2010 0578</t>
  </si>
  <si>
    <t>RAJIV HEMBRAM</t>
  </si>
  <si>
    <t>KALICHARAN HEMBRAM</t>
  </si>
  <si>
    <t>NOK-KALICHARAN HEMBRAM (FATHER)
S/O-KALICHARAN HEMBRAM
VILL-GULAMSULI
POST-PRATAPPUR
DISTRICT-DUMKA
STATE-JHARKHAND
P.S-RANISHWAR
PIN-814148</t>
  </si>
  <si>
    <t>7458 1750 8885</t>
  </si>
  <si>
    <t>7117 1639 5817</t>
  </si>
  <si>
    <t>RECRUITED DEC 2024</t>
  </si>
  <si>
    <t>SUSHAM KUMAR RAY</t>
  </si>
  <si>
    <t>SHYAMAPAD RAY</t>
  </si>
  <si>
    <t>NoK -Shyamapad Ray (Father)
S/o- Shyamapad Ray
Vill -Murjora
Post -Ranibahal,
PS-Massanjor
Dist-Dumka
State-Jharkhand
Pin- 814144</t>
  </si>
  <si>
    <t>5290 2035 5820</t>
  </si>
  <si>
    <t>7813 7370 2449</t>
  </si>
  <si>
    <t>RECRUITED SEP 2024</t>
  </si>
  <si>
    <t>SURMAN ALI LASKAR</t>
  </si>
  <si>
    <t>5706 7294 7823</t>
  </si>
  <si>
    <t>7117 1323 5277</t>
  </si>
  <si>
    <t>SBIN0001803</t>
  </si>
  <si>
    <t>SINTU BHANDARI</t>
  </si>
  <si>
    <t>KAMAL BHANDARI</t>
  </si>
  <si>
    <t>8183 8112 8784</t>
  </si>
  <si>
    <t>7821 2791 1797</t>
  </si>
  <si>
    <t>SKD-III/MAZ</t>
  </si>
  <si>
    <t>SONAT KISKU</t>
  </si>
  <si>
    <t>NOK-SILWANTI BASKI (WIFE)
S/O-SONAT KISKU
VILL-BALABAHAL
P.O-KUMARABAD
DIST-DUMKA
STATE-JHARKHAND
PS-DUMKA
PIN-814119</t>
  </si>
  <si>
    <t>6663 3881 8942</t>
  </si>
  <si>
    <t>7831 8599 0010</t>
  </si>
  <si>
    <t>PAKHIR UDDIN LASKAR</t>
  </si>
  <si>
    <t>ARAB ALI LASKAR</t>
  </si>
  <si>
    <t>7102 4592 6649</t>
  </si>
  <si>
    <t>SANTU THAKUR</t>
  </si>
  <si>
    <t>SHIR BIGAN THAKUR</t>
  </si>
  <si>
    <t>S/O Bigan Thakur
Nok - Geeta Devi (Wife)
Vill- Gehuni
Post- Golakpur
Dist - Jehanabad
PS-  Ghosi
State- Bihar 
Pin- 804420</t>
  </si>
  <si>
    <t>7810 9859 1281</t>
  </si>
  <si>
    <t>ANOWER HUSSAIN LASKAR</t>
  </si>
  <si>
    <t>MOSSIR UDDIN LASKAR</t>
  </si>
  <si>
    <t>8035 2631 6395</t>
  </si>
  <si>
    <t>7812 2063 8304</t>
  </si>
  <si>
    <t>RECRUITED MAY 2025</t>
  </si>
  <si>
    <t>CHHUTU HEMBRAM</t>
  </si>
  <si>
    <t>PULIS HEMBRAM</t>
  </si>
  <si>
    <t>8968 1327 0581</t>
  </si>
  <si>
    <t>7841 6277 5362</t>
  </si>
  <si>
    <t>KARNEL TUDU</t>
  </si>
  <si>
    <t>CHUTAR TUDU</t>
  </si>
  <si>
    <t>9175 1187 4688</t>
  </si>
  <si>
    <t>7847 3305 6220</t>
  </si>
  <si>
    <t>RAMDAS HEMBROM</t>
  </si>
  <si>
    <t>LABIN HEMBROM</t>
  </si>
  <si>
    <t>6785 7513 2134</t>
  </si>
  <si>
    <t>7870 0304 0998</t>
  </si>
  <si>
    <t>DENESH ROY</t>
  </si>
  <si>
    <t>GOBI ROY</t>
  </si>
  <si>
    <t>NOK: SUMITRA ROY (WIFE)
S/O : GOBI ROY
VILL : THAKUR PURA
POST : TARACHUA
DISTT: BIRBHUM
STATE: WEST BENGAL
PIN  : 731216
PS   : RAMPUR HATT</t>
  </si>
  <si>
    <t>2260 3534 5704</t>
  </si>
  <si>
    <t>7819 4084 0246</t>
  </si>
  <si>
    <t>RECRUITED APR 2026</t>
  </si>
  <si>
    <t>SBIN0003433</t>
  </si>
  <si>
    <t>MAZ/SKD-II</t>
  </si>
  <si>
    <t>BANESHWAR TUDU</t>
  </si>
  <si>
    <t>CHHOTKA TUDU</t>
  </si>
  <si>
    <t>3702 2832 7972</t>
  </si>
  <si>
    <t>7810 9474 0736</t>
  </si>
  <si>
    <t>RECRUITED ON JAN 2026</t>
  </si>
  <si>
    <t>BISUNAT TUDU</t>
  </si>
  <si>
    <t>RAMAN TUDU</t>
  </si>
  <si>
    <t>3452 7939 1729</t>
  </si>
  <si>
    <t>7100 5384 7346</t>
  </si>
  <si>
    <t>GANESH TUDU</t>
  </si>
  <si>
    <t>8157 3252 4909</t>
  </si>
  <si>
    <t>LAKHIKANT RAY</t>
  </si>
  <si>
    <t>MAHABIR RAY</t>
  </si>
  <si>
    <t>S/O MAHABIR RAY
NoK -MALOTI (WIFE)
Vill -KATHALDIHA
Post -RANIBAHA
Dist-DUMKA
PS-MASANJORE
STATE- JHARKHAND
PIN No-814144</t>
  </si>
  <si>
    <t>6892 4467 1513</t>
  </si>
  <si>
    <t>7819 4522 1194</t>
  </si>
  <si>
    <t>ANUP BARMAN</t>
  </si>
  <si>
    <t>ASAWINI BARMAN</t>
  </si>
  <si>
    <t>3660 3655 4139</t>
  </si>
  <si>
    <t>7792 0843 2330</t>
  </si>
  <si>
    <t>SBIN0061623</t>
  </si>
  <si>
    <t>0010</t>
  </si>
  <si>
    <t>KAMDOHAUA</t>
  </si>
  <si>
    <t>19.10.1985</t>
  </si>
  <si>
    <t>KHUALKHANTHANGA</t>
  </si>
  <si>
    <t>JIYA DEHRI</t>
  </si>
  <si>
    <t>SUJAN DEHRI</t>
  </si>
  <si>
    <t>7819 4924 4010</t>
  </si>
  <si>
    <t>RAGHU RAY</t>
  </si>
  <si>
    <t>SANJAY RAY</t>
  </si>
  <si>
    <t>2088 4734 7856</t>
  </si>
  <si>
    <t>7819 4544 7449</t>
  </si>
  <si>
    <t>KHAWNKHANTHANG</t>
  </si>
  <si>
    <t>GINZADOU</t>
  </si>
  <si>
    <t>7819 4537 5772</t>
  </si>
  <si>
    <t>SBIN0016938</t>
  </si>
  <si>
    <t>STENSHILA MURMU</t>
  </si>
  <si>
    <t>W/o DHANESWAR TUDU</t>
  </si>
  <si>
    <t>6695 8131 6896</t>
  </si>
  <si>
    <t>7819 4589 0732</t>
  </si>
  <si>
    <t>NIRMAL RAY</t>
  </si>
  <si>
    <t>NAME OF NOK-RENA RAY (WIFE)
S/O-MAHABIR RAY,
VILL-KATHALDIHA
P.O-RANIBAHAL
DIST-DUMKA
PS-MASSANJOR 
STATE-JHARKHAND
PIN-814144</t>
  </si>
  <si>
    <t>5273 6623 9462</t>
  </si>
  <si>
    <t>7810 7461 6275</t>
  </si>
  <si>
    <t>HARADHAN RAI</t>
  </si>
  <si>
    <t>8482 5841 7053</t>
  </si>
  <si>
    <t>7819 4914 2686</t>
  </si>
  <si>
    <t>BASUDEV RAY</t>
  </si>
  <si>
    <t>7298 8783 7646</t>
  </si>
  <si>
    <t>7821 2660 7709</t>
  </si>
  <si>
    <t>RAMESH HEMRAM</t>
  </si>
  <si>
    <t>DEWAN HEMRAM</t>
  </si>
  <si>
    <t>NOK-ZODINSANGI (WIFE),
S/O-DEWAN HEMRAM
VILL-VAPAR
P.O-VAPAR
DIST-CHAMPHAI
STATE-CHAMPHAI
PS-CHAMPHAI
PIN-796321</t>
  </si>
  <si>
    <t>9671 9390 0806</t>
  </si>
  <si>
    <t>7840 7898 9676</t>
  </si>
  <si>
    <t>0031</t>
  </si>
  <si>
    <t>SUKAL SOREN</t>
  </si>
  <si>
    <t>ARJUN SOREN</t>
  </si>
  <si>
    <t>7819 4928 1964</t>
  </si>
  <si>
    <t>RAJENDRA RAY</t>
  </si>
  <si>
    <t>RAMBRIKSH RAY</t>
  </si>
  <si>
    <t>3928 4396 5712</t>
  </si>
  <si>
    <t>7107 6125 2544</t>
  </si>
  <si>
    <t>RECRUITED ON SEP 2025</t>
  </si>
  <si>
    <t>MANGAL MURMU</t>
  </si>
  <si>
    <t>RAM MURMU</t>
  </si>
  <si>
    <t>JAYDEV RAY</t>
  </si>
  <si>
    <t>RAMLAL RAY</t>
  </si>
  <si>
    <t>2912 7892 0419</t>
  </si>
  <si>
    <t>7844 9324 2035</t>
  </si>
  <si>
    <t>RAJU KUMAR</t>
  </si>
  <si>
    <t>HOPNO MURMU</t>
  </si>
  <si>
    <t>9751 1554 9052</t>
  </si>
  <si>
    <t>7834 1637 6769</t>
  </si>
  <si>
    <t>RECRUITED ON NOV 2024</t>
  </si>
  <si>
    <t>BUDHAN SOREN</t>
  </si>
  <si>
    <t>CHOTA SOREN</t>
  </si>
  <si>
    <t>JITAN TUDU</t>
  </si>
  <si>
    <t>24.04.1986</t>
  </si>
  <si>
    <t>NUNDU TUDU</t>
  </si>
  <si>
    <t>7812 1998 1275</t>
  </si>
  <si>
    <t>0075</t>
  </si>
  <si>
    <t>SATASI HASDAK</t>
  </si>
  <si>
    <t>BARU HASDAK</t>
  </si>
  <si>
    <t>S/O BARU HASDAK
Nok -NIANGBIAKSIAN (WIFE)
Vill- HNAHLAN
Post- HNAHLAN
Dist -CHAMPHAI
PS- CHAMPHAI
State- MIZORAM
Pin- 796321</t>
  </si>
  <si>
    <t>4565 8792 0559</t>
  </si>
  <si>
    <t>7819 5100 4600</t>
  </si>
  <si>
    <t>ADALAT RANA</t>
  </si>
  <si>
    <t>JIWAN RANA</t>
  </si>
  <si>
    <t>7819 4844 2275</t>
  </si>
  <si>
    <t>RAMCHANDAR RAY</t>
  </si>
  <si>
    <t>LALCHAND RAY</t>
  </si>
  <si>
    <t>8712 4380 9787</t>
  </si>
  <si>
    <t>7835 8106 8432</t>
  </si>
  <si>
    <t>RECRUITED AUG 2025</t>
  </si>
  <si>
    <t>RATAN RAY</t>
  </si>
  <si>
    <t>RECRUITED JAN 2026</t>
  </si>
  <si>
    <t>BALESHWAR MARANDI</t>
  </si>
  <si>
    <t>MOTI MARANDI</t>
  </si>
  <si>
    <t>5557 7232 7330</t>
  </si>
  <si>
    <t>3012 6030 8920</t>
  </si>
  <si>
    <t>RAJESH HEMBRAM</t>
  </si>
  <si>
    <t>NOK   : CHHUTU HEMBRAM (BROTHER)
S/O   : PULIS HEMBRAM
Vill  : MASANJOR
PO    : BILKANDI
PS    : RANISHWAR
Dist  : DUMKA
State : JHARKHAND
Pin   : 814144</t>
  </si>
  <si>
    <t>5804 4219 5007</t>
  </si>
  <si>
    <t>7827 1891 8064</t>
  </si>
  <si>
    <t>NIANGHAWIHKIMI</t>
  </si>
  <si>
    <t>PAULIANA (L)</t>
  </si>
  <si>
    <t>2270 9063 2538</t>
  </si>
  <si>
    <t>7847 2928 5831</t>
  </si>
  <si>
    <t>SBIN00611387</t>
  </si>
  <si>
    <t>RAVINATH MARANDI</t>
  </si>
  <si>
    <t>ALADHAN MARANDI</t>
  </si>
  <si>
    <t>7966 9785 9620</t>
  </si>
  <si>
    <t>8028 4672 7289</t>
  </si>
  <si>
    <t>SAMUEL DEHRI</t>
  </si>
  <si>
    <t>SONWA DEHRI</t>
  </si>
  <si>
    <t>4707 8382 3974</t>
  </si>
  <si>
    <t>7829 0855 7666</t>
  </si>
  <si>
    <t>RAMU SOREN</t>
  </si>
  <si>
    <t>RASIK SOREN</t>
  </si>
  <si>
    <t>2343 0101 4273</t>
  </si>
  <si>
    <t>7832 2241 7352</t>
  </si>
  <si>
    <t>MANOJ HEMBROM</t>
  </si>
  <si>
    <t>RAJESH MURMU</t>
  </si>
  <si>
    <t>RASIK MURMU</t>
  </si>
  <si>
    <t>3412 2452 9207</t>
  </si>
  <si>
    <t>7847 4638 5255</t>
  </si>
  <si>
    <t>JAGADISH RAY</t>
  </si>
  <si>
    <t>7822 6891 1418</t>
  </si>
  <si>
    <t>7785 7947 6565</t>
  </si>
  <si>
    <t>ARJUN RAY</t>
  </si>
  <si>
    <t>BHUVNEHWAR RAY</t>
  </si>
  <si>
    <t>3510 8708 3068</t>
  </si>
  <si>
    <t>7825 6413 8431</t>
  </si>
  <si>
    <t>SADAY RAY</t>
  </si>
  <si>
    <t>HARI RAY</t>
  </si>
  <si>
    <t>7390 5381 6395</t>
  </si>
  <si>
    <t>7116 1201 0695</t>
  </si>
  <si>
    <t>KAJAL RAY</t>
  </si>
  <si>
    <t>SABU RAY</t>
  </si>
  <si>
    <t>8669 9275 5103</t>
  </si>
  <si>
    <t>77911 3293 3498</t>
  </si>
  <si>
    <t>JANTA RAY</t>
  </si>
  <si>
    <t>NOK-JOSHODA RAY (WIFE)
S/O-SANJAY RAY
VILL-KATHALDIHA
P.O-RANIBAHAL
DIST-DUMKA
STATE-JHARKHAND
PS-MASSANJORE
PIN-814144</t>
  </si>
  <si>
    <t>4048 6866 9468</t>
  </si>
  <si>
    <t>7819 4861 5342</t>
  </si>
  <si>
    <t>SOLOCHAND RAY</t>
  </si>
  <si>
    <t>KIST RAY</t>
  </si>
  <si>
    <t>8871 9079 2803</t>
  </si>
  <si>
    <t>7844 9333 2464</t>
  </si>
  <si>
    <t>SHYAM SUNDAR RAY</t>
  </si>
  <si>
    <t>LATE SAHADEV RAY</t>
  </si>
  <si>
    <t>4958 9100 9818</t>
  </si>
  <si>
    <t>7840 4611 5278</t>
  </si>
  <si>
    <t>NARAYAN RAY</t>
  </si>
  <si>
    <t>PARESHNATH RAY</t>
  </si>
  <si>
    <t>7116 3910 4694</t>
  </si>
  <si>
    <t>7849 1445 8011</t>
  </si>
  <si>
    <t>BISWAJEET SOREN</t>
  </si>
  <si>
    <t>SUNIL SOREN</t>
  </si>
  <si>
    <t>3051 1493 4423</t>
  </si>
  <si>
    <t>7104 9978 3250</t>
  </si>
  <si>
    <t>0029</t>
  </si>
  <si>
    <t>DULAL RAI</t>
  </si>
  <si>
    <t>GORI SANKAR RAI</t>
  </si>
  <si>
    <t>7812 1992 0173</t>
  </si>
  <si>
    <t>PENAQDZC0</t>
  </si>
  <si>
    <t>RE-MIDICAL AUG 2025</t>
  </si>
  <si>
    <t>0015</t>
  </si>
  <si>
    <t>KABUL HUSSAIN</t>
  </si>
  <si>
    <t>MUYNA MIYA</t>
  </si>
  <si>
    <t>S/O MUYNA MIYA
Nok -Lalfarmuni (Wife) 
Vill- Kulichora
Post-Jamapur
Dist -Cachar
PS- Doiai
State- Assam
Pin- 788120</t>
  </si>
  <si>
    <t>7810 9505 4437</t>
  </si>
  <si>
    <t>0018</t>
  </si>
  <si>
    <t>DIPRU MUNDA</t>
  </si>
  <si>
    <t>BANDU MUNDA</t>
  </si>
  <si>
    <t>4371 3777 2398</t>
  </si>
  <si>
    <t>7811 8856 3096</t>
  </si>
  <si>
    <t>1504 0701 2180 0119 5</t>
  </si>
  <si>
    <t>PALTON HEMRAM</t>
  </si>
  <si>
    <t>CHATUR HEMRAM</t>
  </si>
  <si>
    <t>NOK-TINSIANNAGI (WIFE)
S/O-CHATUR HEMRAM,
VILL-VAPAR
P.O-VAPAR
DIST-CHAMPHAI
PS-CHAMPHAI
STATE-MIZORAM
PIN-796321</t>
  </si>
  <si>
    <t>3926 0742 1661</t>
  </si>
  <si>
    <t>7840 5128 5293</t>
  </si>
  <si>
    <t>RECRUITED ON JUL 2025</t>
  </si>
  <si>
    <t>LALRINAWMA</t>
  </si>
  <si>
    <t>DAVIDA</t>
  </si>
  <si>
    <t>8504 7658 7266</t>
  </si>
  <si>
    <t>7845 0728 1498</t>
  </si>
  <si>
    <t>LALLAWMKIMA</t>
  </si>
  <si>
    <t>LALRAMTHANGA</t>
  </si>
  <si>
    <t>3617 7107 7246</t>
  </si>
  <si>
    <t>NIANGKHAWMKIMI</t>
  </si>
  <si>
    <t>NGULKHANMUNGA</t>
  </si>
  <si>
    <t>9583 4497 9274</t>
  </si>
  <si>
    <t>7819 5036 0967</t>
  </si>
  <si>
    <t>PMZ941XN4</t>
  </si>
  <si>
    <t>SBIN0000001</t>
  </si>
  <si>
    <t>THANGLUAHMANGA</t>
  </si>
  <si>
    <t>Issued Card</t>
  </si>
  <si>
    <t>7819 5009 1228</t>
  </si>
  <si>
    <t>PAUSUANKHUPA</t>
  </si>
  <si>
    <t>PAUDOTHANGA</t>
  </si>
  <si>
    <t>4894 9217 3012</t>
  </si>
  <si>
    <t>CHINGSIANMUANI</t>
  </si>
  <si>
    <t>GINLALMUANA</t>
  </si>
  <si>
    <t>8691 4862 1054</t>
  </si>
  <si>
    <t>GINKHANLALA</t>
  </si>
  <si>
    <t>VUNGKHANTHANGA</t>
  </si>
  <si>
    <t>6300 3549 6497</t>
  </si>
  <si>
    <t>7819 4912 2579</t>
  </si>
  <si>
    <t>NANGNGAIHLIANA</t>
  </si>
  <si>
    <t>THANGNGAIHPAUA</t>
  </si>
  <si>
    <t>4539 2746 5965</t>
  </si>
  <si>
    <t>7819 4492 8341</t>
  </si>
  <si>
    <t>LALDINGNGHETI</t>
  </si>
  <si>
    <t>6929 2786 0195</t>
  </si>
  <si>
    <t>CHINGSIANDIM</t>
  </si>
  <si>
    <t>TUANDOTHANG</t>
  </si>
  <si>
    <t>8827 7355 0178</t>
  </si>
  <si>
    <t>7819 4854 0826</t>
  </si>
  <si>
    <t>PCELYF03J</t>
  </si>
  <si>
    <t>TINGSIANMUANI</t>
  </si>
  <si>
    <t>T NGULSIANLANGA</t>
  </si>
  <si>
    <t>7819 4911 6812</t>
  </si>
  <si>
    <t>PHFGXR7RT</t>
  </si>
  <si>
    <t>CHINGLAWHNUAMI</t>
  </si>
  <si>
    <t>THANGLAMSUANA</t>
  </si>
  <si>
    <t>7819 4931 9810</t>
  </si>
  <si>
    <t>DIMNGAIHNIANI</t>
  </si>
  <si>
    <t>NANGDOPAUA</t>
  </si>
  <si>
    <t>2056 9243 0693</t>
  </si>
  <si>
    <t>SHOLE HANSDA</t>
  </si>
  <si>
    <t>HEMO HANSDA</t>
  </si>
  <si>
    <t>5208 7951 1887</t>
  </si>
  <si>
    <t>7813 3823 4083</t>
  </si>
  <si>
    <t>RAMPANMAWIA</t>
  </si>
  <si>
    <t>HMUNLIANA</t>
  </si>
  <si>
    <t>8972 5454 5773</t>
  </si>
  <si>
    <t>7838 6827 8249</t>
  </si>
  <si>
    <t>NIANGLUNSEN</t>
  </si>
  <si>
    <t>KHAWKHANTHANG</t>
  </si>
  <si>
    <t>8708 0318 2210</t>
  </si>
  <si>
    <t>7824 7062 1621</t>
  </si>
  <si>
    <t>KAPLUNMANI</t>
  </si>
  <si>
    <t>LIANKHANKHUPA</t>
  </si>
  <si>
    <t>6639 8830 8317</t>
  </si>
  <si>
    <t>7101 4932 8499</t>
  </si>
  <si>
    <t>PB5ZY5WJB</t>
  </si>
  <si>
    <t>BANESHWAR RAY</t>
  </si>
  <si>
    <t>MANGAL RAY</t>
  </si>
  <si>
    <t>7045 4892 7008</t>
  </si>
  <si>
    <t>7834 0062 9638</t>
  </si>
  <si>
    <t>H.LALHRIATPUIA</t>
  </si>
  <si>
    <t>LANGLIANKAMA</t>
  </si>
  <si>
    <t>9984 3647 6757</t>
  </si>
  <si>
    <t>7830 1702 7408</t>
  </si>
  <si>
    <t>BANDHU RAY</t>
  </si>
  <si>
    <t>GAJALAL RAY</t>
  </si>
  <si>
    <t>3561 2109 1620</t>
  </si>
  <si>
    <t>7820 4411 1426</t>
  </si>
  <si>
    <t>0159</t>
  </si>
  <si>
    <t>NANDU TUDU</t>
  </si>
  <si>
    <t>BUDHAM TUDU</t>
  </si>
  <si>
    <t>3854 9951 7152</t>
  </si>
  <si>
    <t>7819 4510 7926</t>
  </si>
  <si>
    <t>0161</t>
  </si>
  <si>
    <t>SONATHAN HASDA</t>
  </si>
  <si>
    <t>BALA HASDA</t>
  </si>
  <si>
    <t>2438 4813 9898</t>
  </si>
  <si>
    <t>7819 3703 6130</t>
  </si>
  <si>
    <t>KIMSIALDAWNI</t>
  </si>
  <si>
    <t>LANGSIANA</t>
  </si>
  <si>
    <t>4462 8285 7239</t>
  </si>
  <si>
    <t>7819 4928 0514</t>
  </si>
  <si>
    <t>ZAMUANKIMA</t>
  </si>
  <si>
    <t>LALTHANTLUANGA</t>
  </si>
  <si>
    <t>7822 3912 9020</t>
  </si>
  <si>
    <t>LALHRIATRENGA</t>
  </si>
  <si>
    <t>HOPNA MARANDI</t>
  </si>
  <si>
    <t>7822 4563 7598</t>
  </si>
  <si>
    <t>KHAISUANMUNGA</t>
  </si>
  <si>
    <t>SUANGKHANKAPA</t>
  </si>
  <si>
    <t>7510 1343 5936</t>
  </si>
  <si>
    <t>7811 0606 6734</t>
  </si>
  <si>
    <t>K LALTHANKHUMA</t>
  </si>
  <si>
    <t>LALTHAZUALA (L)</t>
  </si>
  <si>
    <t>S/O LALTHAZUALA (L)
NoK -K.LALCHHUANTHANGA (BROTHER)
Vill -NGUR
Post -CHAMPHAI
Dist-CHAMPHAI
PS-CHAMPHAI
STATE- MIZORAM
PIN No-796321</t>
  </si>
  <si>
    <t>8232 3184 4535</t>
  </si>
  <si>
    <t>7821 1697 1641</t>
  </si>
  <si>
    <t>VUNGSUANNEMI</t>
  </si>
  <si>
    <t>SIANZAMUANA</t>
  </si>
  <si>
    <t>7819 4937 0888</t>
  </si>
  <si>
    <t>NGINENNIANGI</t>
  </si>
  <si>
    <t>ENDAWN</t>
  </si>
  <si>
    <t>4928 2948 5222</t>
  </si>
  <si>
    <t>7821 1785 6083</t>
  </si>
  <si>
    <t>ZENSAWHNIANGI</t>
  </si>
  <si>
    <t>NGULKHANMANGA</t>
  </si>
  <si>
    <t>7502 1776 5225</t>
  </si>
  <si>
    <t>7819 4942 2879</t>
  </si>
  <si>
    <t>LUANSIANMAWII</t>
  </si>
  <si>
    <t>DULAL RAY</t>
  </si>
  <si>
    <t>8556 3235 4598</t>
  </si>
  <si>
    <t>NANDKISHOR RAY</t>
  </si>
  <si>
    <t>DINESH RAY</t>
  </si>
  <si>
    <t>3592 5612 9456</t>
  </si>
  <si>
    <t>7815 1322 6721</t>
  </si>
  <si>
    <t>FULCHAND RAY</t>
  </si>
  <si>
    <t>0017</t>
  </si>
  <si>
    <t>SANCHIT DAS</t>
  </si>
  <si>
    <t>DARBAR DAS</t>
  </si>
  <si>
    <t>6338 9228 6889</t>
  </si>
  <si>
    <t>7819 4865 1086</t>
  </si>
  <si>
    <t>MANBHARAN RAY</t>
  </si>
  <si>
    <t>HEMLAL RAY</t>
  </si>
  <si>
    <t>NOK-SEFALI DEVI (WIFE),
S/O-HEMLAL RAY
VILL-KATHALDIHA
P.O-RANIBAHAL
DIST-DUMKA
STATE-JHARKHAND
PS-MASSANJORE
PIN-814144</t>
  </si>
  <si>
    <t>5065 3847 4673</t>
  </si>
  <si>
    <t>7819 4525 7014</t>
  </si>
  <si>
    <t>SKD-I</t>
  </si>
  <si>
    <t>BABLU HANSDAK</t>
  </si>
  <si>
    <t>JIVAN HANDAK</t>
  </si>
  <si>
    <t>8317 6844 3773</t>
  </si>
  <si>
    <t>7115 2934 0116</t>
  </si>
  <si>
    <t>JAYENDRA KUMAR</t>
  </si>
  <si>
    <t>SATISH CHANDRA</t>
  </si>
  <si>
    <t>4028 9647 3387</t>
  </si>
  <si>
    <t>RE-MEDICAL NOV 2025</t>
  </si>
  <si>
    <t>SBIN0014133</t>
  </si>
  <si>
    <t>LAMLIANLALA</t>
  </si>
  <si>
    <t>THANGDOKHAMA</t>
  </si>
  <si>
    <t>3172 4618 1262</t>
  </si>
  <si>
    <t>SOMLAL MARANDI</t>
  </si>
  <si>
    <t>ANAND MARANDI</t>
  </si>
  <si>
    <t>2539 2333 2225</t>
  </si>
  <si>
    <t>7819 4915 1668</t>
  </si>
  <si>
    <t>DILIP TUDU</t>
  </si>
  <si>
    <t>SHIV THAKUR TUDU</t>
  </si>
  <si>
    <t>9951 1618 4413</t>
  </si>
  <si>
    <t>7111 0807 4976</t>
  </si>
  <si>
    <t>TH. ASANGBA SINGHA</t>
  </si>
  <si>
    <t>TH. KUNGABABU SINGHA</t>
  </si>
  <si>
    <t>2037 2480 7006</t>
  </si>
  <si>
    <t>50100368221377</t>
  </si>
  <si>
    <t>HDFC0001063</t>
  </si>
  <si>
    <t>DAVID KABRABAM SURJIT SINGH</t>
  </si>
  <si>
    <t>K. JUGAL SINGHA</t>
  </si>
  <si>
    <t>5604 1039 8770</t>
  </si>
  <si>
    <t>SBIN0000183</t>
  </si>
  <si>
    <t>MANOJ KUMAR MURMU</t>
  </si>
  <si>
    <t>DHUMA MURMU</t>
  </si>
  <si>
    <t>6203 4992 5537</t>
  </si>
  <si>
    <t>7818 0300 0972</t>
  </si>
  <si>
    <t>RAJIV MURMU</t>
  </si>
  <si>
    <t>SOMLAL MUMRU</t>
  </si>
  <si>
    <t>7894 9225 7535</t>
  </si>
  <si>
    <t>6955 3641 6012</t>
  </si>
  <si>
    <t>PREMCHAND MARNADI</t>
  </si>
  <si>
    <t>RAVILAL MARANDI</t>
  </si>
  <si>
    <t>NOK   : SANIR MARANDI (SON)
S/O   : RAVILAL MARANDI
Vill  : SITASAL
PO    : KATHALIA
PS    : MASALIA
Dist  : DUMKA
State : JHARKHAND
Pin   : 814119</t>
  </si>
  <si>
    <t>7697 4137 3727</t>
  </si>
  <si>
    <t>7847 5781 2836</t>
  </si>
  <si>
    <t>SARIF TUDU</t>
  </si>
  <si>
    <t>HOPNA TUDU</t>
  </si>
  <si>
    <t>4200 7616 1221</t>
  </si>
  <si>
    <t>2314 5487 5521</t>
  </si>
  <si>
    <t>SUNILAL MURMU</t>
  </si>
  <si>
    <t>GOPAL MURMU</t>
  </si>
  <si>
    <t>8299 6917 5997</t>
  </si>
  <si>
    <t>7873 8382 0244</t>
  </si>
  <si>
    <t>SBIN0009802</t>
  </si>
  <si>
    <t>AINUL HASBAQUE LASKAR</t>
  </si>
  <si>
    <t>ILA UDDIN LASKAR</t>
  </si>
  <si>
    <t>3175 7801 9873</t>
  </si>
  <si>
    <t>7810 9476 2935</t>
  </si>
  <si>
    <t>NIANGDAWNSUNGI</t>
  </si>
  <si>
    <t>DALMUANTHANGA</t>
  </si>
  <si>
    <t>5546 4489 0336</t>
  </si>
  <si>
    <t>7819 6836 8884</t>
  </si>
  <si>
    <t>MARIA LIANDINGPUII</t>
  </si>
  <si>
    <t>PAUL HAULANGKAPA</t>
  </si>
  <si>
    <t>8675 9796 0185</t>
  </si>
  <si>
    <t>7847 2818 7067</t>
  </si>
  <si>
    <t>ROSY LUNKIM</t>
  </si>
  <si>
    <t>VUNGKHANNGOA</t>
  </si>
  <si>
    <t>7196 4279 3187</t>
  </si>
  <si>
    <t>7847 2166 8054</t>
  </si>
  <si>
    <t>REMRUATPUII</t>
  </si>
  <si>
    <t>8985 0745 2842</t>
  </si>
  <si>
    <t>7847 1120 1182</t>
  </si>
  <si>
    <t>GINSUANMUNGA</t>
  </si>
  <si>
    <t>DAWNGKHANHANGA</t>
  </si>
  <si>
    <t>3021 8801 8225</t>
  </si>
  <si>
    <t>4521 1239 4561</t>
  </si>
  <si>
    <t>PRADIP RAY</t>
  </si>
  <si>
    <t>PASHUPATI RAY</t>
  </si>
  <si>
    <t>NOK   : SUMITA RAY (WIFE)
S/O   : PASHU PATI RAY
Vill  : KATHALDIHA
PO    : BANIBAHAL
PS    : MASANJORE
Dist  : DUMKA
State : JHARKHAND
Pin   : 814144</t>
  </si>
  <si>
    <t>5618 3565 3920</t>
  </si>
  <si>
    <t>7810 2414 4403</t>
  </si>
  <si>
    <t>KISHAN RAY</t>
  </si>
  <si>
    <t>SATYNARAYAN RAY</t>
  </si>
  <si>
    <t>7843 7358 3111</t>
  </si>
  <si>
    <t>7790 2612 0520</t>
  </si>
  <si>
    <t>BAJOL HEMBROM</t>
  </si>
  <si>
    <t>JAGU HEMBROM</t>
  </si>
  <si>
    <t>5577 0181 8524</t>
  </si>
  <si>
    <t>7847 3662 4881</t>
  </si>
  <si>
    <t>LATE ASHWANI RAY</t>
  </si>
  <si>
    <t>2670 0705 6557</t>
  </si>
  <si>
    <t>7810 6133 7349</t>
  </si>
  <si>
    <t>BABUDHAN MURMU</t>
  </si>
  <si>
    <t>17/07/1981</t>
  </si>
  <si>
    <t>PAYKA MURMU</t>
  </si>
  <si>
    <t>2491 7205 1470</t>
  </si>
  <si>
    <t>7819 4913 5746</t>
  </si>
  <si>
    <t>PRASHANTA RAI</t>
  </si>
  <si>
    <t>PATU RAY</t>
  </si>
  <si>
    <t>4601 6469 7206</t>
  </si>
  <si>
    <t>7847 2957 5912</t>
  </si>
  <si>
    <t>UPISHAR MARANDI</t>
  </si>
  <si>
    <t>DEVISHAR MARANDI</t>
  </si>
  <si>
    <t>9677 8253 0415</t>
  </si>
  <si>
    <t>7119 8730 4657</t>
  </si>
  <si>
    <t>RAMESH LUKHIRAM TUDU</t>
  </si>
  <si>
    <t>SUNIL HEMBROM</t>
  </si>
  <si>
    <t>LATE RATAN HEMBROM</t>
  </si>
  <si>
    <t>2244 8188 3553</t>
  </si>
  <si>
    <t>7825 3122 4456</t>
  </si>
  <si>
    <t>SONADHAN MURMU</t>
  </si>
  <si>
    <t>BADAN MURMU</t>
  </si>
  <si>
    <t>2582 2737 1712</t>
  </si>
  <si>
    <t>4965 9056 8044</t>
  </si>
  <si>
    <t>JOGESHWAR RAY</t>
  </si>
  <si>
    <t>MADHUSUDHAN RAY</t>
  </si>
  <si>
    <t>6750 7522 7803</t>
  </si>
  <si>
    <t>7817 7332 4563</t>
  </si>
  <si>
    <t>JITENDRA RAY</t>
  </si>
  <si>
    <t>PURAN RAY</t>
  </si>
  <si>
    <t>7399 0428 3723</t>
  </si>
  <si>
    <t>7838 6606 7243</t>
  </si>
  <si>
    <t>RAHUL RAY</t>
  </si>
  <si>
    <t>SHIVCHARAN RAY</t>
  </si>
  <si>
    <t>7728 2219 9807</t>
  </si>
  <si>
    <t>7847 3608 7255</t>
  </si>
  <si>
    <t>DIMENLIANI</t>
  </si>
  <si>
    <t>ZAMZAMUNG</t>
  </si>
  <si>
    <t>8604 7072 4948</t>
  </si>
  <si>
    <t>7819 6223 0329</t>
  </si>
  <si>
    <t>DIMNGAIHLIANI</t>
  </si>
  <si>
    <t>ZAMSUANMUNGA</t>
  </si>
  <si>
    <t>NOK   :  R LALREMRUATA (HUSBAND)
S/O   : ZAMSUANMUNGA
Vill  : VAPUR
PO    : CHAMPHAI
PS    : CHAMPHAI
Dist   : MIZORAM
Pin   : 796321</t>
  </si>
  <si>
    <t>3967 8811 1405</t>
  </si>
  <si>
    <t>7847 6988 1923</t>
  </si>
  <si>
    <t>MUANSINKHUALA</t>
  </si>
  <si>
    <t>DALDEIHTHANGA</t>
  </si>
  <si>
    <t>3683 2395 2865</t>
  </si>
  <si>
    <t>7847 7088 5966</t>
  </si>
  <si>
    <t>CHINGITLIANMUANGI</t>
  </si>
  <si>
    <t>KHAMLAMENGA</t>
  </si>
  <si>
    <t>9763 5927 8774</t>
  </si>
  <si>
    <t>7819 4574 0318</t>
  </si>
  <si>
    <t>RUBIN MURMU</t>
  </si>
  <si>
    <t>7819 4490 1910</t>
  </si>
  <si>
    <t>OMPRAKASH RAY</t>
  </si>
  <si>
    <t>TULU RAY</t>
  </si>
  <si>
    <t>2935 8241 8724</t>
  </si>
  <si>
    <t>7845 6589 2142</t>
  </si>
  <si>
    <t>NUNI SOREN</t>
  </si>
  <si>
    <t>4359 2876 0525</t>
  </si>
  <si>
    <t>7825 2255 4586</t>
  </si>
  <si>
    <t>VIAL SAWM PIANG</t>
  </si>
  <si>
    <t>DON GKHAN THANG</t>
  </si>
  <si>
    <t>4006 3009 0804</t>
  </si>
  <si>
    <t>7819 5378 9963</t>
  </si>
  <si>
    <t>LIANLAWMCHINGI</t>
  </si>
  <si>
    <t>T PAUSIAMA</t>
  </si>
  <si>
    <t>5755 6951 4940</t>
  </si>
  <si>
    <t>7847 6534 2558</t>
  </si>
  <si>
    <t>LUANSIANLUNI</t>
  </si>
  <si>
    <t>DAWNGKHANTHANGA</t>
  </si>
  <si>
    <t>4992 670 7800</t>
  </si>
  <si>
    <t>7832 9229 1154</t>
  </si>
  <si>
    <t>TINGSIANNEMI</t>
  </si>
  <si>
    <t>KHAIKHENKAPA</t>
  </si>
  <si>
    <t>8453 4461 2240</t>
  </si>
  <si>
    <t>7107 2676 1629</t>
  </si>
  <si>
    <t>NGAWIHSIANNGAII</t>
  </si>
  <si>
    <t>TINLIANPAUA</t>
  </si>
  <si>
    <t>5538 3642 2973</t>
  </si>
  <si>
    <t>7819 6233 4139</t>
  </si>
  <si>
    <t>KHUALSIANNEMI</t>
  </si>
  <si>
    <t>4217 7053 5485</t>
  </si>
  <si>
    <t>7837 4066 3770</t>
  </si>
  <si>
    <t>VUNGDEIHLUNI</t>
  </si>
  <si>
    <t>6844 8766 3090</t>
  </si>
  <si>
    <t>7848 9814 8685</t>
  </si>
  <si>
    <t>NGOSIANSANGA</t>
  </si>
  <si>
    <t>ENDAWNGA</t>
  </si>
  <si>
    <t>6545 0053 4217</t>
  </si>
  <si>
    <t>7812 9083 3623</t>
  </si>
  <si>
    <t>SUANSIANLALA</t>
  </si>
  <si>
    <t>PIANGZALIANA</t>
  </si>
  <si>
    <t>9696 0013 3425</t>
  </si>
  <si>
    <t>7829 7763 7740</t>
  </si>
  <si>
    <t>MANNGAIHTINGI</t>
  </si>
  <si>
    <t>10/072007</t>
  </si>
  <si>
    <t>ENZADAWNGA</t>
  </si>
  <si>
    <t>2888 7847 8358</t>
  </si>
  <si>
    <t>7849 0880 2863</t>
  </si>
  <si>
    <t>CHUDAKA HANSDA</t>
  </si>
  <si>
    <t>SHIBLAL HANSDA</t>
  </si>
  <si>
    <t>NOK- RUBI SOREN (WIFE)
S/O- SHIBLAL HASDA
VILL- GULAMSULI
PO- PRATAPPUR
DIST- RANISHWAR
STATE- JHARKHAND
PS- RANISHWAR
PIN- 814148</t>
  </si>
  <si>
    <t>8831 7804 4710</t>
  </si>
  <si>
    <t>7820 5178 6019</t>
  </si>
  <si>
    <t>RAM HANSDA</t>
  </si>
  <si>
    <t>GOSAI HANSDA</t>
  </si>
  <si>
    <t>NOK- SUMITRA KISKU (WIFE)
S/O- GOSAI HANSDA
VILL- GULAMSULI
PO- PRATAPPUR
DIST- RANISHWAR
STATE- JHARKHAND
PS- RANISHWAR
PIN- 814148</t>
  </si>
  <si>
    <t>7463 8063 3843</t>
  </si>
  <si>
    <t>7893 3085 0472</t>
  </si>
  <si>
    <t>BISHWANATH SOREN</t>
  </si>
  <si>
    <t>868 8380 2928</t>
  </si>
  <si>
    <t>724 2828 5546</t>
  </si>
  <si>
    <t>0336</t>
  </si>
  <si>
    <t>JOSEPH HASDA</t>
  </si>
  <si>
    <t>BUDHI HASDA</t>
  </si>
  <si>
    <t>7819 5773 8051</t>
  </si>
  <si>
    <t>RECRUITED MAY 2024</t>
  </si>
  <si>
    <t>0352</t>
  </si>
  <si>
    <t>ENLAMPAUA</t>
  </si>
  <si>
    <t>THANGKHAN LAMA</t>
  </si>
  <si>
    <t>S/O Thangkhanlama
Nok - Ngaihhminglawmi (Daughter)
Vill- Vaikhawtlang
Post-Champhai
Dist -Champhai
PS- Champhai
State- Mizoram
Pin- 796321</t>
  </si>
  <si>
    <t>7819 5672 2696</t>
  </si>
  <si>
    <t>PJY0NAV4V</t>
  </si>
  <si>
    <t>0344</t>
  </si>
  <si>
    <t>NEMZA SIAMI</t>
  </si>
  <si>
    <t>ZAMSIANPAUA (L)</t>
  </si>
  <si>
    <t>2141 0761 3485</t>
  </si>
  <si>
    <t>7819 5797 4631</t>
  </si>
  <si>
    <t>CHINKHANLIANA</t>
  </si>
  <si>
    <t>KHUALKHANPAUA</t>
  </si>
  <si>
    <t>4957 1362 9179</t>
  </si>
  <si>
    <t>7819 5676 9808</t>
  </si>
  <si>
    <t>RECRUITED FEB 2025</t>
  </si>
  <si>
    <t>0337</t>
  </si>
  <si>
    <t>GODAL RAY</t>
  </si>
  <si>
    <t>KALIPADO RAY</t>
  </si>
  <si>
    <t>7159 5149 6177</t>
  </si>
  <si>
    <t>NIANGLUNCHINGI</t>
  </si>
  <si>
    <t>DAWNGKHANKHUALA</t>
  </si>
  <si>
    <t>Issue Card</t>
  </si>
  <si>
    <t>7819 5714 9005</t>
  </si>
  <si>
    <t>P2KLJT71M</t>
  </si>
  <si>
    <t>LALRINKIMA</t>
  </si>
  <si>
    <t>LALKRISTONA</t>
  </si>
  <si>
    <t>KAIHUTHANA</t>
  </si>
  <si>
    <t>THANGNGAIHPAUVA</t>
  </si>
  <si>
    <t>48949 9391 9026</t>
  </si>
  <si>
    <t>7819 5763 6541</t>
  </si>
  <si>
    <t>RECRUITED DEC 2023</t>
  </si>
  <si>
    <t>KAIZAMUNGA</t>
  </si>
  <si>
    <t>THANGKHENPAUA</t>
  </si>
  <si>
    <t>7819 5675 0903</t>
  </si>
  <si>
    <t>DALMUANSIAMA</t>
  </si>
  <si>
    <t>PAUCHINSUANA</t>
  </si>
  <si>
    <t>9465 4701 4432</t>
  </si>
  <si>
    <t>ENKHENTUANGA</t>
  </si>
  <si>
    <t>31/05/1995</t>
  </si>
  <si>
    <t>GINLIANPAUA</t>
  </si>
  <si>
    <t>9454 2871 9749</t>
  </si>
  <si>
    <t>3215 9647 8523</t>
  </si>
  <si>
    <t>RECRUITED APR 2024</t>
  </si>
  <si>
    <t>PAUBIAKLIANA</t>
  </si>
  <si>
    <t>28/07/1996</t>
  </si>
  <si>
    <t>8162 7812 3895</t>
  </si>
  <si>
    <t>0346</t>
  </si>
  <si>
    <t>GEN LAM THANGA</t>
  </si>
  <si>
    <t>GIN KAP THANGA</t>
  </si>
  <si>
    <t>9649 3410 4738</t>
  </si>
  <si>
    <t>7819 5769 0447</t>
  </si>
  <si>
    <t>CHINGMUANKIMI</t>
  </si>
  <si>
    <t>DAIKHANKAPA</t>
  </si>
  <si>
    <t>2007 2005 5530</t>
  </si>
  <si>
    <t>7819 5090 7746</t>
  </si>
  <si>
    <t>NIANGLAMCHINGI</t>
  </si>
  <si>
    <t>TUANNGAIHTHANGA</t>
  </si>
  <si>
    <t>PDV175232</t>
  </si>
  <si>
    <t>PBER07BIE</t>
  </si>
  <si>
    <t>V. DANIEL SUANTAK</t>
  </si>
  <si>
    <t>30.10.1994</t>
  </si>
  <si>
    <t>DALNGAIHLIANA</t>
  </si>
  <si>
    <t>Form Submitted</t>
  </si>
  <si>
    <t>7819 5823 6791</t>
  </si>
  <si>
    <t>PAUZATHANGA</t>
  </si>
  <si>
    <t>26.09.1999</t>
  </si>
  <si>
    <t>DAWNGKHANENA</t>
  </si>
  <si>
    <t>TUANGNGAIHTHANGA</t>
  </si>
  <si>
    <t>ZAMSIANPAU</t>
  </si>
  <si>
    <t>7336 7511 3301</t>
  </si>
  <si>
    <t>7819 5681 6581</t>
  </si>
  <si>
    <t>ROSIAMLIANA</t>
  </si>
  <si>
    <t>13/02/1976</t>
  </si>
  <si>
    <t>ZAZAWNA</t>
  </si>
  <si>
    <t>4165 9948 6794</t>
  </si>
  <si>
    <t>7819 5814 1407</t>
  </si>
  <si>
    <t>LIANCHINZAMA</t>
  </si>
  <si>
    <t>29/08/1990</t>
  </si>
  <si>
    <t>PAUKHUPA</t>
  </si>
  <si>
    <t>3273 9711 1642</t>
  </si>
  <si>
    <t>7819 5676 1688</t>
  </si>
  <si>
    <t>TUANLALZAWMA</t>
  </si>
  <si>
    <t>7819 5711 3680</t>
  </si>
  <si>
    <t>KHAMKHANMUNGA</t>
  </si>
  <si>
    <t>NEGKHANPAUA</t>
  </si>
  <si>
    <t>4245 9059 7408</t>
  </si>
  <si>
    <t>7819 5817 5546</t>
  </si>
  <si>
    <t>THANGZADINGA</t>
  </si>
  <si>
    <t>KHAMBIAKTLUANGA</t>
  </si>
  <si>
    <t>6129 0779 8869</t>
  </si>
  <si>
    <t>PAUZAKHENA</t>
  </si>
  <si>
    <t>HK KHAMA</t>
  </si>
  <si>
    <t>7819 5402 5398</t>
  </si>
  <si>
    <t>KAPSAWMCHINGI</t>
  </si>
  <si>
    <t>GINKAPTHANGA</t>
  </si>
  <si>
    <t>8050 9906 4186</t>
  </si>
  <si>
    <t>7841 5977 7558</t>
  </si>
  <si>
    <t>VANLALSAWMA</t>
  </si>
  <si>
    <t>KHAWSIAMA</t>
  </si>
  <si>
    <t>7819 6007 3223</t>
  </si>
  <si>
    <t>VANLALRINTLAKA</t>
  </si>
  <si>
    <t>LAIKIMA (L)</t>
  </si>
  <si>
    <t>HAUKHANMANGA</t>
  </si>
  <si>
    <t>TLANCHUNGA</t>
  </si>
  <si>
    <t>2673 3807 6041</t>
  </si>
  <si>
    <t>7841 6224 6767</t>
  </si>
  <si>
    <t>THANGROMUANA</t>
  </si>
  <si>
    <t>THANGKHANMANGA</t>
  </si>
  <si>
    <t>6131 2849 2618</t>
  </si>
  <si>
    <t>7822 4673 2921</t>
  </si>
  <si>
    <t>CHINSAWMLIANA</t>
  </si>
  <si>
    <t>LANGKHANKHUPA</t>
  </si>
  <si>
    <t>8940 7478 7583</t>
  </si>
  <si>
    <t>7918 5085 2280</t>
  </si>
  <si>
    <t>THANGBIAKTLUANGA</t>
  </si>
  <si>
    <t>9085 2960 2533</t>
  </si>
  <si>
    <t>7819 5086 0136</t>
  </si>
  <si>
    <t>GINLIANDINGA</t>
  </si>
  <si>
    <t>3800 0656 5896</t>
  </si>
  <si>
    <t>2369 4589 7230</t>
  </si>
  <si>
    <t>VANLALDINSANGA</t>
  </si>
  <si>
    <t>THANGHLUNMAWIA</t>
  </si>
  <si>
    <t>9346 4142 5407</t>
  </si>
  <si>
    <t>THANGSAVUNGA</t>
  </si>
  <si>
    <t>HANGDOTHANGA (L)</t>
  </si>
  <si>
    <t>5294 6490 6167</t>
  </si>
  <si>
    <t>LALRINTLUANGA</t>
  </si>
  <si>
    <t>PAUSIALTHANGA</t>
  </si>
  <si>
    <t>5005 0434 0006</t>
  </si>
  <si>
    <t>70327841 78301</t>
  </si>
  <si>
    <t>SANGZUALA</t>
  </si>
  <si>
    <t>V LIANHNUNA</t>
  </si>
  <si>
    <t>3248 6988 9254</t>
  </si>
  <si>
    <t>0398</t>
  </si>
  <si>
    <t>C LALROMAWIA</t>
  </si>
  <si>
    <t>C HRANGTHUAMA</t>
  </si>
  <si>
    <t>2912 395 68267</t>
  </si>
  <si>
    <t>7819 4946 2572</t>
  </si>
  <si>
    <t>THANGROLIANA</t>
  </si>
  <si>
    <t>LAMZAKHUMA</t>
  </si>
  <si>
    <t>S/O LAMZAKHUMA
NoK - KHUMMUANLALA (SON)
Vill -VAIKHAWTLANG
Post -CHAMPHAI
Dist-CHAMPHAI
PS-CHAMPHAI
STATE- MIZORAM
PIN No-796321</t>
  </si>
  <si>
    <t>2702 4235 7468</t>
  </si>
  <si>
    <t>RECRUITED NOV 2031</t>
  </si>
  <si>
    <t>SHIBCHARAN MADHAIYA</t>
  </si>
  <si>
    <t>MASIDI MADHAIYA</t>
  </si>
  <si>
    <t>8475 7287 1767</t>
  </si>
  <si>
    <t>7817 9957 5199</t>
  </si>
  <si>
    <t>PAWAN MARAIYA</t>
  </si>
  <si>
    <t>BABUCHAND MARAIYA</t>
  </si>
  <si>
    <t>7119 5713 1208</t>
  </si>
  <si>
    <t>RAMCHANDRA MARAIYA</t>
  </si>
  <si>
    <t>SIKANDAR MADAIYA</t>
  </si>
  <si>
    <t>SUDHAN MADAIYA</t>
  </si>
  <si>
    <t>S/O SSUDHAN MADAIYA
NoK - Sila  Devi(Wife)
Vill - Parsoti
Post -Kathon
Dist- Godda
PS - Poreyahat
STATE- Jharkhand
Pin No.- 814153</t>
  </si>
  <si>
    <t>3732 2852 5507</t>
  </si>
  <si>
    <t>7835 0460 0749</t>
  </si>
  <si>
    <t>KARTIK KUMAR MARAIYA</t>
  </si>
  <si>
    <t>RAMKISHUN MARAIYA</t>
  </si>
  <si>
    <t>7598 5149 5896</t>
  </si>
  <si>
    <t>78.35 2523 6583</t>
  </si>
  <si>
    <t>RAMESHWAR KISKU</t>
  </si>
  <si>
    <t>SUKUL KISKU</t>
  </si>
  <si>
    <t>9839 1984 9223</t>
  </si>
  <si>
    <t>7817 8575 5604</t>
  </si>
  <si>
    <t>0224</t>
  </si>
  <si>
    <t>PETER SOREN</t>
  </si>
  <si>
    <t>DOMAN SOREN</t>
  </si>
  <si>
    <t>2481 0375 5926</t>
  </si>
  <si>
    <t>7817 9996 2374</t>
  </si>
  <si>
    <t>LOLIN MARAIYA</t>
  </si>
  <si>
    <t>RASIK MARAIYA</t>
  </si>
  <si>
    <t>9016 8848 5041</t>
  </si>
  <si>
    <t>7862 9976 2090</t>
  </si>
  <si>
    <t>RAMESHWER SOREN</t>
  </si>
  <si>
    <t>SUKOL SOREN</t>
  </si>
  <si>
    <t>3317 3253 0914</t>
  </si>
  <si>
    <t>7873 7255 5087</t>
  </si>
  <si>
    <t>MANJULAL MURMU</t>
  </si>
  <si>
    <t>PRADHAN MURMU</t>
  </si>
  <si>
    <t>9510 8833 9177</t>
  </si>
  <si>
    <t>7817 9969 4125</t>
  </si>
  <si>
    <t>SURENDAR MIRDHA</t>
  </si>
  <si>
    <t>SUKDEV MURDHA</t>
  </si>
  <si>
    <t>9574 0088 6358</t>
  </si>
  <si>
    <t>7817 9965 1257</t>
  </si>
  <si>
    <t>ZORAMTHANGA</t>
  </si>
  <si>
    <t>S LALBIAKVELA (L)</t>
  </si>
  <si>
    <t>6902 3126 0139</t>
  </si>
  <si>
    <t>7817 9998 5124</t>
  </si>
  <si>
    <t>CHOTU MADAIYA</t>
  </si>
  <si>
    <t>ANANT MADAIYA</t>
  </si>
  <si>
    <t>5396 3836 0997</t>
  </si>
  <si>
    <t>7817 9198 3748</t>
  </si>
  <si>
    <t>SUDHIR MARAIYA</t>
  </si>
  <si>
    <t>8556 0591 4499</t>
  </si>
  <si>
    <t>7819 4923 9592</t>
  </si>
  <si>
    <t>SHIVCHARAN MARAIYA</t>
  </si>
  <si>
    <t>KISHOR KUMAR KISKU</t>
  </si>
  <si>
    <t>GANESH KISKU</t>
  </si>
  <si>
    <t>6611 9532 0942</t>
  </si>
  <si>
    <t>7116 8673 6441</t>
  </si>
  <si>
    <t>SBIN0012545</t>
  </si>
  <si>
    <t>MANOJ MARAIYA</t>
  </si>
  <si>
    <t>7920 0564 1697</t>
  </si>
  <si>
    <t>7825 7657 6469</t>
  </si>
  <si>
    <t>0483</t>
  </si>
  <si>
    <t>RATAN CHAKRABORTY</t>
  </si>
  <si>
    <t>31.12.1974</t>
  </si>
  <si>
    <t>RATHINDRA CHAKRABORTY</t>
  </si>
  <si>
    <t>SBIN0001991</t>
  </si>
  <si>
    <t>SANICHAR REE</t>
  </si>
  <si>
    <t>ANGAD REE</t>
  </si>
  <si>
    <t>SBIN0013309</t>
  </si>
  <si>
    <t>LUTFUR RAHMAN BABHUIYA</t>
  </si>
  <si>
    <t>MOIBUR RAHMAN BARBHUIYA</t>
  </si>
  <si>
    <t>7706 3525 3981</t>
  </si>
  <si>
    <t>Recruited APR 2024</t>
  </si>
  <si>
    <t>KAMRUZ ZAMAN LASKAR</t>
  </si>
  <si>
    <t>AZIR UDDIN LASKAR</t>
  </si>
  <si>
    <t>6720 6807 8704</t>
  </si>
  <si>
    <t>AYATULLA HOQUE</t>
  </si>
  <si>
    <t>FOIJUL HOQUE</t>
  </si>
  <si>
    <t>S/o- Foijul Hoque
NoK - Faruk (Brother)
Vill - 207 Nairgram
Post - Nairgram
Dist- Karimganj
PS- Badpur
STATE- Assam
PIN No- 788713</t>
  </si>
  <si>
    <t>9074 3886 6450</t>
  </si>
  <si>
    <t>RECRUITED JUNE 2024</t>
  </si>
  <si>
    <t>LALHMANGAIHZUALA</t>
  </si>
  <si>
    <t>LALNUNSANGA</t>
  </si>
  <si>
    <t>4312 9483 1874</t>
  </si>
  <si>
    <t>7841 2266 8914</t>
  </si>
  <si>
    <t>LAWMZUALA</t>
  </si>
  <si>
    <t>LALHRUAITLUANGA</t>
  </si>
  <si>
    <t>3773 3417 1657</t>
  </si>
  <si>
    <t>7841 2271 6444</t>
  </si>
  <si>
    <t>APY</t>
  </si>
  <si>
    <t>SBIN0005827</t>
  </si>
  <si>
    <t>LALBIAKSANGA</t>
  </si>
  <si>
    <t>LALBIAKNUNGA</t>
  </si>
  <si>
    <t>ZAIREMTHANGA</t>
  </si>
  <si>
    <t>8938 5792 9450</t>
  </si>
  <si>
    <t>7819 3816 9202</t>
  </si>
  <si>
    <t>LALHLUANA</t>
  </si>
  <si>
    <t>CHHUNKIMA</t>
  </si>
  <si>
    <t>6241 6247 8027</t>
  </si>
  <si>
    <t>7818 8227 2231</t>
  </si>
  <si>
    <t>FJ LALDINPUIA</t>
  </si>
  <si>
    <t>FJ DINGLUAIA</t>
  </si>
  <si>
    <t>4902 7981 3450</t>
  </si>
  <si>
    <t>SBIN0007058</t>
  </si>
  <si>
    <t>TC LALHREZUALA</t>
  </si>
  <si>
    <t>TC LALDAWLA</t>
  </si>
  <si>
    <t>4579 2093 0629</t>
  </si>
  <si>
    <t>7818 3470 1010</t>
  </si>
  <si>
    <t>DAVID LALRAMSANGA</t>
  </si>
  <si>
    <t>DAWNGLIANA</t>
  </si>
  <si>
    <t>8387 0796 2991</t>
  </si>
  <si>
    <t>7818 5777 9079</t>
  </si>
  <si>
    <t>SBIN0002504</t>
  </si>
  <si>
    <t>LALRAMCHUANA</t>
  </si>
  <si>
    <t>R.LALVULLIANA</t>
  </si>
  <si>
    <t>4226 0553 3723</t>
  </si>
  <si>
    <t>7818 3460 0852</t>
  </si>
  <si>
    <t>K LALDINZUALA</t>
  </si>
  <si>
    <t>K LALROHLUA</t>
  </si>
  <si>
    <t>7448 7938 3461</t>
  </si>
  <si>
    <t>PMJJBY</t>
  </si>
  <si>
    <t>7818 3454 4568</t>
  </si>
  <si>
    <t>V. L MALSAWMDAWNLIANA</t>
  </si>
  <si>
    <t>K.LALSANGLURA</t>
  </si>
  <si>
    <t>0936</t>
  </si>
  <si>
    <t>ZONUNSANGA</t>
  </si>
  <si>
    <t>VANKUNGA</t>
  </si>
  <si>
    <t>7740 3395 7059</t>
  </si>
  <si>
    <t>7818 8211 6494</t>
  </si>
  <si>
    <t>SANJIT ZORAMA</t>
  </si>
  <si>
    <t>TAPAAN</t>
  </si>
  <si>
    <t>7817 9966 5988</t>
  </si>
  <si>
    <t>HIRALAL MARAIYA</t>
  </si>
  <si>
    <t>RAM MARAIYA</t>
  </si>
  <si>
    <t>9508 7963 8675</t>
  </si>
  <si>
    <t>7820 0285 7910</t>
  </si>
  <si>
    <t>SBIN0017163</t>
  </si>
  <si>
    <t>DIBILAL HEMBRAM</t>
  </si>
  <si>
    <t>BABUJI HEMBRAM</t>
  </si>
  <si>
    <t>4331 7772 2824</t>
  </si>
  <si>
    <t>GAUTAM KUMAR SINGH</t>
  </si>
  <si>
    <t>CHANDRIKA PRASAD SINGH</t>
  </si>
  <si>
    <t>7797 8876 4754</t>
  </si>
  <si>
    <t>SBIN0002968</t>
  </si>
  <si>
    <t>LALHMINGHLUII</t>
  </si>
  <si>
    <t>9981 6484 5799</t>
  </si>
  <si>
    <t>RECRUITED ON OCT 2024</t>
  </si>
  <si>
    <t>LALPEKHLUII</t>
  </si>
  <si>
    <t>15/09/1989</t>
  </si>
  <si>
    <t>LALMUANA</t>
  </si>
  <si>
    <t>4719 6632 3817</t>
  </si>
  <si>
    <t>LALHMINGMAWIA</t>
  </si>
  <si>
    <t>5721 6555 1230</t>
  </si>
  <si>
    <t>SANGTHANGPUII</t>
  </si>
  <si>
    <t>7800 5530 8398</t>
  </si>
  <si>
    <t>K.LALRINAWMI</t>
  </si>
  <si>
    <t>K VANNEIA</t>
  </si>
  <si>
    <t>9082 6465 7428</t>
  </si>
  <si>
    <t>JOHN HENRY REANG</t>
  </si>
  <si>
    <t>LALHMUNSANGA REANG</t>
  </si>
  <si>
    <t>6293 2929 1967</t>
  </si>
  <si>
    <t>SASHI KUMAR RAY</t>
  </si>
  <si>
    <t>ANAND RAY</t>
  </si>
  <si>
    <t>4805 4039 6947</t>
  </si>
  <si>
    <t>7815 5560 1588</t>
  </si>
  <si>
    <t>SUKHDEV RAY</t>
  </si>
  <si>
    <t>MANOHAR RAY</t>
  </si>
  <si>
    <t>NOK-MANOJ RAY (SON)
S/O-MANOHAR RAY
VILLAGE - CHICHRO
P.O-SALDAHA
P.S-KATHIKUND
DISTRICT-DUMKA
STATE-JHARKHAND
Pin - 814103</t>
  </si>
  <si>
    <t>8614 1357 8005</t>
  </si>
  <si>
    <t>7815 3119 4732</t>
  </si>
  <si>
    <t>SHIBU DEHRI</t>
  </si>
  <si>
    <t>SUKU DEHRI</t>
  </si>
  <si>
    <t>2888 3088 6993</t>
  </si>
  <si>
    <t>7120 7271 0319</t>
  </si>
  <si>
    <t>RAJ KUMAR RAY</t>
  </si>
  <si>
    <t>CHARAKHA RAY</t>
  </si>
  <si>
    <t>6880 9112 6579</t>
  </si>
  <si>
    <t>7841 8139 4786</t>
  </si>
  <si>
    <t>LT SANICHAR RAY</t>
  </si>
  <si>
    <t>3863 8182 2632</t>
  </si>
  <si>
    <t>7111 4567 4383</t>
  </si>
  <si>
    <t>NAVEEN</t>
  </si>
  <si>
    <t>RAJBIR SINGH</t>
  </si>
  <si>
    <t>4197 3989 2372</t>
  </si>
  <si>
    <t>50100444617901</t>
  </si>
  <si>
    <t>HDFC0000479</t>
  </si>
  <si>
    <t>JAGANATH RAY</t>
  </si>
  <si>
    <t>SAMAR RAY</t>
  </si>
  <si>
    <t>3290 0733 0885</t>
  </si>
  <si>
    <t>7805 3642 2652</t>
  </si>
  <si>
    <t>SHANKAR RAY</t>
  </si>
  <si>
    <t>LT DHANPATI RAY</t>
  </si>
  <si>
    <t>2727 3791 1242</t>
  </si>
  <si>
    <t>7799 3289 5718</t>
  </si>
  <si>
    <t>KISUN HEMBRAM</t>
  </si>
  <si>
    <t>KHIFA HEMBRAM</t>
  </si>
  <si>
    <t>8072 7434 1860</t>
  </si>
  <si>
    <t>7818 8090 6000</t>
  </si>
  <si>
    <t>0937</t>
  </si>
  <si>
    <t>KB CHETRI</t>
  </si>
  <si>
    <t>DBR CHETRI</t>
  </si>
  <si>
    <t>4743 0409 5726</t>
  </si>
  <si>
    <t>SGI</t>
  </si>
  <si>
    <t>7818 0005 2743</t>
  </si>
  <si>
    <t>0940</t>
  </si>
  <si>
    <t>ABHIJIT DEB</t>
  </si>
  <si>
    <t>GOPAL DEB</t>
  </si>
  <si>
    <t>9337 8219 6281</t>
  </si>
  <si>
    <t>7819 5760 5508</t>
  </si>
  <si>
    <t>DINDAYAL BHAGAT</t>
  </si>
  <si>
    <t>MAHANTIA PROSAD BAHGAT</t>
  </si>
  <si>
    <t>S/O MAHANTIA PROSAD BAHGAT
NoK -MUNI DEVI
Vill -PHULJHANJHRI
Post -PHULJHANJHRI
Dist-PAKUR
PS-GOPIKANDAR
STATE- JHARKHAND
PIN No-816117</t>
  </si>
  <si>
    <t>9168 0415 7545</t>
  </si>
  <si>
    <t>7815 3131 1660</t>
  </si>
  <si>
    <t>SAJAL NOMASHUDRA</t>
  </si>
  <si>
    <t>NAURUTAM NOMASHUDRA</t>
  </si>
  <si>
    <t>S/O NAURUTAM NOMASHUDRA
NoK -ROMA NOMASHUDRA (WIFE)
Vill -CHOTAKUNA 
Post -KARIMGANJ
Dist-KARIMGANJ
PS-RAMKRISHNAGAR
STATE- ASSAM
PIN No-788156</t>
  </si>
  <si>
    <t>7483 9880 1886</t>
  </si>
  <si>
    <t>7788 3831 2866</t>
  </si>
  <si>
    <t>RAJESH RAY</t>
  </si>
  <si>
    <t>BRAHMDEV SINGH</t>
  </si>
  <si>
    <t>THAKUR SINGH</t>
  </si>
  <si>
    <t>8451 6891 2581</t>
  </si>
  <si>
    <t>7819 6885 7196</t>
  </si>
  <si>
    <t>DHANU RAY</t>
  </si>
  <si>
    <t>DUBE RAY</t>
  </si>
  <si>
    <t>6212 1076 4767</t>
  </si>
  <si>
    <t>7802 4094 0970</t>
  </si>
  <si>
    <t>KONGRESH MURMU</t>
  </si>
  <si>
    <t>VIMAL MURMU</t>
  </si>
  <si>
    <t>9624 3609 5563</t>
  </si>
  <si>
    <t>7835 8579 2279</t>
  </si>
  <si>
    <t>JITAN RAY</t>
  </si>
  <si>
    <t>RAJU RAY</t>
  </si>
  <si>
    <t>KONGRES RAY</t>
  </si>
  <si>
    <t>7089 0808 5216</t>
  </si>
  <si>
    <t>7825 8721 2662</t>
  </si>
  <si>
    <t>DHUNU MURMU</t>
  </si>
  <si>
    <t>GUPIN MURMU</t>
  </si>
  <si>
    <t>4786 2098 2395</t>
  </si>
  <si>
    <t>7808 9763 4688</t>
  </si>
  <si>
    <t>SANJIT KUMAR CHAKMA</t>
  </si>
  <si>
    <t>KALYAN</t>
  </si>
  <si>
    <t>5453 7747 1017</t>
  </si>
  <si>
    <t>7819 5707 1798</t>
  </si>
  <si>
    <t>GANESH RAY</t>
  </si>
  <si>
    <t>3409 6108 1405</t>
  </si>
  <si>
    <t>7811 7407 1233</t>
  </si>
  <si>
    <t>RADHAKANTA ROY</t>
  </si>
  <si>
    <t>HIRANDRA ROY</t>
  </si>
  <si>
    <t>3593 1827 0017</t>
  </si>
  <si>
    <t>7818 3633 5290</t>
  </si>
  <si>
    <t>0934</t>
  </si>
  <si>
    <t>LALNEIHKIMA</t>
  </si>
  <si>
    <t>4082 3338 0024</t>
  </si>
  <si>
    <t>7810 6431 9731</t>
  </si>
  <si>
    <t>SUBHAJIT ROY</t>
  </si>
  <si>
    <t>UTTAM ROY</t>
  </si>
  <si>
    <t>3532 0355 7363</t>
  </si>
  <si>
    <t>503910110005422</t>
  </si>
  <si>
    <t>BKID0005039</t>
  </si>
  <si>
    <t>ZORAMA</t>
  </si>
  <si>
    <t>VIRA</t>
  </si>
  <si>
    <t>2159 4594 4201</t>
  </si>
  <si>
    <t>1090</t>
  </si>
  <si>
    <t>ROHMINGTHANGA</t>
  </si>
  <si>
    <t>LAWMKIMA</t>
  </si>
  <si>
    <t>S/O LAWMKIMA
NoK -MC LALHRIATSANGI (WIFE)
Vill -BUALPUI
Post -THINGSAI
Dist-HNAHTHIAL
PS-THINGSAI
STATE- MIZORAM
PIN No-796581</t>
  </si>
  <si>
    <t>2970 1338 8872</t>
  </si>
  <si>
    <t>LALRUATSANGA</t>
  </si>
  <si>
    <t>SIAMKUNGA</t>
  </si>
  <si>
    <t>9571 7980 5020</t>
  </si>
  <si>
    <t>7818 5053 9097</t>
  </si>
  <si>
    <t>LALCHHUNGLIANA</t>
  </si>
  <si>
    <t>THURTHANGA</t>
  </si>
  <si>
    <t>5588 3501 3211</t>
  </si>
  <si>
    <t>VANLALSENA</t>
  </si>
  <si>
    <t>NIHUPA</t>
  </si>
  <si>
    <t>9635 4664 6971</t>
  </si>
  <si>
    <t>ZIRSANGLIANA</t>
  </si>
  <si>
    <t>M C LALSANGBERA</t>
  </si>
  <si>
    <t>2150 0717 7850</t>
  </si>
  <si>
    <t>LALENGSANGI</t>
  </si>
  <si>
    <t>LALAWMLIANA</t>
  </si>
  <si>
    <t>2540 5748 2662</t>
  </si>
  <si>
    <t>7819 5784 7022</t>
  </si>
  <si>
    <t>LALHMINGSANGA</t>
  </si>
  <si>
    <t>9788 1487 8969</t>
  </si>
  <si>
    <t>1095</t>
  </si>
  <si>
    <t>RAMENGMAWIA</t>
  </si>
  <si>
    <t>7579 4247 6615</t>
  </si>
  <si>
    <t>M LALNUNPUIA</t>
  </si>
  <si>
    <t>CHEUHLEIA</t>
  </si>
  <si>
    <t>4520 1443 5315</t>
  </si>
  <si>
    <t>7819 5792 2124</t>
  </si>
  <si>
    <t>VANENGMAWIA</t>
  </si>
  <si>
    <t>LALENGLIANA</t>
  </si>
  <si>
    <t>3754 5102 4837</t>
  </si>
  <si>
    <t>7818 8062 0668</t>
  </si>
  <si>
    <t>HMINGMUANZUALA</t>
  </si>
  <si>
    <t>ZOLAWMA</t>
  </si>
  <si>
    <t>4120 4387 4270</t>
  </si>
  <si>
    <t>ROTHANGLIANA</t>
  </si>
  <si>
    <t>BIAKNAWLA</t>
  </si>
  <si>
    <t>8727 4863 5142</t>
  </si>
  <si>
    <t>LALTLANZAUVA</t>
  </si>
  <si>
    <t>THAWNGZALIANA</t>
  </si>
  <si>
    <t>4763 5311 9043</t>
  </si>
  <si>
    <t>LALSANGLIANA</t>
  </si>
  <si>
    <t>SIANGLINGA</t>
  </si>
  <si>
    <t>4878 5372 3469</t>
  </si>
  <si>
    <t>7818 5059 2526</t>
  </si>
  <si>
    <t>LALDINPUIA</t>
  </si>
  <si>
    <t>K.LALTHLAMUANA</t>
  </si>
  <si>
    <t>3860 8458 6222</t>
  </si>
  <si>
    <t>KAPLIANTHANGA</t>
  </si>
  <si>
    <t>NOLINGA</t>
  </si>
  <si>
    <t>3701 8757 1232</t>
  </si>
  <si>
    <t>K.SANGCHHUNGA</t>
  </si>
  <si>
    <t>K.HMUNLALA</t>
  </si>
  <si>
    <t>7420 2422 6179</t>
  </si>
  <si>
    <t>7818 8048 0627</t>
  </si>
  <si>
    <t>LALNUNRENGA</t>
  </si>
  <si>
    <t>PABUANGA</t>
  </si>
  <si>
    <t>2669 36471 0989</t>
  </si>
  <si>
    <t>C.VANLALTANA</t>
  </si>
  <si>
    <t>VANHNUNA</t>
  </si>
  <si>
    <t>S/O VANHNUNA
NoK -LALHNUHPUII (SPOUSE)
Vill -BUALPUI H
Post -THINGSAI
Dist-LUNGLEI
PS-THINGSAI
STATE- MIZORAM
PIN No-796581</t>
  </si>
  <si>
    <t>4660 6980 3178</t>
  </si>
  <si>
    <t>LIANTHANGA</t>
  </si>
  <si>
    <t>THANUKA</t>
  </si>
  <si>
    <t>4009 4459 2125</t>
  </si>
  <si>
    <t>VANTLUANGA</t>
  </si>
  <si>
    <t>3715 2908 8269</t>
  </si>
  <si>
    <t>7819 4691 4186</t>
  </si>
  <si>
    <t>KIAUBILA</t>
  </si>
  <si>
    <t>4108 5895 5446</t>
  </si>
  <si>
    <t>7818 8063 2406</t>
  </si>
  <si>
    <t>B.LALRAMMAWIA</t>
  </si>
  <si>
    <t>7435 3999 7969</t>
  </si>
  <si>
    <t>RECRUITED ON SEP 2024</t>
  </si>
  <si>
    <t>LALREMMAWIA</t>
  </si>
  <si>
    <t>29/11/1992</t>
  </si>
  <si>
    <t>H KHENZAMUNGA</t>
  </si>
  <si>
    <t>3194 8084 3958</t>
  </si>
  <si>
    <t>7831 0632 4257</t>
  </si>
  <si>
    <t>ROBERT LALHMINGMUANA</t>
  </si>
  <si>
    <t>F.LALLIANNGURA</t>
  </si>
  <si>
    <t>5360 1457 5400</t>
  </si>
  <si>
    <t>7842 2201 5360</t>
  </si>
  <si>
    <t>VANMALSAWMA</t>
  </si>
  <si>
    <t>7064 6817 1413</t>
  </si>
  <si>
    <t>7842 1734 7268</t>
  </si>
  <si>
    <t>MALSAWMMAWIA</t>
  </si>
  <si>
    <t>LALRINAWMA (L)</t>
  </si>
  <si>
    <t>2717 2015 2579</t>
  </si>
  <si>
    <t>7842 2075 2238</t>
  </si>
  <si>
    <t>NOK-LALNUNZIRI (WIFE)
S/O-NOLINGA
VILL-BUALPUI H
POST-THINGSAI
DISTRICT-HNAHTHIAL
STATE-MIZORAM
P.S-THINGSAI
PIN-796581</t>
  </si>
  <si>
    <t>7312 6716 6141</t>
  </si>
  <si>
    <t>MALSAWMDAWNGZELA</t>
  </si>
  <si>
    <t>TIALKUNGA</t>
  </si>
  <si>
    <t>4681 7789 7674</t>
  </si>
  <si>
    <t>7842 2171 2570</t>
  </si>
  <si>
    <t>LALTHANZARA</t>
  </si>
  <si>
    <t>CHEULINGA</t>
  </si>
  <si>
    <t>2896 5374 2166</t>
  </si>
  <si>
    <t>7842 2167 1919</t>
  </si>
  <si>
    <t>J.VANLALDUATA</t>
  </si>
  <si>
    <t>4789 6945 2032</t>
  </si>
  <si>
    <t>7842 2165 0353</t>
  </si>
  <si>
    <t>J.VANLALHLUNA</t>
  </si>
  <si>
    <t>LALDUHA</t>
  </si>
  <si>
    <t>6830 7939 6908</t>
  </si>
  <si>
    <t>7842 2158 3572</t>
  </si>
  <si>
    <t>JOSEPH LALNUNGMUANA</t>
  </si>
  <si>
    <t>H LALFAKLIANA</t>
  </si>
  <si>
    <t>3365 7984 1286</t>
  </si>
  <si>
    <t>LALFAKMAWIA</t>
  </si>
  <si>
    <t>LALNUNZAMA</t>
  </si>
  <si>
    <t>5696 1651 7494</t>
  </si>
  <si>
    <t>7842 2111 7625</t>
  </si>
  <si>
    <t>RAMTHAZUALA</t>
  </si>
  <si>
    <t>VANRONGHAKA</t>
  </si>
  <si>
    <t>2815 1516 8403</t>
  </si>
  <si>
    <t>7842 2222 2317</t>
  </si>
  <si>
    <t>RAMTHANGLIANA</t>
  </si>
  <si>
    <t>MANGUKA</t>
  </si>
  <si>
    <t>8980 4300 4975</t>
  </si>
  <si>
    <t>7842 2153 3566</t>
  </si>
  <si>
    <t>HMINGCHUNGNUNGA</t>
  </si>
  <si>
    <t>LALDUNA</t>
  </si>
  <si>
    <t>6977 0937 8308</t>
  </si>
  <si>
    <t>7842 2194 3116</t>
  </si>
  <si>
    <t>ISAAK ZODINGLIANA</t>
  </si>
  <si>
    <t>4915 4030 3631</t>
  </si>
  <si>
    <t>7842 2187 8528</t>
  </si>
  <si>
    <t>VANLALHRUAIA</t>
  </si>
  <si>
    <t>LALZAUA</t>
  </si>
  <si>
    <t>2724 2588 6468</t>
  </si>
  <si>
    <t>7842 2140 4758</t>
  </si>
  <si>
    <t>3045 5591 8029</t>
  </si>
  <si>
    <t>7842 2175 1433</t>
  </si>
  <si>
    <t>LALRINNGHETA</t>
  </si>
  <si>
    <t>ZAMLOVA</t>
  </si>
  <si>
    <t>7629 4817 4271</t>
  </si>
  <si>
    <t>7842 2182 8310</t>
  </si>
  <si>
    <t>SBIN0014233</t>
  </si>
  <si>
    <t>BIMAL MURMU</t>
  </si>
  <si>
    <t>LEHADA MURMU</t>
  </si>
  <si>
    <t>2540 6363 0235</t>
  </si>
  <si>
    <t>7819 5698 2769</t>
  </si>
  <si>
    <t>RAVI RAI</t>
  </si>
  <si>
    <t>CHOTA RAI</t>
  </si>
  <si>
    <t>3869 4982 6662</t>
  </si>
  <si>
    <t>7815 3168 6605</t>
  </si>
  <si>
    <t>MAHALAL HEMBRAM</t>
  </si>
  <si>
    <t>5799 6194 3332</t>
  </si>
  <si>
    <t>7817 9991 1482</t>
  </si>
  <si>
    <t>BISHNU ROY</t>
  </si>
  <si>
    <t>DUKHU ROY</t>
  </si>
  <si>
    <t>7652 8486 3600</t>
  </si>
  <si>
    <t>H. LALHMANGAIHTHANGA</t>
  </si>
  <si>
    <t>5223 9010 9829</t>
  </si>
  <si>
    <t>7842 2119 9657</t>
  </si>
  <si>
    <t>CHHUTUDHAN BESRA</t>
  </si>
  <si>
    <t>3025 7513 6508</t>
  </si>
  <si>
    <t>7808 2389 0975</t>
  </si>
  <si>
    <t>JITEN HEMBRAM</t>
  </si>
  <si>
    <t>THEMKA HEMBRAM</t>
  </si>
  <si>
    <t>9633 3385 9913</t>
  </si>
  <si>
    <t>7815 3134 3061</t>
  </si>
  <si>
    <t>RIPON</t>
  </si>
  <si>
    <t>5375 5015 4795</t>
  </si>
  <si>
    <t>SOM HANSDA</t>
  </si>
  <si>
    <t>SURAI HANSDA</t>
  </si>
  <si>
    <t>NOK - SURAI HANSDA (FATHER)
S/O - SURAI HANSDA
VILLAGE - BANDARJORI
PO -  AMBA JARUWADI
PS- JARMUNDI
DISTRICT - DUMKA
STATE - JHARKHAND
PIN - 814141</t>
  </si>
  <si>
    <t>9358 6247 6937</t>
  </si>
  <si>
    <t>7117 1919 5538</t>
  </si>
  <si>
    <t>SBIN0003517</t>
  </si>
  <si>
    <t>BETKA MURMU</t>
  </si>
  <si>
    <t>LT JONA MURMU</t>
  </si>
  <si>
    <t>9337 9653 5941</t>
  </si>
  <si>
    <t>7120 0624 7320</t>
  </si>
  <si>
    <t>NEHARU MURMU</t>
  </si>
  <si>
    <t>6073 5409 3473</t>
  </si>
  <si>
    <t>7841 8175 8829</t>
  </si>
  <si>
    <t>SBIN0003516</t>
  </si>
  <si>
    <t>HORO PURSHAT MURMU</t>
  </si>
  <si>
    <t>LATE GONADHAN MURMU</t>
  </si>
  <si>
    <t>7810 9459 3742</t>
  </si>
  <si>
    <t>HABIL MURMU</t>
  </si>
  <si>
    <t>Lt.CHURKA MURMU</t>
  </si>
  <si>
    <t>NoK - SHIVLAL MURMU (BROTHER)
S/O - LT.CHURKA MURMU
Village - TITGO
Post -  THARIHAT
PS - RAMGARH
District - DUMKA
State - JHARKHAND
Pin - 814102</t>
  </si>
  <si>
    <t>8670 3492 2683</t>
  </si>
  <si>
    <t>7832 3757 4489</t>
  </si>
  <si>
    <t>MUNILAL SOREN</t>
  </si>
  <si>
    <t>SOAM SOREN</t>
  </si>
  <si>
    <t>3814 1756 6166</t>
  </si>
  <si>
    <t>7812 0623 9962</t>
  </si>
  <si>
    <t>Recruited APR 2025</t>
  </si>
  <si>
    <t>BHOLA RAY</t>
  </si>
  <si>
    <t>5771 8428 5032</t>
  </si>
  <si>
    <t>LT CHATAR MURMU</t>
  </si>
  <si>
    <t>6091 5297 9300</t>
  </si>
  <si>
    <t>7841 8635 7345</t>
  </si>
  <si>
    <t>HOPNA SOREN</t>
  </si>
  <si>
    <t>MAHILAL TUDU</t>
  </si>
  <si>
    <t>8029 9439 1693</t>
  </si>
  <si>
    <t>7817 9988 4114</t>
  </si>
  <si>
    <t>HARILAL RAY</t>
  </si>
  <si>
    <t>S/O Harilal Ray
NoK - Harilal Ray(Father)
Vill - Banwari
Post -Pratappur
Dist- Dumka
PS-Ranishwar
STATE- Jharkhand
Pin No.- 814148</t>
  </si>
  <si>
    <t>7096 2639 8705</t>
  </si>
  <si>
    <t>NUNULAI KISKU</t>
  </si>
  <si>
    <t>SUNDER KISKU</t>
  </si>
  <si>
    <t>S/O SUNDER KISKU
NoK -SURESMONI MURMU (WIFE)
Vill -BASKO
Post -NONIHAT
Dist-DUMKA
PS-RAMGARH
STATE- JHARKHAND
PIN No-814101</t>
  </si>
  <si>
    <t>7756 4849 8712</t>
  </si>
  <si>
    <t>7912 1032 2111</t>
  </si>
  <si>
    <t>RECRUITED ON MAR 2025</t>
  </si>
  <si>
    <t>KADARA PAHARIYA</t>
  </si>
  <si>
    <t>DEVA PAHARIYA</t>
  </si>
  <si>
    <t>5345 5284 6165</t>
  </si>
  <si>
    <t>7815 3082 1970</t>
  </si>
  <si>
    <t>SANDHAN NAMASUDRA</t>
  </si>
  <si>
    <t>NAROTTAM NAMASUDRA</t>
  </si>
  <si>
    <t>8342 9913 2130</t>
  </si>
  <si>
    <t>7841 7004 7255</t>
  </si>
  <si>
    <t>0309</t>
  </si>
  <si>
    <t>SAMBHU RAI</t>
  </si>
  <si>
    <t>MALSAWMTLUANGI (WIFE)</t>
  </si>
  <si>
    <t>4098 8659 8953</t>
  </si>
  <si>
    <t>7815 3113 3469</t>
  </si>
  <si>
    <t>0322</t>
  </si>
  <si>
    <t>MONGAL SOREN</t>
  </si>
  <si>
    <t>NATU SOREN</t>
  </si>
  <si>
    <t>8924 7416 6574</t>
  </si>
  <si>
    <t>7815 3207 1443</t>
  </si>
  <si>
    <t>0327</t>
  </si>
  <si>
    <t>GOPAL GOUR</t>
  </si>
  <si>
    <t>RAMNO GOUR</t>
  </si>
  <si>
    <t>4963 3386 2022</t>
  </si>
  <si>
    <t>7817 6306 6110</t>
  </si>
  <si>
    <t>0313</t>
  </si>
  <si>
    <t>CHINGNGAIHDIMI</t>
  </si>
  <si>
    <t>ALKHAWTINA</t>
  </si>
  <si>
    <t>6784 6397 9172</t>
  </si>
  <si>
    <t>JALIYAS TUDU</t>
  </si>
  <si>
    <t>SHIVJATAN TUDU</t>
  </si>
  <si>
    <t>8795 5876 6036</t>
  </si>
  <si>
    <t>8795 5876 0457</t>
  </si>
  <si>
    <t>THUDU SOREN</t>
  </si>
  <si>
    <t>3026 2913 2775</t>
  </si>
  <si>
    <t>7833 5700 5267</t>
  </si>
  <si>
    <t>DHUMA HANSDA</t>
  </si>
  <si>
    <t>BUDHAN HANSDA</t>
  </si>
  <si>
    <t>2326 4511 3394</t>
  </si>
  <si>
    <t>7839 5951 2833</t>
  </si>
  <si>
    <t>GIRISH MARANDI</t>
  </si>
  <si>
    <t>BABLU MARANDI</t>
  </si>
  <si>
    <t>5059 7918 0506</t>
  </si>
  <si>
    <t>7847 6174 8146</t>
  </si>
  <si>
    <t>SURENDRA MARAIYA</t>
  </si>
  <si>
    <t>ANANT MARAIYA</t>
  </si>
  <si>
    <t>S/O ANANT MARAIYA
NoK -KIRAN DEVI (WIFE)
Vill -BAGHMARA
Post -BAGHMARA
Dist-GODDA
PS-DEONAND
STATE- JHARKHAND
PIN No-814153</t>
  </si>
  <si>
    <t>3141 9311 9317</t>
  </si>
  <si>
    <t>7819 4024 3431</t>
  </si>
  <si>
    <t>LALNGHAKMAWIA</t>
  </si>
  <si>
    <t>C.LALHNEHKIMA</t>
  </si>
  <si>
    <t>3472 8523 2669</t>
  </si>
  <si>
    <t>7842 2129 1858</t>
  </si>
  <si>
    <t>DUHCHUNGA</t>
  </si>
  <si>
    <t>LUNGHNEMI (MOTHER)</t>
  </si>
  <si>
    <t>8312 7831 1821</t>
  </si>
  <si>
    <t>7842 2064 8281</t>
  </si>
  <si>
    <t>VANLALA</t>
  </si>
  <si>
    <t>6278 0607 4372</t>
  </si>
  <si>
    <t>VANLALLIANA</t>
  </si>
  <si>
    <t>5981 6679 0802</t>
  </si>
  <si>
    <t>ISAK LALCHUNGNUNGA</t>
  </si>
  <si>
    <t>MALSAWMA</t>
  </si>
  <si>
    <t>8013 6532 2595</t>
  </si>
  <si>
    <t>LALNGAIHAWMA</t>
  </si>
  <si>
    <t>F. ROKIMA</t>
  </si>
  <si>
    <t>2347 4746 1136</t>
  </si>
  <si>
    <t>BAIBAL SOREN</t>
  </si>
  <si>
    <t>CHOTU SOREN</t>
  </si>
  <si>
    <t>8109 5559 0413</t>
  </si>
  <si>
    <t>7815 3173 2524</t>
  </si>
  <si>
    <t>MANOJ RAY</t>
  </si>
  <si>
    <t>SUKDEV RAY</t>
  </si>
  <si>
    <t>4905 6638 4835</t>
  </si>
  <si>
    <t>7847 9967 2444</t>
  </si>
  <si>
    <t>K SANGKHUMA</t>
  </si>
  <si>
    <t>K THANGVUNGA</t>
  </si>
  <si>
    <t>2179 5403 0112</t>
  </si>
  <si>
    <t>RECRUITED MAR 2024</t>
  </si>
  <si>
    <t>LUKHIRAM HEMBRAM</t>
  </si>
  <si>
    <t>SONALAL HEMBROM</t>
  </si>
  <si>
    <t>BURAN RAY</t>
  </si>
  <si>
    <t>5079 4372 6542</t>
  </si>
  <si>
    <t>7821 8893 9668</t>
  </si>
  <si>
    <t>VANLALMALSAWMKIMI</t>
  </si>
  <si>
    <t>W/O GORDON F NGUNLAL</t>
  </si>
  <si>
    <t>5755 2813 8612</t>
  </si>
  <si>
    <t>GORDON.F. NGUNLALA</t>
  </si>
  <si>
    <t>F.ROKIMA</t>
  </si>
  <si>
    <t>6174 8147 0259</t>
  </si>
  <si>
    <t>RODINGPUII</t>
  </si>
  <si>
    <t>8168 4997 2952</t>
  </si>
  <si>
    <t>LALCHANGLIANA</t>
  </si>
  <si>
    <t>T.LALNGHAKA</t>
  </si>
  <si>
    <t>5042 4004 7723</t>
  </si>
  <si>
    <t>ROHIT MARAIYA</t>
  </si>
  <si>
    <t>9875 1165 0703</t>
  </si>
  <si>
    <t>7848 8429 0551</t>
  </si>
  <si>
    <t>SBIN0RMIGB</t>
  </si>
  <si>
    <t>MATLA MURMU</t>
  </si>
  <si>
    <t>BABLU MURMU</t>
  </si>
  <si>
    <t>8493 6954 3915</t>
  </si>
  <si>
    <t>7841 8518 8354</t>
  </si>
  <si>
    <t>FRANCIS HEMBRAM</t>
  </si>
  <si>
    <t>RAMESHWAR HEMBRAM</t>
  </si>
  <si>
    <t>9261 2114 2080</t>
  </si>
  <si>
    <t>7841 7184 8411</t>
  </si>
  <si>
    <t>BABURAM MURMU</t>
  </si>
  <si>
    <t>MUNSHI MARANDI</t>
  </si>
  <si>
    <t>SUKUMAR RAI</t>
  </si>
  <si>
    <t>SANAT RAI</t>
  </si>
  <si>
    <t>7792 1578 0576</t>
  </si>
  <si>
    <t>SITARAM RAY</t>
  </si>
  <si>
    <t>JASATI RAY</t>
  </si>
  <si>
    <t>7819 5330 2868</t>
  </si>
  <si>
    <t>JEET MOHAN RAI</t>
  </si>
  <si>
    <t>3727 3369 4987</t>
  </si>
  <si>
    <t>KAILASH KISKU</t>
  </si>
  <si>
    <t>5669 3344 9346</t>
  </si>
  <si>
    <t>7825 2356 3625</t>
  </si>
  <si>
    <t>SANTOSH KUMAR</t>
  </si>
  <si>
    <t>KUMAR</t>
  </si>
  <si>
    <t>7812 4738 7200</t>
  </si>
  <si>
    <t>SARBAN RAY</t>
  </si>
  <si>
    <t>2002</t>
  </si>
  <si>
    <t>MAHDEV RAY</t>
  </si>
  <si>
    <t>6967 4240 0956</t>
  </si>
  <si>
    <t>7805 1498 5985</t>
  </si>
  <si>
    <t>RAJAPATH DHUBI</t>
  </si>
  <si>
    <t>SHYAMALAL DHUBI</t>
  </si>
  <si>
    <t>4455 5614 6410</t>
  </si>
  <si>
    <t>7825 7660 6306</t>
  </si>
  <si>
    <t>0603</t>
  </si>
  <si>
    <t>SANTOSH SINGH CHETRI</t>
  </si>
  <si>
    <t>BABUL SINGH CHETRI</t>
  </si>
  <si>
    <t>5608 0015 7389</t>
  </si>
  <si>
    <t>7811 7509 3104</t>
  </si>
  <si>
    <t>SBIN0009445</t>
  </si>
  <si>
    <t>0503</t>
  </si>
  <si>
    <t>PANCHU SINGH</t>
  </si>
  <si>
    <t>BHAWA SINGH</t>
  </si>
  <si>
    <t>4770 5856 9674</t>
  </si>
  <si>
    <t>7115 1193 2246</t>
  </si>
  <si>
    <t>SHIBU MARANDI</t>
  </si>
  <si>
    <t>3474 5723 6781</t>
  </si>
  <si>
    <t>7819 5232 3310</t>
  </si>
  <si>
    <t>CHANDAN HEMBROM</t>
  </si>
  <si>
    <t>BARKA HEMBROM</t>
  </si>
  <si>
    <t>8585 2422 8987</t>
  </si>
  <si>
    <t>A.LALFAMKIMA</t>
  </si>
  <si>
    <t>8082 9532 7804</t>
  </si>
  <si>
    <t>7814 2240 2089</t>
  </si>
  <si>
    <t>SUMANTA ROY</t>
  </si>
  <si>
    <t>UPENDRA ROY</t>
  </si>
  <si>
    <t>9118 6622 6438</t>
  </si>
  <si>
    <t>7814 4551 5453</t>
  </si>
  <si>
    <t>0607</t>
  </si>
  <si>
    <t>SANGKIMA</t>
  </si>
  <si>
    <t>DOHNEHA</t>
  </si>
  <si>
    <t>4014 9312 4545</t>
  </si>
  <si>
    <t>7815 0070 2794</t>
  </si>
  <si>
    <t>V L HRIATZELA</t>
  </si>
  <si>
    <t>TULA</t>
  </si>
  <si>
    <t>7578 8488 9560</t>
  </si>
  <si>
    <t>7819 9949 9231</t>
  </si>
  <si>
    <t>Recruited Oct 2034</t>
  </si>
  <si>
    <t>0610</t>
  </si>
  <si>
    <t>KALESWAR BESRA</t>
  </si>
  <si>
    <t>JETHU BESRA</t>
  </si>
  <si>
    <t>4800 0592 7981</t>
  </si>
  <si>
    <t>7812 3317 2739</t>
  </si>
  <si>
    <t>KAILASH RAY</t>
  </si>
  <si>
    <t>7933 2019 4774</t>
  </si>
  <si>
    <t>7836 0638 6220</t>
  </si>
  <si>
    <t>PAWAN RAY</t>
  </si>
  <si>
    <t>JAITHA KISKU</t>
  </si>
  <si>
    <t>SHIBU KISKU</t>
  </si>
  <si>
    <t>7900 2983 6743</t>
  </si>
  <si>
    <t>7826 3014 8630</t>
  </si>
  <si>
    <t>SBIN0006454</t>
  </si>
  <si>
    <t>SUMESHWAR RAY</t>
  </si>
  <si>
    <t>4486 6074 3674</t>
  </si>
  <si>
    <t>7813 8980 0716</t>
  </si>
  <si>
    <t>SAPAN BHANDARI</t>
  </si>
  <si>
    <t>MISAR BHANDARI</t>
  </si>
  <si>
    <t>8390 7521 3939</t>
  </si>
  <si>
    <t>7813 1986 6361</t>
  </si>
  <si>
    <t>JASIM ANSARI</t>
  </si>
  <si>
    <t>LATE SARAFAT ANSARI</t>
  </si>
  <si>
    <t>2488 5685 7561</t>
  </si>
  <si>
    <t>0615</t>
  </si>
  <si>
    <t>KAJAL SUKLA BAIDYA</t>
  </si>
  <si>
    <t>31.08.1984</t>
  </si>
  <si>
    <t>KALA CHAND SUKLA BAIDYA</t>
  </si>
  <si>
    <t>S/O KALA CHAND SUKLA BAIDYA
NoK -PRATIBHASUKLABAI (MOTHER)
Vill -JIRIGHAT
Post LAKSHINAGAR
Dist-CACHAR
PS-CACHAR
STATE- ASSAM
PIN No-788104</t>
  </si>
  <si>
    <t>9740 3776 3710</t>
  </si>
  <si>
    <t>7819 9157 1827</t>
  </si>
  <si>
    <t>IMRAN HUSSAIN</t>
  </si>
  <si>
    <t>20/08/1996</t>
  </si>
  <si>
    <t>RABIJUL ALI</t>
  </si>
  <si>
    <t>NoK - Rabijul Ali (Father)
S/o- Rabijul Ali
Vill - Sundari Pt II
Post - Sundari
Dist- Cachar
PS- Kachudharam
STATE- Assam
PIN No- 788116</t>
  </si>
  <si>
    <t>6729 4892 6152</t>
  </si>
  <si>
    <t>RECRUITED AS ON OCT 2024</t>
  </si>
  <si>
    <t>0612</t>
  </si>
  <si>
    <t>BINOY CHANDRA DAS</t>
  </si>
  <si>
    <t>BIPIN CHANDRA DAS</t>
  </si>
  <si>
    <t>Name of NoK - Lalhmachhuani (Wife)
Sec Dinthar Veng, Near Presby Church, Aizwal Road Dinthar,
W. Phaileng District - Mamit
State- Mizoram
Pin - 796431</t>
  </si>
  <si>
    <t>5941 3531 5362</t>
  </si>
  <si>
    <t>7817 7736 4518</t>
  </si>
  <si>
    <t>0614</t>
  </si>
  <si>
    <t>GOPAL SHUKLA BIDYA</t>
  </si>
  <si>
    <t>RANJIT SUKLA BIDYA</t>
  </si>
  <si>
    <t>Name of NoK - Dipankar Shukla (Son)
House No. 133
Village - Baghakol
District - Godda
PO - Danrey Katchery
State- Jharkhand
Pin - 814153</t>
  </si>
  <si>
    <t>9608 0916 7637</t>
  </si>
  <si>
    <t>7812 3669 7137</t>
  </si>
  <si>
    <t>SIAMTHARA</t>
  </si>
  <si>
    <t>Name of NoK - Fangzauva (Son)
S/O - Siamthara
House No.15 , Teirei Forest, Near Govt Primary School 
PO - Phaileng 
District - Mamit
State- Mizoram
Pin - 796431</t>
  </si>
  <si>
    <t>7856 7247 8788</t>
  </si>
  <si>
    <t>0515</t>
  </si>
  <si>
    <t>LALRAMMAWIA</t>
  </si>
  <si>
    <t>SAKHAWLIANA</t>
  </si>
  <si>
    <t>2625 2402 2627</t>
  </si>
  <si>
    <t>SBIN000</t>
  </si>
  <si>
    <t>ROPUIA</t>
  </si>
  <si>
    <t>8613 1604 9113</t>
  </si>
  <si>
    <t>ALEX LALTEA</t>
  </si>
  <si>
    <t>SIAMTHARA (L)</t>
  </si>
  <si>
    <t>7939 7491 7402</t>
  </si>
  <si>
    <t>INDRO JOY</t>
  </si>
  <si>
    <t>RATUABI</t>
  </si>
  <si>
    <t>6513 4733 3849</t>
  </si>
  <si>
    <t>7812 0021 6736</t>
  </si>
  <si>
    <t>ROBIRAI</t>
  </si>
  <si>
    <t>Name of NoK - Lalduhi (Wife)
S/O - ROBIRAI
House No. 93
Teirei Forest, Near BBC Church
District - Mamit
State- Mizoram
Pin - 796431</t>
  </si>
  <si>
    <t>4756 6324 9077</t>
  </si>
  <si>
    <t>7805 1167 5452</t>
  </si>
  <si>
    <t>LALRINZUALA</t>
  </si>
  <si>
    <t>KAPTHANZAWNA</t>
  </si>
  <si>
    <t>4693 8416 6986</t>
  </si>
  <si>
    <t>7812 0976 9911</t>
  </si>
  <si>
    <t>BIRSIRAM REANG</t>
  </si>
  <si>
    <t>PUSAIRAM REANG</t>
  </si>
  <si>
    <t>7140 4862 4605</t>
  </si>
  <si>
    <t>7812 5860 4749</t>
  </si>
  <si>
    <t>KHANDA SOREN</t>
  </si>
  <si>
    <t>SYAM SOREN</t>
  </si>
  <si>
    <t>3589 1430 7423</t>
  </si>
  <si>
    <t>7825 5493 1350</t>
  </si>
  <si>
    <t>LALTHLANDIKA</t>
  </si>
  <si>
    <t>LALRAWNGBAWLA</t>
  </si>
  <si>
    <t>3778 1534 5210</t>
  </si>
  <si>
    <t>7846 1188 0896</t>
  </si>
  <si>
    <t>LALNUNTHARA</t>
  </si>
  <si>
    <t>MONGOL JOI</t>
  </si>
  <si>
    <t>2446 3494 6902</t>
  </si>
  <si>
    <t>7845 9016 1564</t>
  </si>
  <si>
    <t>SIMONA</t>
  </si>
  <si>
    <t>DOSIRAM</t>
  </si>
  <si>
    <t>4611 8450 5325</t>
  </si>
  <si>
    <t>7819 5015 0697</t>
  </si>
  <si>
    <t>21.01.1993</t>
  </si>
  <si>
    <t>6349 1943 6807</t>
  </si>
  <si>
    <t>7812 0337 5353</t>
  </si>
  <si>
    <t>VANLALKAILIANA</t>
  </si>
  <si>
    <t>S/O VANLALKAILIANA
NoK -VANLALKAILIANA (FATHER)
Village - THENZAWL
Post -THENZAWL
Dist -SERCHHIP
PS-THENZAWL
STATE- MIZORAM
PIN No-796186</t>
  </si>
  <si>
    <t>7053 0601 8268</t>
  </si>
  <si>
    <t>7814 7908 4178</t>
  </si>
  <si>
    <t>0558</t>
  </si>
  <si>
    <t>LAL HEMRAM</t>
  </si>
  <si>
    <t>DIGLU HEMRAM</t>
  </si>
  <si>
    <t>7812 1034 8515</t>
  </si>
  <si>
    <t>0552</t>
  </si>
  <si>
    <t>KANNAN GIRI</t>
  </si>
  <si>
    <t>NAGAPAN GIRI</t>
  </si>
  <si>
    <t>8025 4356 2668</t>
  </si>
  <si>
    <t>0504</t>
  </si>
  <si>
    <t>BASANT KERKETTA</t>
  </si>
  <si>
    <t>SUKRU KERKETTA</t>
  </si>
  <si>
    <t>4133 3283 8974</t>
  </si>
  <si>
    <t>7838 8317 1420</t>
  </si>
  <si>
    <t>SUNIRAM HEMBROM</t>
  </si>
  <si>
    <t>PRADHAN HEMBROM</t>
  </si>
  <si>
    <t>3958 3441 6900</t>
  </si>
  <si>
    <t>7108 1252 1754</t>
  </si>
  <si>
    <t>0555</t>
  </si>
  <si>
    <t>CHUNNU TUDU</t>
  </si>
  <si>
    <t>SHIVLAL TUDU</t>
  </si>
  <si>
    <t>9168 7609 9588</t>
  </si>
  <si>
    <t>7812 1581 2873</t>
  </si>
  <si>
    <t>0604</t>
  </si>
  <si>
    <t>TANDON DEHERY</t>
  </si>
  <si>
    <t>KOKA DEHERY (L)</t>
  </si>
  <si>
    <t>7812 1497 7561</t>
  </si>
  <si>
    <t>RAWNGBAWLA</t>
  </si>
  <si>
    <t>BISO KUMAR</t>
  </si>
  <si>
    <t>9399 6626 2895</t>
  </si>
  <si>
    <t>ROMBAJOY</t>
  </si>
  <si>
    <t>PHERAUWA</t>
  </si>
  <si>
    <t>2833 9464 5830</t>
  </si>
  <si>
    <t>7820 8610 3991</t>
  </si>
  <si>
    <t>PAHLIRA</t>
  </si>
  <si>
    <t>SANGA</t>
  </si>
  <si>
    <t>3780 3009 3513</t>
  </si>
  <si>
    <t>7819 4913 0791</t>
  </si>
  <si>
    <t>SBIN0019134</t>
  </si>
  <si>
    <t>HMINGTHANSANGA</t>
  </si>
  <si>
    <t>THANKIMA</t>
  </si>
  <si>
    <t>6215 7664 3235</t>
  </si>
  <si>
    <t>7818 7039 8336</t>
  </si>
  <si>
    <t>RONOJOI</t>
  </si>
  <si>
    <t>25/04/1991</t>
  </si>
  <si>
    <t>RAMBADUR</t>
  </si>
  <si>
    <t>7024 2753 8632</t>
  </si>
  <si>
    <t>THANSANGA</t>
  </si>
  <si>
    <t>8573 8848 8859</t>
  </si>
  <si>
    <t>LALENGMAWIA</t>
  </si>
  <si>
    <t>NOK-MUANSANGI (WIFE)
S/O-MALSAWMA
VILL-DAMPARENGPUI
P.O-W.PHAILENG
DIST-MAMIT
STATE-MIZORAM
PS-W.PHAILENG
PIN-796431</t>
  </si>
  <si>
    <t>8690 8956 5538</t>
  </si>
  <si>
    <t>7106 7787 1057</t>
  </si>
  <si>
    <t>LALPIANNMAWIA</t>
  </si>
  <si>
    <t>ROHMUAKA</t>
  </si>
  <si>
    <t>9529 8042 3943</t>
  </si>
  <si>
    <t>7815 1978 3427</t>
  </si>
  <si>
    <t>BIKRAM</t>
  </si>
  <si>
    <t>SODOIA</t>
  </si>
  <si>
    <t>LALNUNFELI</t>
  </si>
  <si>
    <t>A ZAITHANGA</t>
  </si>
  <si>
    <t>9840 6064 4616</t>
  </si>
  <si>
    <t>7895 0174 5784</t>
  </si>
  <si>
    <t>0100</t>
  </si>
  <si>
    <t>BETKA SOREN</t>
  </si>
  <si>
    <t>28.03.1986</t>
  </si>
  <si>
    <t>RATAN SOREN</t>
  </si>
  <si>
    <t>7812 0507 9126</t>
  </si>
  <si>
    <t>SUCHAN MAL</t>
  </si>
  <si>
    <t>JAMMAN MAL</t>
  </si>
  <si>
    <t>7811 7547 2390</t>
  </si>
  <si>
    <t>NAND LAL MIRDHA</t>
  </si>
  <si>
    <t>SANU MIRDHA</t>
  </si>
  <si>
    <t>S/O SANU MIRDHA
NoK -LALHUYANJ (WIFE)
Vill -SEDLAG
Post SEDLAG
Dist-SERCHIHP
PS-SERCHIHP
STATE- MIZORAM
PIN No-796181</t>
  </si>
  <si>
    <t>5672 7225 8354</t>
  </si>
  <si>
    <t>7812 1311 7640</t>
  </si>
  <si>
    <t>0180</t>
  </si>
  <si>
    <t>DHUJOO HANSDA</t>
  </si>
  <si>
    <t>7812 0528 6314</t>
  </si>
  <si>
    <t>0097</t>
  </si>
  <si>
    <t>DEEWAN BASKI</t>
  </si>
  <si>
    <t>LAKHIRAM BASKI</t>
  </si>
  <si>
    <t>7812 1092 0547</t>
  </si>
  <si>
    <t>BIKRAMRAI</t>
  </si>
  <si>
    <t>THAKUR RAI</t>
  </si>
  <si>
    <t>7349 6172 1524</t>
  </si>
  <si>
    <t>JAPANA</t>
  </si>
  <si>
    <t>DEBENDRO</t>
  </si>
  <si>
    <t>7117 3096 2936</t>
  </si>
  <si>
    <t>7829 8374 3621</t>
  </si>
  <si>
    <t>DOBIRAI</t>
  </si>
  <si>
    <t>SONDOJOL</t>
  </si>
  <si>
    <t>3835 5827 3902</t>
  </si>
  <si>
    <t>7813 5876 9267</t>
  </si>
  <si>
    <t>BIAKMAWIA</t>
  </si>
  <si>
    <t>BIRDARAI</t>
  </si>
  <si>
    <t>Name of NoK - Risati (Wife)
S/O - Birdrai 
Near BSF camp,  Hmar Veng 
Tuipuibari 
District - Mammit
State - Mizoram
Pin - 796431</t>
  </si>
  <si>
    <t>4872 0539 4607</t>
  </si>
  <si>
    <t>OMOILA</t>
  </si>
  <si>
    <t>SUNGSARAI</t>
  </si>
  <si>
    <t>6485 5253 5160</t>
  </si>
  <si>
    <t>0556</t>
  </si>
  <si>
    <t>SURU SOREN</t>
  </si>
  <si>
    <t>MUNSHI SOREN</t>
  </si>
  <si>
    <t>S/O MUNSHI SOREN
NoK-ELLA RAI (SON)
Vill -TUIPUIBARI
Post W. PHAILENG
Dist-MAMIT
PS-W. PHAILENG
STATE- MIZORAM
PIN No-796431</t>
  </si>
  <si>
    <t>8635 2083 3715</t>
  </si>
  <si>
    <t>7104 7945 3850</t>
  </si>
  <si>
    <t>JOHN TOPNO</t>
  </si>
  <si>
    <t>JOSEPH TOPNO</t>
  </si>
  <si>
    <t>3254 2288 0015</t>
  </si>
  <si>
    <t>0511</t>
  </si>
  <si>
    <t>JOHAN SINGH</t>
  </si>
  <si>
    <t>20.11.1979</t>
  </si>
  <si>
    <t>RAMCHANDER SINGH</t>
  </si>
  <si>
    <t>GOPAL NATH</t>
  </si>
  <si>
    <t>BIHARI NATH</t>
  </si>
  <si>
    <t>SBIN0016925</t>
  </si>
  <si>
    <t>RAJEN</t>
  </si>
  <si>
    <t>KHAUSARUNG</t>
  </si>
  <si>
    <t>S/O KHAUSARUNG
NoK -SUSMA (WIFE)
Vill -TUIPUIBARI
Post W. PHAILENGI
Dist-MAMIT
PS-W.PHAILENG
STATE- MIZORAM
PIN No-796431</t>
  </si>
  <si>
    <t>7812 0711 2592</t>
  </si>
  <si>
    <t>NONDOLA</t>
  </si>
  <si>
    <t>2556 8351 7891</t>
  </si>
  <si>
    <t>7815 5640 1907</t>
  </si>
  <si>
    <t>BEGIAN JOI</t>
  </si>
  <si>
    <t>SAIPUIRAI</t>
  </si>
  <si>
    <t>9335 6456 4925</t>
  </si>
  <si>
    <t>7836 5635 1499</t>
  </si>
  <si>
    <t>NIRMAL CHAKMA</t>
  </si>
  <si>
    <t>GYANA CHAKMA</t>
  </si>
  <si>
    <t>4523 8553 0174</t>
  </si>
  <si>
    <t>FALSAM JYOTI CHAKMA</t>
  </si>
  <si>
    <t>KANTA ROY CHAKMA</t>
  </si>
  <si>
    <t>4733 4339 9034</t>
  </si>
  <si>
    <t>SHANTI RANJAN CHAKMA</t>
  </si>
  <si>
    <t>KARNA CHAKMA</t>
  </si>
  <si>
    <t>8728 9046 4685</t>
  </si>
  <si>
    <t>0512</t>
  </si>
  <si>
    <t>SURJOSEN</t>
  </si>
  <si>
    <t>SUMONI</t>
  </si>
  <si>
    <t>4048 1447 8998</t>
  </si>
  <si>
    <t>SUNEEL KUMAR</t>
  </si>
  <si>
    <t>BIRENDRA KUMAR</t>
  </si>
  <si>
    <t>Name of NoK - Shashi Devi (Wife)
S/O - Shri Birendra Kumar
Village - Rai Nagar
Post -  Niloi
District - Etawah
State- Uttar Pradesh
Pin - 206245</t>
  </si>
  <si>
    <t>5162 6044 7535</t>
  </si>
  <si>
    <t>7857 1413 9368</t>
  </si>
  <si>
    <t>SBIN0000658</t>
  </si>
  <si>
    <t>PURAN LAYAK</t>
  </si>
  <si>
    <t>BUDHAN LAYAK</t>
  </si>
  <si>
    <t>5551 0838 7372</t>
  </si>
  <si>
    <t>7113 8205 8334</t>
  </si>
  <si>
    <t>HORI SINGH</t>
  </si>
  <si>
    <t>7092 6879 6848</t>
  </si>
  <si>
    <t>ZORAMI</t>
  </si>
  <si>
    <t>15/06/1993</t>
  </si>
  <si>
    <t>BUDDHA CHANDRA</t>
  </si>
  <si>
    <t>2946 6402 3387</t>
  </si>
  <si>
    <t>7812 0045 5956</t>
  </si>
  <si>
    <t>0564</t>
  </si>
  <si>
    <t>LASU MURMU</t>
  </si>
  <si>
    <t>7812 1310 5657</t>
  </si>
  <si>
    <t>0550</t>
  </si>
  <si>
    <t>JITAN KISKU</t>
  </si>
  <si>
    <t>22.03.1978</t>
  </si>
  <si>
    <t>MANGAL KISKU</t>
  </si>
  <si>
    <t>TUSHAR KUMAR RAY</t>
  </si>
  <si>
    <t>RAMCHANDR RAY</t>
  </si>
  <si>
    <t>Name of NoK - Paanvati Devi (Mother)
S/O - Ramchandr Ray
Village - Aliganj
PO - Tangdaha 
PS - Ranishwar
Aliganj Tangdah 
District - Dumka
State- Jharkhand
Pin - 814148</t>
  </si>
  <si>
    <t>8649 1636 8912</t>
  </si>
  <si>
    <t>MANGRU RAY</t>
  </si>
  <si>
    <t>JAGARNATH RAY</t>
  </si>
  <si>
    <t>7815 3995 9509</t>
  </si>
  <si>
    <t>RECRUITED AS ON JUNE 2024</t>
  </si>
  <si>
    <t>JENNY REFREE</t>
  </si>
  <si>
    <t>8314 2998 9096</t>
  </si>
  <si>
    <t>RECRUITED JAN 2025</t>
  </si>
  <si>
    <t>SANTOSH RAY</t>
  </si>
  <si>
    <t>MANSA RAY</t>
  </si>
  <si>
    <t>S/O MUKHLAL SINGH
Nok - PARBATTI DEVI (MOTHER)
Vill- PAKPAHADI
Post-BILKANDI
Dist -Dumka
PS- TONGRA
State- JHARKHAND
Pin- 814144</t>
  </si>
  <si>
    <t>8364 3506 1913</t>
  </si>
  <si>
    <t>7855 5742 3703</t>
  </si>
  <si>
    <t>31/01/1998</t>
  </si>
  <si>
    <t>NoK -Reheli (Wife)
S/o- Sukhdev Ray
Vill -Murjora
Post -Ranibahal
Dist-Dumka
PS-Massanjore
STATE- Jharkhand
PIN No-814144</t>
  </si>
  <si>
    <t>5020 9075 9690</t>
  </si>
  <si>
    <t>7112 7977 4841</t>
  </si>
  <si>
    <t>KRIPA MOHAN</t>
  </si>
  <si>
    <t>GOLPOMOHON</t>
  </si>
  <si>
    <t>4404 4950 6158</t>
  </si>
  <si>
    <t>0485</t>
  </si>
  <si>
    <t>ADIM KAMEI</t>
  </si>
  <si>
    <t>MEICHALUNG</t>
  </si>
  <si>
    <t>SBIN0015718</t>
  </si>
  <si>
    <t>ADAINI KAMEI</t>
  </si>
  <si>
    <t>15/09/1964</t>
  </si>
  <si>
    <t>DEVID KAMEI</t>
  </si>
  <si>
    <t>ARJUN PUJHAR</t>
  </si>
  <si>
    <t>DUKHAN PUJHAR</t>
  </si>
  <si>
    <t>NOK- DUKHAN PUJHAR (FATHER)
S/O- DUKHAN PUJHAR
VILL- DANDO DUMARIYA
POST- TD DUMARIYA
DIST- DUMKA
STATE- JHARKHAND
PS- JAMA
PIN- 814146</t>
  </si>
  <si>
    <t>8647 0021 5433</t>
  </si>
  <si>
    <t>`</t>
  </si>
  <si>
    <t>A LALBIAKMAWIA</t>
  </si>
  <si>
    <t>PHAKSARAI</t>
  </si>
  <si>
    <t>7586 6616 6121</t>
  </si>
  <si>
    <t>7790 9959 6553</t>
  </si>
  <si>
    <t>G/TOTAL</t>
  </si>
  <si>
    <t>REMLALFELKIMA</t>
  </si>
  <si>
    <t>R RAMCHHANA</t>
  </si>
  <si>
    <t>7217 8533 3790</t>
  </si>
  <si>
    <t>LALBUATSAIHA</t>
  </si>
  <si>
    <t>23/12/1999</t>
  </si>
  <si>
    <t>LALCHHANLIANA</t>
  </si>
  <si>
    <t>2091 2854 3685</t>
  </si>
  <si>
    <t>7811 8453 4571</t>
  </si>
  <si>
    <t>0650</t>
  </si>
  <si>
    <t>RABINBU ROY</t>
  </si>
  <si>
    <t>ANIL ROY</t>
  </si>
  <si>
    <t>8948 5111 0002</t>
  </si>
  <si>
    <t>7919 5974 0829</t>
  </si>
  <si>
    <t>J VANLALHRIATA</t>
  </si>
  <si>
    <t>R BIAKSANGA</t>
  </si>
  <si>
    <t>S/O R BIAKSANGA
NoK -LALDINGPUII (WIFE)
Vill -SERKHAN
Post -SERKHAN
Dist-KOLASIB
PS-KAWNPUI
STATE- MIZORAM
PIN No-796070</t>
  </si>
  <si>
    <t>3795 7659 9366</t>
  </si>
  <si>
    <t>7811 7570 1129</t>
  </si>
  <si>
    <t>0670</t>
  </si>
  <si>
    <t>ARCHANA LOHAR</t>
  </si>
  <si>
    <t>RAMU CHANDRA LOHAR</t>
  </si>
  <si>
    <t>S/O RAMU CHANDRA LOHAR
NoK -PUJA LOHAR (SISTER)
Vill -ZANLAWN
Post -ZANLAWN
Dist-KOLASIB
PS-ZANLAWN
STATE- MIZORAM
PIN No-796070</t>
  </si>
  <si>
    <t>8206 0855 2585</t>
  </si>
  <si>
    <t>7811 9673 5000</t>
  </si>
  <si>
    <t>AKBAR HUSSAIN LASKAR</t>
  </si>
  <si>
    <t>BABURUL ISLAM LASKAR</t>
  </si>
  <si>
    <t>8715 0065 6673</t>
  </si>
  <si>
    <t>Changed  A/C wef 01 apr 2024</t>
  </si>
  <si>
    <t>SBIN0017401</t>
  </si>
  <si>
    <t>MATDRU TUDU</t>
  </si>
  <si>
    <t>DUKU TUDU</t>
  </si>
  <si>
    <t>7819 5184 1252</t>
  </si>
  <si>
    <t>0487</t>
  </si>
  <si>
    <t>D DAINA</t>
  </si>
  <si>
    <t>JC KAMEI</t>
  </si>
  <si>
    <t>JOHAN MONDAL</t>
  </si>
  <si>
    <t>20.11.1974</t>
  </si>
  <si>
    <t>HARDINGLA MONDAL</t>
  </si>
  <si>
    <t>7819 4150 1986</t>
  </si>
  <si>
    <t>BAHARUL ISLAM LASKAR</t>
  </si>
  <si>
    <t>MOURUDDIN LASKAR</t>
  </si>
  <si>
    <t>7115 6763 8020</t>
  </si>
  <si>
    <t>0478</t>
  </si>
  <si>
    <t>SHIMON SOBORO</t>
  </si>
  <si>
    <t>28.04.1987</t>
  </si>
  <si>
    <t>SUNDANTO SOBORO</t>
  </si>
  <si>
    <t>7819 4230 8849</t>
  </si>
  <si>
    <t>RINKU ROY</t>
  </si>
  <si>
    <t>HARENRRA ROY</t>
  </si>
  <si>
    <t>7812 3624 3703</t>
  </si>
  <si>
    <t>SUSHANTA ROY</t>
  </si>
  <si>
    <t>SUNITH ROY</t>
  </si>
  <si>
    <t>6238 4744 6729</t>
  </si>
  <si>
    <t>7842 1276 4785</t>
  </si>
  <si>
    <t>0462</t>
  </si>
  <si>
    <t>JOGSAN SOREN</t>
  </si>
  <si>
    <t>CHUTU SOREN</t>
  </si>
  <si>
    <t>7819 5229 2159</t>
  </si>
  <si>
    <t>RANJIT SINGH</t>
  </si>
  <si>
    <t>BHUDURAM SINGH</t>
  </si>
  <si>
    <t>7819 5225 7918</t>
  </si>
  <si>
    <t>SAMSON SUBRO</t>
  </si>
  <si>
    <t>SANJAY SUBRO</t>
  </si>
  <si>
    <t>5221 7323 4992</t>
  </si>
  <si>
    <t>7812 0529 7691</t>
  </si>
  <si>
    <t>0663</t>
  </si>
  <si>
    <t>RAJESH RUDRA PAL</t>
  </si>
  <si>
    <t>HARI PADA RUDRAPAL</t>
  </si>
  <si>
    <t>SBIN0006863</t>
  </si>
  <si>
    <t>MAZ/SKD-III</t>
  </si>
  <si>
    <t>RABASEN TANTUBAI</t>
  </si>
  <si>
    <t>YOGEN TANTUBAI</t>
  </si>
  <si>
    <t>3662 6701 3419</t>
  </si>
  <si>
    <t>7812 5191 3569</t>
  </si>
  <si>
    <t>SBIN0064403</t>
  </si>
  <si>
    <t>0495</t>
  </si>
  <si>
    <t>MAZID AHMED BARBHUIYA</t>
  </si>
  <si>
    <t>BOSIR AHMED BARBHUIYA</t>
  </si>
  <si>
    <t>7068 2309 4156</t>
  </si>
  <si>
    <t>7819 4575 9963</t>
  </si>
  <si>
    <t>SBIN0061392</t>
  </si>
  <si>
    <t>SABIR HUSSAIN LASKAR</t>
  </si>
  <si>
    <t>CHONDU MIYA LASKAR</t>
  </si>
  <si>
    <t>3631 7602 7098</t>
  </si>
  <si>
    <t>7794 8886 5798</t>
  </si>
  <si>
    <t>NAZMUL HAQUE LASKAR</t>
  </si>
  <si>
    <t>Lt.RABIJUL ALI LASKAR</t>
  </si>
  <si>
    <t>9508 7583 6459</t>
  </si>
  <si>
    <t>FULNEHAR LASKAR</t>
  </si>
  <si>
    <t>IMADUL ISLAM LASKAR</t>
  </si>
  <si>
    <t>BHARUL ISLAM LASKAR</t>
  </si>
  <si>
    <t>BASARAT ALI LASKAR</t>
  </si>
  <si>
    <t>6441 6224 5273</t>
  </si>
  <si>
    <t>ANJALY ROY</t>
  </si>
  <si>
    <t>HAR KUMAR ROY</t>
  </si>
  <si>
    <t>2769 4687 3057</t>
  </si>
  <si>
    <t>7817 7959 7816</t>
  </si>
  <si>
    <t>SAMAD UDDIN LASKAR</t>
  </si>
  <si>
    <t>FAKRUL ISLAM LASKAR</t>
  </si>
  <si>
    <t>5050 4372 0362</t>
  </si>
  <si>
    <t>Recruited Aug 2024</t>
  </si>
  <si>
    <t>LALPARMAWII</t>
  </si>
  <si>
    <t>7819 5138 0401</t>
  </si>
  <si>
    <t>VANLALLAWMA</t>
  </si>
  <si>
    <t>RAMHLUNTHANGA</t>
  </si>
  <si>
    <t>ARVIND KUMAR TIWARI</t>
  </si>
  <si>
    <t>RAJKISHOR TIWARI</t>
  </si>
  <si>
    <t>Newly recruited Sep 2023</t>
  </si>
  <si>
    <t>SBIN0003822</t>
  </si>
  <si>
    <t>JAGANATH MARANDI</t>
  </si>
  <si>
    <t>LAKHIRAM MARANDI</t>
  </si>
  <si>
    <t>7819 5139 0863</t>
  </si>
  <si>
    <t>Recruited MAY 2025</t>
  </si>
  <si>
    <t>KALAMUDDIN ANSARI</t>
  </si>
  <si>
    <t>SAJITUL MIYAN</t>
  </si>
  <si>
    <t>7567 5035 4052</t>
  </si>
  <si>
    <t>NAHARUL ISLAM LASKAR</t>
  </si>
  <si>
    <t>SONAHAR ALI LASKR</t>
  </si>
  <si>
    <t>5738 8829 7997</t>
  </si>
  <si>
    <t>Recruited JUNE 2025</t>
  </si>
  <si>
    <t>LOTUB ALI</t>
  </si>
  <si>
    <t>S/O LOTUB ALI
NoK-J YOTSNA (WIFE)
Vill -NUTAN KANCHANPUR
Post-HATHIKHAL I
Dist-CACHAR
PS-KUCHIDRAM 
STATE- ASSAM
PIN No-788116</t>
  </si>
  <si>
    <t>9392 8137 8525</t>
  </si>
  <si>
    <t>7847 1701 9515</t>
  </si>
  <si>
    <t>SENELATA HANSDA</t>
  </si>
  <si>
    <t>MANTRI MURMU</t>
  </si>
  <si>
    <t>2271 7225 9298</t>
  </si>
  <si>
    <t>SBIN0012544</t>
  </si>
  <si>
    <t>HARADHAN DEHRI</t>
  </si>
  <si>
    <t>BUDHAN DEHRI</t>
  </si>
  <si>
    <t>5020 5614 8320</t>
  </si>
  <si>
    <t>BIJOY ROY</t>
  </si>
  <si>
    <t>SUNIT ROY</t>
  </si>
  <si>
    <t>2423 5833 6783</t>
  </si>
  <si>
    <t>7820 3462 7771</t>
  </si>
  <si>
    <t>JOHNY LALLAWMAWMA</t>
  </si>
  <si>
    <t>VANLALHRUAII</t>
  </si>
  <si>
    <t>4087 1453 5214</t>
  </si>
  <si>
    <t>SHRIMAN ROY</t>
  </si>
  <si>
    <t>SURENDRA ROY</t>
  </si>
  <si>
    <t>5043 1461 1814</t>
  </si>
  <si>
    <t>SBIN0007037</t>
  </si>
  <si>
    <t>HARISH CHANDRA MURMU</t>
  </si>
  <si>
    <t>SURAJ MURMU</t>
  </si>
  <si>
    <t>9035 5387 4628</t>
  </si>
  <si>
    <t>LALTANPUIA</t>
  </si>
  <si>
    <t>7659 2792 3315</t>
  </si>
  <si>
    <t>7814 5225 6052</t>
  </si>
  <si>
    <t>ZAIA</t>
  </si>
  <si>
    <t>SIAMLIANA</t>
  </si>
  <si>
    <t>9415 0643 4074</t>
  </si>
  <si>
    <t>SBIN00061386</t>
  </si>
  <si>
    <t>RICKY LALMUANAWMA</t>
  </si>
  <si>
    <t>VIKASH KARJI</t>
  </si>
  <si>
    <t>8520 7364 8288</t>
  </si>
  <si>
    <t>LALREMA</t>
  </si>
  <si>
    <t>LALDUHKIMA</t>
  </si>
  <si>
    <t>6876 4953 6390</t>
  </si>
  <si>
    <t>SBIN0014262</t>
  </si>
  <si>
    <t>RAJIV DAS</t>
  </si>
  <si>
    <t>HUR KUMAR DAS</t>
  </si>
  <si>
    <t>7819 4209 6473</t>
  </si>
  <si>
    <t>ZORAMLIANA</t>
  </si>
  <si>
    <t>9554 6257 0689</t>
  </si>
  <si>
    <t>LALMUANPUIA</t>
  </si>
  <si>
    <t>LALHMACHHUANA</t>
  </si>
  <si>
    <t>4581 6214 1005</t>
  </si>
  <si>
    <t>PARIMAL SHUKLA BAIDYA</t>
  </si>
  <si>
    <t>PARESH SHUKLA BAIDYA</t>
  </si>
  <si>
    <t>8020 7569 4095</t>
  </si>
  <si>
    <t>7819 5251 2778</t>
  </si>
  <si>
    <t>SHIBAM KURMI</t>
  </si>
  <si>
    <t>RAGHUNATH KURMI</t>
  </si>
  <si>
    <t>NOK- RAGHUNATH KURMI (FATHER)
S/O- RAGHUNATH KURMI
VILL- LALLANG
PO- LALLANG
DIST- CACHAR
STATE- ASSAM
PS- LAKHIPUR
PIN- 788102</t>
  </si>
  <si>
    <t>8008 3196 0524</t>
  </si>
  <si>
    <t>7101 5677 3111</t>
  </si>
  <si>
    <t>JAHAR TANTUBAI</t>
  </si>
  <si>
    <t>JOGE TANTUBAI</t>
  </si>
  <si>
    <t>7313 5791 0400</t>
  </si>
  <si>
    <t>SBIN0011612</t>
  </si>
  <si>
    <t>POMPI TANTUBAI</t>
  </si>
  <si>
    <t>4366 8348 2532</t>
  </si>
  <si>
    <t>7115 4723 1664</t>
  </si>
  <si>
    <t>AMIT TANTUBAY</t>
  </si>
  <si>
    <t>PURAN TABTUBAY</t>
  </si>
  <si>
    <t>9286 1758 6913</t>
  </si>
  <si>
    <t>7121 3304 2109</t>
  </si>
  <si>
    <t>BAPON TANTUBAY</t>
  </si>
  <si>
    <t>RABEN TANTUBAY</t>
  </si>
  <si>
    <t>2874 4264 7797</t>
  </si>
  <si>
    <t>7118 3913 9404</t>
  </si>
  <si>
    <t>RANJIT TANTUBAI</t>
  </si>
  <si>
    <t>RABEN TANTUBY</t>
  </si>
  <si>
    <t>7853 2943 7662</t>
  </si>
  <si>
    <t>7825 6358 2813</t>
  </si>
  <si>
    <t>SURESH MARANDI</t>
  </si>
  <si>
    <t>7812 1318 1178</t>
  </si>
  <si>
    <t>SBIN0061386</t>
  </si>
  <si>
    <t>SADIK HUSSAIN LASKAR</t>
  </si>
  <si>
    <t>JASIM UDDIN LASKAR</t>
  </si>
  <si>
    <t>8411 6824 4656</t>
  </si>
  <si>
    <t>7827 1641 6223</t>
  </si>
  <si>
    <t>RECRUITED AS ON JUL 2024</t>
  </si>
  <si>
    <t>JOYDIP DAS</t>
  </si>
  <si>
    <t>KUTULAL DAS</t>
  </si>
  <si>
    <t>3599 6711 4724</t>
  </si>
  <si>
    <t>7812 0629 1123</t>
  </si>
  <si>
    <t>Recruited Dec 2023</t>
  </si>
  <si>
    <t>SBIN0007648</t>
  </si>
  <si>
    <t>MOHAN ROVA</t>
  </si>
  <si>
    <t>ATUL ROVA</t>
  </si>
  <si>
    <t>S/O ATUL ROVA
NoK -ATUL ROVA (FATHER)
Vill -SERKHAN 
Post -SERKHAN
Dist-KOLASIB
PS-KAWNPUI
STATE- MIZORAM
PIN No-796007</t>
  </si>
  <si>
    <t>5697 9196 5913</t>
  </si>
  <si>
    <t>7811 9765 9764</t>
  </si>
  <si>
    <t>FULMUNI KOLIN</t>
  </si>
  <si>
    <t>JIVAN KOL</t>
  </si>
  <si>
    <t>6670 2264 9269</t>
  </si>
  <si>
    <t>7819 8405 6544</t>
  </si>
  <si>
    <t>0717</t>
  </si>
  <si>
    <t>KAMRUL ISLAM LASKAR</t>
  </si>
  <si>
    <t>20/05/1979</t>
  </si>
  <si>
    <t>MONIR ALI LASKAR</t>
  </si>
  <si>
    <t>6007 1162 0214</t>
  </si>
  <si>
    <t>BIKRAM SINGHA</t>
  </si>
  <si>
    <t>CHORA SINGHA</t>
  </si>
  <si>
    <t>4782 1345 0911</t>
  </si>
  <si>
    <t>7819 4561 4530</t>
  </si>
  <si>
    <t>0450</t>
  </si>
  <si>
    <t>PUDHAN KARJI</t>
  </si>
  <si>
    <t>7812 4359 3209</t>
  </si>
  <si>
    <t>LALRAMENGA</t>
  </si>
  <si>
    <t>DIPIKA KOLIN</t>
  </si>
  <si>
    <t>JIVAN KOLIN</t>
  </si>
  <si>
    <t>2636 2965 3281</t>
  </si>
  <si>
    <t>7819 8415 8491</t>
  </si>
  <si>
    <t>SONALAL KISKU</t>
  </si>
  <si>
    <t>9488 4067 6219</t>
  </si>
  <si>
    <t>7819 8200 0851</t>
  </si>
  <si>
    <t>RAIMAN HEMBRAM</t>
  </si>
  <si>
    <t>FOGDA HEMBRAM</t>
  </si>
  <si>
    <t>8772 9433 7120</t>
  </si>
  <si>
    <t>7819 4966 0455</t>
  </si>
  <si>
    <t>LALSAWMLIANA</t>
  </si>
  <si>
    <t>VANLALRUATA</t>
  </si>
  <si>
    <t>NOK   : JULIF LALRINPUII (WIFE)
S/O   : VANLALRUATA
Vill  : LUNGDAI
PO    : LUNGDAI
PS    : KANWPUI
Dist  : KOLASIB
State : MIZORAM
Pin   : 796014</t>
  </si>
  <si>
    <t>2240 2842 5434</t>
  </si>
  <si>
    <t>SANTOSH CHAKMA</t>
  </si>
  <si>
    <t>JAY CHAKMA</t>
  </si>
  <si>
    <t>NOK-DEBOMAYA (WIFE)
S/O-JOY CHAKMA
VILLAGE - TERABONIA
P.O-BUNGHMUN
P.S-BUNGHMUN
DISTRICT-LUNGLEI
STATE-MIZORAM
Pin - 796701</t>
  </si>
  <si>
    <t>7296 4593 4490</t>
  </si>
  <si>
    <t>DILIP BIKASH CHAKMA</t>
  </si>
  <si>
    <t>ARUNUDAY CHAKMA</t>
  </si>
  <si>
    <t>9659 3847 5953</t>
  </si>
  <si>
    <t>SBIN0008697</t>
  </si>
  <si>
    <t>PINTU DAS</t>
  </si>
  <si>
    <t>3822 7609 8000</t>
  </si>
  <si>
    <t>SBIN0014261</t>
  </si>
  <si>
    <t>BIHARI HEMBRAM</t>
  </si>
  <si>
    <t>DRAYAWAR HEMRAM</t>
  </si>
  <si>
    <t>8161 2286 3956</t>
  </si>
  <si>
    <t>7819 4511 4009</t>
  </si>
  <si>
    <t>SOYLENE KISKU</t>
  </si>
  <si>
    <t>CHUNDA KISKU</t>
  </si>
  <si>
    <t>4543 9286 5800</t>
  </si>
  <si>
    <t>7844 2897 2737</t>
  </si>
  <si>
    <t>MITHUN MARNADI</t>
  </si>
  <si>
    <t>VIJAY MARANDI</t>
  </si>
  <si>
    <t>8396 5559 0019</t>
  </si>
  <si>
    <t>7101 5952 2266</t>
  </si>
  <si>
    <t>GRACE SAIHLUPUII SAILO</t>
  </si>
  <si>
    <t>LALTHUAMA SAILO</t>
  </si>
  <si>
    <t>8631 1192 9922</t>
  </si>
  <si>
    <t>SBIN0013054</t>
  </si>
  <si>
    <t>CHANTU DARVE</t>
  </si>
  <si>
    <t>GANESH DARVE</t>
  </si>
  <si>
    <t>3403 2702 6950</t>
  </si>
  <si>
    <t>0542</t>
  </si>
  <si>
    <t>31.12.1982</t>
  </si>
  <si>
    <t>7819 5258 7619</t>
  </si>
  <si>
    <t>DIJEN MALAKAR</t>
  </si>
  <si>
    <t>JAYDHAN MALAKAR</t>
  </si>
  <si>
    <t>7811 9663 7562</t>
  </si>
  <si>
    <t>LALROPUII</t>
  </si>
  <si>
    <t>P.G.SANGZUALA</t>
  </si>
  <si>
    <t>7819 5373 7795</t>
  </si>
  <si>
    <t>0499</t>
  </si>
  <si>
    <t>NUWASH TOPNO</t>
  </si>
  <si>
    <t>Lt BIRSA TOPNO</t>
  </si>
  <si>
    <t>7819 5506 5475</t>
  </si>
  <si>
    <t>0500</t>
  </si>
  <si>
    <t>BIPUL CHANDRA DAS</t>
  </si>
  <si>
    <t>5591 8034 4537</t>
  </si>
  <si>
    <t>7819 5254 0742</t>
  </si>
  <si>
    <t>RINTU ROY</t>
  </si>
  <si>
    <t>HORENDAR ROY</t>
  </si>
  <si>
    <t>4604 4837 3983</t>
  </si>
  <si>
    <t>7821 3420 7127</t>
  </si>
  <si>
    <t>SOPON ROY</t>
  </si>
  <si>
    <t>PRADDUNA ROY</t>
  </si>
  <si>
    <t>9249 7106 6973</t>
  </si>
  <si>
    <t>7817 7962 1122</t>
  </si>
  <si>
    <t>MATAL SOREN</t>
  </si>
  <si>
    <t>MUDHRAI SOREN</t>
  </si>
  <si>
    <t>6789 4405 8955</t>
  </si>
  <si>
    <t>RAZIB HUSSAIN AHMED</t>
  </si>
  <si>
    <t>FAIZUR RAHMAN AHMED</t>
  </si>
  <si>
    <t>2158 5833 5133</t>
  </si>
  <si>
    <t>ATAR ALI</t>
  </si>
  <si>
    <t>7438 7753 8220</t>
  </si>
  <si>
    <t>AMIT ROY</t>
  </si>
  <si>
    <t>JADAV ROY</t>
  </si>
  <si>
    <t>8509 9799 3838</t>
  </si>
  <si>
    <t>7810 4918 3077</t>
  </si>
  <si>
    <t>NURUL HAQUE LASKAR</t>
  </si>
  <si>
    <t>HAZI MAKBUL ALI LASKAR</t>
  </si>
  <si>
    <t>2974 4482 1477</t>
  </si>
  <si>
    <t>7810 8374 3812</t>
  </si>
  <si>
    <t>RANJEET RAY</t>
  </si>
  <si>
    <t>UGAN RAY</t>
  </si>
  <si>
    <t>S/o- Ugan Ray
NoK - Rekha Ray (Wife)
Vill - Kathaldiha
Post - Ranibahal
Dist- Dumka
PS- Masanjore
STATE- Jharkhand
PIN No- 814144</t>
  </si>
  <si>
    <t>6212 0186 4679</t>
  </si>
  <si>
    <t>7790 6907 9197</t>
  </si>
  <si>
    <t>BISHU RAY</t>
  </si>
  <si>
    <t>RATHU RAY</t>
  </si>
  <si>
    <t>NOK-RATHU RAY (FATHER)
S/O-RATHU RAY
VILL-KATHALDIHA
P.O-RANIBAHAL
DIST-DUMKA
STATE-JHARKHAND
PS-MASSANJORE
PIN-814144</t>
  </si>
  <si>
    <t>2959 2683 5378</t>
  </si>
  <si>
    <t>SIMON THANGPIANGSANGA TUDU</t>
  </si>
  <si>
    <t>28/03/2001</t>
  </si>
  <si>
    <t>BISHESWAR TUDU</t>
  </si>
  <si>
    <t>2547 3386 1070</t>
  </si>
  <si>
    <t>7825 6343 5683</t>
  </si>
  <si>
    <t>SBIN0008084</t>
  </si>
  <si>
    <t>SUKHIRAM RAY</t>
  </si>
  <si>
    <t>AKAL RAY</t>
  </si>
  <si>
    <t>4181 3503 7325</t>
  </si>
  <si>
    <t>7833 3797 3734</t>
  </si>
  <si>
    <t>SOMLAL MURMU</t>
  </si>
  <si>
    <t>BARSA MURMU</t>
  </si>
  <si>
    <t>NOK-CHUTKI SOREN (WIFE)
S/O-BARSA MURMU
VILL-BAGJOBDA
POST-AMJORA
DISTRICT-DUMKA
STATE-JHARKHAND
P.S-RANISHWAR
PIN-814148</t>
  </si>
  <si>
    <t>7819 4550 4569</t>
  </si>
  <si>
    <t>5730 4923 0171</t>
  </si>
  <si>
    <t>3982 5920 0014</t>
  </si>
  <si>
    <t>7838 4764 4610</t>
  </si>
  <si>
    <t>0950</t>
  </si>
  <si>
    <t>BALIRAM HEMBRAM</t>
  </si>
  <si>
    <t>GOVARDHAN HEMBRAM</t>
  </si>
  <si>
    <t>5381 6407 4119</t>
  </si>
  <si>
    <t>7819 5722 5775</t>
  </si>
  <si>
    <t>RIPAN DAS</t>
  </si>
  <si>
    <t>22/04/1998</t>
  </si>
  <si>
    <t>LT BROJENDRA CHANDRA</t>
  </si>
  <si>
    <t>Name of NoK - Rekha Dar (Wife)
S/O - Borjendra Chandra Das
Chandinagar Part III
District - Cachar
State - Assam
Pin - 788805</t>
  </si>
  <si>
    <t>8798 2346 9293</t>
  </si>
  <si>
    <t>7819 4319 4584</t>
  </si>
  <si>
    <t>JOLEN SOREN</t>
  </si>
  <si>
    <t>ANANTA SOREN</t>
  </si>
  <si>
    <t>4034 5697 8486</t>
  </si>
  <si>
    <t>7811 9913 8257</t>
  </si>
  <si>
    <t>SURENDRA KUMAR</t>
  </si>
  <si>
    <t>RAJ KUMAR SAH</t>
  </si>
  <si>
    <t>6217 5188 1278</t>
  </si>
  <si>
    <t>7906 4833 9748</t>
  </si>
  <si>
    <t>SBIN0012567</t>
  </si>
  <si>
    <t>AMIT SOREN</t>
  </si>
  <si>
    <t>THAKUR SOREN</t>
  </si>
  <si>
    <t>3415 7979 5725</t>
  </si>
  <si>
    <t>7818 0367 6642</t>
  </si>
  <si>
    <t>DEEPAK KUMAR SINGH</t>
  </si>
  <si>
    <t>BHUMESHWAR SINGH</t>
  </si>
  <si>
    <t>NOK-ANITA DEVI (MOTHER)
S/O-BHUMESHWAR SINGH
VILL-PARSIMIA
P.O-PAHRUDIH
DIST-DUMKA
STATE-JHARKHAND
PS-MASANJOR
PIN-814119</t>
  </si>
  <si>
    <t>8820 4351 8922</t>
  </si>
  <si>
    <t>5562 7823 8625</t>
  </si>
  <si>
    <t>SEBENDRA MURMU</t>
  </si>
  <si>
    <t>JOHAN MURMU</t>
  </si>
  <si>
    <t>4478 8487 4417</t>
  </si>
  <si>
    <t>7843 4695 9096</t>
  </si>
  <si>
    <t>OKIL MURMU</t>
  </si>
  <si>
    <t>BABULAL MURMU</t>
  </si>
  <si>
    <t>NOK-ORMEN MUMRU (BROTHER)
S/O-BABULAL MURMU
VILL-JAMJURI
P.O-BILKANDI
DIST-DUMKA
STATE-JHARKHAND
PS-RANISHWAR
PIN-814144</t>
  </si>
  <si>
    <t>8184 9096 6669</t>
  </si>
  <si>
    <t>7894 9958 8834</t>
  </si>
  <si>
    <t>BHUVNESHWAR RAY</t>
  </si>
  <si>
    <t>VISHWANATH RAY</t>
  </si>
  <si>
    <t>NOK-KAMLI DEVI (MOTHER)
S/O-VISHWANATH RAY
VILL-PHAJULPUR
P.O-PRATAPPUR
DIST-DUMKA
STATE-JHARKHAND
PS-RANISHWAR
PIN-814144</t>
  </si>
  <si>
    <t>2748 4175 2431</t>
  </si>
  <si>
    <t>7120 9118 5725</t>
  </si>
  <si>
    <t>LALDEV RAY</t>
  </si>
  <si>
    <t>NOK-MISU KUMARI (DAUGHTER)
S/O-LALDEV RAY
VILL-PAKPAHADI
P.O-BILKANDI
DIST-DUMKA
STATE-JHARKHAND
PS-SONGRA
PIN-814144</t>
  </si>
  <si>
    <t>6147 3614 0724</t>
  </si>
  <si>
    <t>7115 0277 9557</t>
  </si>
  <si>
    <t>ASHVIN RAY</t>
  </si>
  <si>
    <t>GODO RAY</t>
  </si>
  <si>
    <t>NOK-GODO RAY (FATHER)
S/O-GODO RAY
VILL-PHAJILPUR
P.O-PRATAPPUR
DIST-DUMKA
STATE-JHARKHAND
PS-RANISHWAR
PIN-814148</t>
  </si>
  <si>
    <t>8114 3979 8042</t>
  </si>
  <si>
    <t>7837 4293 5170</t>
  </si>
  <si>
    <t>CHETNARAYAN RAY</t>
  </si>
  <si>
    <t>MAHADEV RAY</t>
  </si>
  <si>
    <t>NOK-REKHA DEVI (WIFE)
S/O-MAHADEV RAY
VILL-PAKPAHADI
P.O-BILKANDI
DIST-DUMKA
STATE-JHARKHAND
PS-BILKANDI
PIN-814144</t>
  </si>
  <si>
    <t>7403 5451 0060</t>
  </si>
  <si>
    <t>7817 9560 4673</t>
  </si>
  <si>
    <t>RAVI RAY</t>
  </si>
  <si>
    <t>6990 7757 1428</t>
  </si>
  <si>
    <t>1459 2635 6854</t>
  </si>
  <si>
    <t>RAMESH RAY</t>
  </si>
  <si>
    <t>SANTU RAY</t>
  </si>
  <si>
    <t>NOK-PHUL DEVI (MOTHER)
S/O-SANTU RAY
VILL-JAMJUDI
P.O-BILKANDI
DIST-DUMKA
STATE-JHARKHAND
PS-RANISHWAR
PIN-814144</t>
  </si>
  <si>
    <t>7029 3963 0847</t>
  </si>
  <si>
    <t>7832 3719 6059</t>
  </si>
  <si>
    <t>K.RAMMUANSANGA</t>
  </si>
  <si>
    <t>23.05.2000</t>
  </si>
  <si>
    <t>K.RAMNGHINGLOVA</t>
  </si>
  <si>
    <t>4324 5608 6813</t>
  </si>
  <si>
    <t>7845 9315 8297</t>
  </si>
  <si>
    <t>LALDINMAWIA</t>
  </si>
  <si>
    <t>THANGHLEIA</t>
  </si>
  <si>
    <t>6042 9893 7353</t>
  </si>
  <si>
    <t>7845 9316 5051</t>
  </si>
  <si>
    <t>JITU MURMU</t>
  </si>
  <si>
    <t>SUNIL MURMU</t>
  </si>
  <si>
    <t>2095 7010 7599</t>
  </si>
  <si>
    <t>7841 0276 8266</t>
  </si>
  <si>
    <t>RUSTAM KISKU</t>
  </si>
  <si>
    <t>SUNIL KISKU</t>
  </si>
  <si>
    <t>8733 3982 9142</t>
  </si>
  <si>
    <t>NIANG DEIHSANGI</t>
  </si>
  <si>
    <t>DULAL</t>
  </si>
  <si>
    <t>5361 5937 1547</t>
  </si>
  <si>
    <t>DIMDEIHSANGI</t>
  </si>
  <si>
    <t>PIANZALIANA</t>
  </si>
  <si>
    <t>4153 8833 1127</t>
  </si>
  <si>
    <t>7846 1845 7534</t>
  </si>
  <si>
    <t>REMASANGPUII</t>
  </si>
  <si>
    <t>4235 7595 6916</t>
  </si>
  <si>
    <t>7846 1090 2848</t>
  </si>
  <si>
    <t>RIPON CHAKMA</t>
  </si>
  <si>
    <t>PATTRA MOHAN CHAKMA</t>
  </si>
  <si>
    <t>NOK   : MILABO CHAKMA (WIFE)
S/O   : PATTRA MOHAN CHAKMA
Vill  : UGUDASURY S
PO    : UGUDASURY
PS    : BORAPANSURY
Dist  : LAWNGTLAI
State : MIZORAM
Pin   : 796770</t>
  </si>
  <si>
    <t>6904 5320 5770</t>
  </si>
  <si>
    <t>7895 0196 2775</t>
  </si>
  <si>
    <t>KHAWMPUITHANGI</t>
  </si>
  <si>
    <t>H.LIANDAWLA</t>
  </si>
  <si>
    <t>NOK   : LALRINMAWIA (HUSBAND)
S/O   : H. LIANDAWLA
Vill  : TUALCHENG
PO    : TUALCHENG
PS    : CHAMPHAI
Dist  : CHAMPHAI
State : MIZORAM
Pin   : 796321</t>
  </si>
  <si>
    <t>8465 4556 3742</t>
  </si>
  <si>
    <t>7847 2279 8124</t>
  </si>
  <si>
    <t>K.VANTHUAMA</t>
  </si>
  <si>
    <t>K.LALNUNTLUANGA</t>
  </si>
  <si>
    <t>NOK   : LALTHLAMUANA (SON)
S/O   : K.LALNUNTLUANGA
Vill  : TUALCHENG
PO    : TUALCHENG
PS    : CHAMPHAI
Dist  : CHAMPHAI
State : MIZORAM
Pin   : 796321</t>
  </si>
  <si>
    <t>4889 9227 0557</t>
  </si>
  <si>
    <t>7847 1654 6532</t>
  </si>
  <si>
    <t>SALAM UDDIN</t>
  </si>
  <si>
    <t>ABDUL ALI</t>
  </si>
  <si>
    <t>9691 2042 0542</t>
  </si>
  <si>
    <t>9652 1459 2256</t>
  </si>
  <si>
    <t>SBIN0011527</t>
  </si>
  <si>
    <t>CHAMALA KHATUN</t>
  </si>
  <si>
    <t>LALMIYA (HUSBAND)</t>
  </si>
  <si>
    <t>NOK   : LAL MIYA (HUSBAND)
W/O   : LALMIYA
Vill  : ARARA
PO    : ALLIA
PS    : GHOGRAPAR
Dist  : NALBARI
State : ASSAM
Pin   : 781369</t>
  </si>
  <si>
    <t>7538 9499 1853</t>
  </si>
  <si>
    <t>7104 0488 9704</t>
  </si>
  <si>
    <t>ASED ALI</t>
  </si>
  <si>
    <t>TAHER ALI</t>
  </si>
  <si>
    <t>4264 3117 2907</t>
  </si>
  <si>
    <t>7111 1177 7208</t>
  </si>
  <si>
    <t>HAMIDA KHATUN</t>
  </si>
  <si>
    <t>BANIS ALI (HUSBAND)</t>
  </si>
  <si>
    <t>NOK   :BANIS ALI (HUSBAND)
W/O   : BANIS ALI
Vill  : NAMATI
PO    : ALLIA
PS    : GHOGRAPAR
Dist  : NALBARI
State : ASSAM
Pin   : 781369</t>
  </si>
  <si>
    <t>3451 4538 4764</t>
  </si>
  <si>
    <t>7114 0779 4171</t>
  </si>
  <si>
    <t>JASMINA KHATUN</t>
  </si>
  <si>
    <t>MAHIBUL HUSSAIN (HUSBAND)</t>
  </si>
  <si>
    <t>NOK   : MAHIBUL HUSSAIN (HUSBAND)
W/O   : MAHIBUL HUSSAIN
Vill  : PANIMAZKUCHI
PO    : BARAJOL
PS    : GHOGRAPAR
Dist  : NALBARI
State : ASSAM
Pin   : 781369</t>
  </si>
  <si>
    <t>6059 6572 7240</t>
  </si>
  <si>
    <t>7834 2511 7845</t>
  </si>
  <si>
    <t>1386001700168625</t>
  </si>
  <si>
    <t>PUNB0138600</t>
  </si>
  <si>
    <t>LALMIYA</t>
  </si>
  <si>
    <t>OHAB ALI</t>
  </si>
  <si>
    <t>8438 6141 5540</t>
  </si>
  <si>
    <t>7103 8613 0977</t>
  </si>
  <si>
    <t>MAHIBUL HUSSAIN</t>
  </si>
  <si>
    <t>SADEK ALI</t>
  </si>
  <si>
    <t>NOK   : JASMINA KHATUN (WIFE)
S/O   : SADEK ALI
Vill  : PANIMAZKUCHI
PO    : BARAJOL
PS    : GHOGRAPAR
Dist  : NALBARI
State : ASSAM
Pin   : 781369</t>
  </si>
  <si>
    <t>4988 6816 4440</t>
  </si>
  <si>
    <t>7840 4584 2761</t>
  </si>
  <si>
    <t>AJAMAT ALI</t>
  </si>
  <si>
    <t>JAMAL BADSA</t>
  </si>
  <si>
    <t>NOK   : MARZINA BEGUM (WIFE)
S/O   : JAMAL BADSA
Vill  : ARARA
PO    : ALLIA
PS    : GHOGRAPAR
Dist  : NALBARI
State : ASSAM
Pin   : 781369</t>
  </si>
  <si>
    <t>5950 0309 6150</t>
  </si>
  <si>
    <t>3254 1585 1545</t>
  </si>
  <si>
    <t>SUMAN CHAKMA</t>
  </si>
  <si>
    <t>ADI CHANDRA CHAKMA</t>
  </si>
  <si>
    <t>NOK   : LOHSHMI DEVI (WIFE)
S/O   : ADI CHANDRA CHAKMA
Vill  : RENGASHYA
PO    : VASEI
PS    : VASEI
Dist  : LAWNGTLAI
State : MIZORAM
Pin   : 796770</t>
  </si>
  <si>
    <t>8212 4869 4856</t>
  </si>
  <si>
    <t>7108 3584 3557</t>
  </si>
  <si>
    <t>MILON CHAKMA</t>
  </si>
  <si>
    <t>NOK   : RETA CHAKMA (WIFE)
S/O   : PATRA MOHAN CHAKMA
Vill  : UGUDASURY 'S
PO    : UGUDASURY 'S
PS    : BORAPANSURY
Dist  : LAWNGTLAI
State : MIZORAM
Pin   : 796770</t>
  </si>
  <si>
    <t>8213 9992 6497</t>
  </si>
  <si>
    <t>7109 1819 2003</t>
  </si>
  <si>
    <t>SUJHON CHAKMA</t>
  </si>
  <si>
    <t>LOKSHMI DEVI CHAKMA</t>
  </si>
  <si>
    <t>7555 1563 9062</t>
  </si>
  <si>
    <t>7847 4067 1159</t>
  </si>
  <si>
    <t>BANICH ALI</t>
  </si>
  <si>
    <t>JABABAR ALI</t>
  </si>
  <si>
    <t>NOK   : HAMIDA KHATUN (WIFE)
S/O   :JABABAR ALI
Vill  : NAMATI
PO    : ALLIA
PS    : GHOGRAPAR
Dist  : NALBARI
State : ASSAM
Pin   : 781369</t>
  </si>
  <si>
    <t>6892 2225 0657</t>
  </si>
  <si>
    <t>7114 0969 2714</t>
  </si>
  <si>
    <t>PREMLAL RAY</t>
  </si>
  <si>
    <t>6587 1878 7861</t>
  </si>
  <si>
    <t>7819 4427 1680</t>
  </si>
  <si>
    <t>MILABO CHAKMA</t>
  </si>
  <si>
    <t>7478 2831 2844</t>
  </si>
  <si>
    <t>7847 4070 0613</t>
  </si>
  <si>
    <t>NOK: SUMAN CHAKMA (HUSBAND)
S/O  : SUMAN CHAKMA
VILL : VASEITLANG
POST : VASEITLANG
DISTT: LAWNGTLAI
STATE: MIZORAM
PIN  : 796891
PS   : VASEITLANG</t>
  </si>
  <si>
    <t>6065 6722 5645</t>
  </si>
  <si>
    <t>CHARAN RAY</t>
  </si>
  <si>
    <t>7712 0260 4975</t>
  </si>
  <si>
    <t>7848 6121 4150</t>
  </si>
  <si>
    <t>JAYRAM HEMBRAM</t>
  </si>
  <si>
    <t>SOMLAL HEMBRAM</t>
  </si>
  <si>
    <t>7822 4350 3764</t>
  </si>
  <si>
    <t>DEVISAL SOREN</t>
  </si>
  <si>
    <t>PAGAN SOREN</t>
  </si>
  <si>
    <t>5634 1735 0294</t>
  </si>
  <si>
    <t>7848 5045 7264</t>
  </si>
  <si>
    <t>PRAKASH RAY</t>
  </si>
  <si>
    <t>4827 8901 8180</t>
  </si>
  <si>
    <t>7848 6119 6127</t>
  </si>
  <si>
    <t>RINKU RAY</t>
  </si>
  <si>
    <t>JIBAN RAY</t>
  </si>
  <si>
    <t>8868 0027 8900</t>
  </si>
  <si>
    <t>3214 1299 7031</t>
  </si>
  <si>
    <t>ASHOK RAY</t>
  </si>
  <si>
    <t>7900 3034 5276</t>
  </si>
  <si>
    <t>7826 7012 7775</t>
  </si>
  <si>
    <t>MANOJ KUMAR RAY</t>
  </si>
  <si>
    <t>5878 6411 4051</t>
  </si>
  <si>
    <t>BADHAN SOREN</t>
  </si>
  <si>
    <t>STIFAN SOREN</t>
  </si>
  <si>
    <t>9638 9825 7934</t>
  </si>
  <si>
    <t>7819 4986 0139</t>
  </si>
  <si>
    <t>JAYSEN BESRA</t>
  </si>
  <si>
    <t>LALBESRA</t>
  </si>
  <si>
    <t>6684 0431 7014</t>
  </si>
  <si>
    <t>2541 3652 8541</t>
  </si>
  <si>
    <t>RAJESH EHMBREM</t>
  </si>
  <si>
    <t>SOMLAL HEMBREM</t>
  </si>
  <si>
    <t>4532 2421 8801</t>
  </si>
  <si>
    <t>7822 8579 9798</t>
  </si>
  <si>
    <t>BIRANDRA SINGH</t>
  </si>
  <si>
    <t>TARNISINGH</t>
  </si>
  <si>
    <t>2043 2684 7435</t>
  </si>
  <si>
    <t>7835 0498 2530</t>
  </si>
  <si>
    <t>AJIT KUMAR AY</t>
  </si>
  <si>
    <t>PARMANAND RAY</t>
  </si>
  <si>
    <t>6293 2013 7308</t>
  </si>
  <si>
    <t>8200 3701 8863</t>
  </si>
  <si>
    <t>MANOJ MURMU</t>
  </si>
  <si>
    <t>HOPANA MURMU</t>
  </si>
  <si>
    <t>3217 3444 2260</t>
  </si>
  <si>
    <t>7820 4892 8432</t>
  </si>
  <si>
    <t>RAJ KISHORE RAY</t>
  </si>
  <si>
    <t>SAHADEV RAY</t>
  </si>
  <si>
    <t>9261 3815 9616</t>
  </si>
  <si>
    <t>7822 8835 9193</t>
  </si>
  <si>
    <t>SAHARUL AHMED LASKAR</t>
  </si>
  <si>
    <t>7233 6334 1729</t>
  </si>
  <si>
    <t>7118 3751 1254</t>
  </si>
  <si>
    <t>ALIMAN NESSA</t>
  </si>
  <si>
    <t>3739 2232 2166</t>
  </si>
  <si>
    <t>7825 8662 0308</t>
  </si>
  <si>
    <t>RANJIT RAY</t>
  </si>
  <si>
    <t>2583 0270 7464</t>
  </si>
  <si>
    <t>4562 1546 1456</t>
  </si>
  <si>
    <t>RAM KUMAR KISKU</t>
  </si>
  <si>
    <t>MAGNAL KISKU</t>
  </si>
  <si>
    <t>7931 7401 0599</t>
  </si>
  <si>
    <t>7908 1284 5396</t>
  </si>
  <si>
    <t>KRISHNA RAY</t>
  </si>
  <si>
    <t>3365 4427 8024</t>
  </si>
  <si>
    <t>7848 8318 9158</t>
  </si>
  <si>
    <t>KAMDEV RAY</t>
  </si>
  <si>
    <t>9221 9062 7824</t>
  </si>
  <si>
    <t>7787 5809 5897</t>
  </si>
  <si>
    <t>ROHIT RAY</t>
  </si>
  <si>
    <t>SANTITA RAY</t>
  </si>
  <si>
    <t>5535 335 0046</t>
  </si>
  <si>
    <t>7797 7181 2115</t>
  </si>
  <si>
    <t>MANOJ RAI</t>
  </si>
  <si>
    <t>SITARAM RAI</t>
  </si>
  <si>
    <t>2686 4416 5370</t>
  </si>
  <si>
    <t>7848 9126 8242</t>
  </si>
  <si>
    <t>MANIK RAY</t>
  </si>
  <si>
    <t>4718 5768 2224</t>
  </si>
  <si>
    <t>7795 4788 6406</t>
  </si>
  <si>
    <t>ANSUR CHAKMA</t>
  </si>
  <si>
    <t>RANGA MARATTUA CHAKMA</t>
  </si>
  <si>
    <t>6723 7254 4797</t>
  </si>
  <si>
    <t>7848 7021 1217</t>
  </si>
  <si>
    <t>RAJADHAN HEMBRAM</t>
  </si>
  <si>
    <t>NARESH HEMBRAM</t>
  </si>
  <si>
    <t>NOK- SIANDEIHCINGI (WIFE)
S/O- NARESH HEMBROM
VILL- PALASI
PO- MASALIA, RANGA MASALIA
DIST- DUMKA
STATE- JHARKHAND
PS- MASALIA
PIN- 814167</t>
  </si>
  <si>
    <t>7721 8047 2246</t>
  </si>
  <si>
    <t>7819 4702 4881</t>
  </si>
  <si>
    <t>KIRAN SOREN</t>
  </si>
  <si>
    <t>6422 1234 9280</t>
  </si>
  <si>
    <t>3015 8621 7120</t>
  </si>
  <si>
    <t>BIRU KISKU</t>
  </si>
  <si>
    <t>BABULAL KIKSU</t>
  </si>
  <si>
    <t>9304 0002 3053</t>
  </si>
  <si>
    <t>7109 6894 1507</t>
  </si>
  <si>
    <t>SBIN0011813</t>
  </si>
  <si>
    <t>CHARLES BASKEY</t>
  </si>
  <si>
    <t>MAHADEO BASKEY</t>
  </si>
  <si>
    <t>8543 2509 3290</t>
  </si>
  <si>
    <t>7111 1427 2328</t>
  </si>
  <si>
    <t>BIPAN MARANDI</t>
  </si>
  <si>
    <t>BHAVESH MARANDI</t>
  </si>
  <si>
    <t>9978 2891 3415</t>
  </si>
  <si>
    <t>7841 0742 4665</t>
  </si>
  <si>
    <t>TINLIANPUAVA</t>
  </si>
  <si>
    <t>NANGLIANDOVA</t>
  </si>
  <si>
    <t>3183 7936 4335</t>
  </si>
  <si>
    <t>7954 2588 3904</t>
  </si>
  <si>
    <t>SUANZALALA</t>
  </si>
  <si>
    <t>THANGKHANPAUVA</t>
  </si>
  <si>
    <t>8197 3602 9856</t>
  </si>
  <si>
    <t>7953 9424 8190</t>
  </si>
  <si>
    <t>VANLALTAWNA</t>
  </si>
  <si>
    <t>3262 2018 1555</t>
  </si>
  <si>
    <t>7846 2672 9151</t>
  </si>
  <si>
    <t>VANLALLAWMSANGA</t>
  </si>
  <si>
    <t>LALREMRUATA</t>
  </si>
  <si>
    <t>5639 6984 7905</t>
  </si>
  <si>
    <t>7846 1614 2101</t>
  </si>
  <si>
    <t>LALNUNFELA</t>
  </si>
  <si>
    <t>LALDINTHARA</t>
  </si>
  <si>
    <t>8081 9464 6957</t>
  </si>
  <si>
    <t>7846 1663 5037</t>
  </si>
  <si>
    <t>EPHRAIM LALRAMROPUIA</t>
  </si>
  <si>
    <t>3220 7133 6255</t>
  </si>
  <si>
    <t>7846 1615 9148</t>
  </si>
  <si>
    <t>ABDUL MALIK LASKAR</t>
  </si>
  <si>
    <t>ISKAR ALI LASKAR</t>
  </si>
  <si>
    <t>8767 2175 2977</t>
  </si>
  <si>
    <t>7819 5768 2499</t>
  </si>
  <si>
    <t>BIAKHLUPUIA</t>
  </si>
  <si>
    <t>RAMTHANMAWIA</t>
  </si>
  <si>
    <t>NOK   : RAMTHANMAWIA (FATHER)
S/O   : RAMTHANMAWIA
Vill  : NEW HRUAIKAWN
PO    : NEW HRUAIKAWN
PS    : ZOKHAWTHAR
Dist  : CHAMPHAI
State : MIZORAM
Pin   : 796321</t>
  </si>
  <si>
    <t>3957 9598 4456</t>
  </si>
  <si>
    <t>7847 7289 2470</t>
  </si>
  <si>
    <t>SANDEEP KUMAR BHARATI</t>
  </si>
  <si>
    <t>BIHARI LAL</t>
  </si>
  <si>
    <t>5754 1683 8677</t>
  </si>
  <si>
    <t>SBIN0001096</t>
  </si>
  <si>
    <t>LALRUATCHHUNGI</t>
  </si>
  <si>
    <t>4801 0584 0702</t>
  </si>
  <si>
    <t>LALHANSDA</t>
  </si>
  <si>
    <t>SOMLAL HANSDA</t>
  </si>
  <si>
    <t>6331 3437 4603</t>
  </si>
  <si>
    <t>7836 6113 4420</t>
  </si>
  <si>
    <t>DILIP KUMAR RAY</t>
  </si>
  <si>
    <t>9522 7120 8986</t>
  </si>
  <si>
    <t>8856 3622 0457</t>
  </si>
  <si>
    <t>RUBIN HANSDA</t>
  </si>
  <si>
    <t>PALTAN HANSDA</t>
  </si>
  <si>
    <t>9274 4873 9903</t>
  </si>
  <si>
    <t>7928 3741 8878</t>
  </si>
  <si>
    <t>MONA SOREN</t>
  </si>
  <si>
    <t>BABUSHAL SORE</t>
  </si>
  <si>
    <t>6084 6895 8121</t>
  </si>
  <si>
    <t>7848 1787 3421</t>
  </si>
  <si>
    <t>SHIVA HEMBROM</t>
  </si>
  <si>
    <t>DEVAN HEMBROM</t>
  </si>
  <si>
    <t>7025 3794 5250</t>
  </si>
  <si>
    <t>7109 0479 3519</t>
  </si>
  <si>
    <t>SUKLAL MARANDI</t>
  </si>
  <si>
    <t>RAMESAL MARANDI</t>
  </si>
  <si>
    <t>5382 7402 9303</t>
  </si>
  <si>
    <t>7797 2337 6076</t>
  </si>
  <si>
    <t>JUBEL AHMED LASKAR</t>
  </si>
  <si>
    <t>ABDUL AHMED LASKAR</t>
  </si>
  <si>
    <t>ISHWAR MURMU</t>
  </si>
  <si>
    <t>4812 2503 2101</t>
  </si>
  <si>
    <t>7116 4504 1466</t>
  </si>
  <si>
    <t>SBIN0003418</t>
  </si>
  <si>
    <t>CHUTKA TUDU</t>
  </si>
  <si>
    <t>LURDHU TUDU</t>
  </si>
  <si>
    <t>5316 7572 9921</t>
  </si>
  <si>
    <t>7810 3559 8497</t>
  </si>
  <si>
    <t>SIMAL KISKU</t>
  </si>
  <si>
    <t>MISHIL KISKU</t>
  </si>
  <si>
    <t>8812 5883 5908</t>
  </si>
  <si>
    <t>8480 1255 3682</t>
  </si>
  <si>
    <t>ROHATAS SOREN</t>
  </si>
  <si>
    <t>RASIM SOREN</t>
  </si>
  <si>
    <t>4164 3432 6850</t>
  </si>
  <si>
    <t>7817 9552 6943</t>
  </si>
  <si>
    <t>HEMLAL HEMBRAM</t>
  </si>
  <si>
    <t>SAMLAL HEMBRAM</t>
  </si>
  <si>
    <t>6528 0716 0260</t>
  </si>
  <si>
    <t>7826 5873 0028</t>
  </si>
  <si>
    <t>PRAKASH HEMBROM</t>
  </si>
  <si>
    <t>8453 6913 8798</t>
  </si>
  <si>
    <t>7826 5766 1128</t>
  </si>
  <si>
    <t>MARSETA MURMU</t>
  </si>
  <si>
    <t>MANJHI MURMU</t>
  </si>
  <si>
    <t>3157 4694 2316</t>
  </si>
  <si>
    <t>7120 5302 7715</t>
  </si>
  <si>
    <t>GUDUWA HEMBROM</t>
  </si>
  <si>
    <t>BHOGAN HEMBROM</t>
  </si>
  <si>
    <t>5399 6083 2212</t>
  </si>
  <si>
    <t>7118 9706 0212</t>
  </si>
  <si>
    <t>SBIN0003515</t>
  </si>
  <si>
    <t>BABUDHAN MARANDI</t>
  </si>
  <si>
    <t>TURYA MARANDI</t>
  </si>
  <si>
    <t>5090 9639 3798</t>
  </si>
  <si>
    <t>7785 7845 1650</t>
  </si>
  <si>
    <t>MAHAVEER SOREN</t>
  </si>
  <si>
    <t>BABURAM SOREN</t>
  </si>
  <si>
    <t>7340 6591 8172</t>
  </si>
  <si>
    <t>7116 5303 6893</t>
  </si>
  <si>
    <t>FILIMAN MURMU</t>
  </si>
  <si>
    <t>BOSA MURMU</t>
  </si>
  <si>
    <t>6762 4861 4104</t>
  </si>
  <si>
    <t>7818 2842 7904</t>
  </si>
  <si>
    <t>PARWES HEMBRAM</t>
  </si>
  <si>
    <t>GOVIND HEMBRAM</t>
  </si>
  <si>
    <t>6969 9877 0141</t>
  </si>
  <si>
    <t>7822 8175 6055</t>
  </si>
  <si>
    <t>RAJKUMAR HEMBRAM</t>
  </si>
  <si>
    <t>HOPNA HEMBRAM</t>
  </si>
  <si>
    <t>4889 0273 2882</t>
  </si>
  <si>
    <t>7845 0972 6739</t>
  </si>
  <si>
    <t>DEBLAL HANSDA</t>
  </si>
  <si>
    <t>JOGDE HANSDA</t>
  </si>
  <si>
    <t>7734 3745 9997</t>
  </si>
  <si>
    <t>7110 5728 5281</t>
  </si>
  <si>
    <t>DILIP MURMU</t>
  </si>
  <si>
    <t>CHHUTAR MURMU</t>
  </si>
  <si>
    <t>7470 7827 4364</t>
  </si>
  <si>
    <t>6548 7556 6332</t>
  </si>
  <si>
    <t>BUDHU HASDA</t>
  </si>
  <si>
    <t>SUKHU HASDA</t>
  </si>
  <si>
    <t>7537 6559 6310</t>
  </si>
  <si>
    <t>7812 4099 8194</t>
  </si>
  <si>
    <t>BUDHINATH HEMBROM</t>
  </si>
  <si>
    <t>9482 2024 1918</t>
  </si>
  <si>
    <t>7849 0641 4436</t>
  </si>
  <si>
    <t>VALESHWAR HEMBRAM</t>
  </si>
  <si>
    <t>LILU HEMBRAM</t>
  </si>
  <si>
    <t>2617 3601 8518</t>
  </si>
  <si>
    <t>7836 9980 3638</t>
  </si>
  <si>
    <t>MARSEL HEMBROM</t>
  </si>
  <si>
    <t>DURGA HEMBROM</t>
  </si>
  <si>
    <t>8827 6217 9282</t>
  </si>
  <si>
    <t>7825 2128 6650</t>
  </si>
  <si>
    <t>SUSHIL HEMBRAM</t>
  </si>
  <si>
    <t>6570 8265 5061</t>
  </si>
  <si>
    <t>7825 5647 3776</t>
  </si>
  <si>
    <t>LAKHAN BHANDARI</t>
  </si>
  <si>
    <t>BHATU BHANDARI</t>
  </si>
  <si>
    <t>NOK- BHADU BHANDARI (FATHER)
S/O- BHATU BHANDARI
VILL- ASANBANI
POST- NOWARI
DIST- DUMKA
STATE- JHARKHAND
PS- DUMKA MUFFASIL
PIN- 814158</t>
  </si>
  <si>
    <t>7116 2285 3728</t>
  </si>
  <si>
    <t>7898 6163 8072</t>
  </si>
  <si>
    <t>SOPAN MURMU</t>
  </si>
  <si>
    <t>NOK- MUNGALI HASDA (WIFE)
S/O- SUHIL MURMU
VILL- MURBABANI
POST- PRATAPPUR
DIST- DUMKA
STATE- JHARKHAND
PS- RANISHWAR
PIN- 814148</t>
  </si>
  <si>
    <t>2007 4413 0306</t>
  </si>
  <si>
    <t>7841 0610 3256</t>
  </si>
  <si>
    <t>ONAR RAVI DAS</t>
  </si>
  <si>
    <t>TOPAN CHAKMA</t>
  </si>
  <si>
    <t>MOLENDRO</t>
  </si>
  <si>
    <t>3681 0763 8421</t>
  </si>
  <si>
    <t>ARVIN MURMU</t>
  </si>
  <si>
    <t>9835 7616 8276</t>
  </si>
  <si>
    <t>7847 9151 2539</t>
  </si>
  <si>
    <t>RAMESH PAL</t>
  </si>
  <si>
    <t>DEVEH PAL</t>
  </si>
  <si>
    <t>NOK   : DEVEH PAL (FATHER)
S/O   : DEVEH PAL
Vill  : JHILUWA
PO    : MASALIA
PS    : MASALIA
Dist  : DUMKA
State : JHARKHAND
Pin   : 814101</t>
  </si>
  <si>
    <t>9475 3129 8292</t>
  </si>
  <si>
    <t>7847 8943 9355</t>
  </si>
  <si>
    <t>SBIN0005548</t>
  </si>
  <si>
    <t>SUNIL MARANDI</t>
  </si>
  <si>
    <t>4743 8767 9674</t>
  </si>
  <si>
    <t>7847 6201 7111</t>
  </si>
  <si>
    <t>MITHUN RAY</t>
  </si>
  <si>
    <t>RAMVRIKSH RAY</t>
  </si>
  <si>
    <t>3064 2875 4920</t>
  </si>
  <si>
    <t>7876 9748 0183</t>
  </si>
  <si>
    <t>RUPDHAN KISKU</t>
  </si>
  <si>
    <t>KHARE KISKU</t>
  </si>
  <si>
    <t>4402 9935 3954</t>
  </si>
  <si>
    <t>7797 4798 9914</t>
  </si>
  <si>
    <t>SURUJ MARANDI</t>
  </si>
  <si>
    <t>NOK   : ONAR RAVI DAS  (HUSBAND)
W/O   : ONAR RAVI DAS 
Vill  : TILA BANI
PO    : ASAN BANI
PS    : RANISHWAR
Dist  : DUMKA
State : JHARKHAND
Pin   : 816118</t>
  </si>
  <si>
    <t>7841 3620 3012</t>
  </si>
  <si>
    <t>ROBERT RAMHMACHHUANA</t>
  </si>
  <si>
    <t>LALTHLANCHHUNGA</t>
  </si>
  <si>
    <t>7498 7241 0048</t>
  </si>
  <si>
    <t>NIRMAL RAUY</t>
  </si>
  <si>
    <t>RADHESHYAM RAY</t>
  </si>
  <si>
    <t>4213 2628 3324</t>
  </si>
  <si>
    <t>7103 5760 7108</t>
  </si>
  <si>
    <t>JOELA</t>
  </si>
  <si>
    <t>LALCHHUAHTHANGA</t>
  </si>
  <si>
    <t>8044  0037 0314</t>
  </si>
  <si>
    <t>LALTHATLUANGA</t>
  </si>
  <si>
    <t>8208 2599 6428</t>
  </si>
  <si>
    <t>ARUN KUMAR</t>
  </si>
  <si>
    <t>BUDHAN RAY</t>
  </si>
  <si>
    <t>NOK   : MALTI DEVI  (MOTHER)
S/O   : BUDHAN RAY
Vill  : DHAWADANGAL
PO    : RAJDAHA
PS    : KATHIKUND
Dist  : DUMKA
State : JHARKHAND
Pin   : 816117</t>
  </si>
  <si>
    <t>9471 9045 0058</t>
  </si>
  <si>
    <t>7817 9563 2677</t>
  </si>
  <si>
    <t>KALESHWAR RAY</t>
  </si>
  <si>
    <t>DEVAHI RAY</t>
  </si>
  <si>
    <t>9963 2393 7271</t>
  </si>
  <si>
    <t>SUNIL KOL</t>
  </si>
  <si>
    <t>MUNA KOL</t>
  </si>
  <si>
    <t>3878 5105 9414</t>
  </si>
  <si>
    <t>7848 1792 7755</t>
  </si>
  <si>
    <t>PAPPU KUMAR RAY</t>
  </si>
  <si>
    <t>2179 5668 6095</t>
  </si>
  <si>
    <t>7819 5826 1183</t>
  </si>
  <si>
    <t>SBIN0012539</t>
  </si>
  <si>
    <t>HARARAM RAY</t>
  </si>
  <si>
    <t>FAGU RAY</t>
  </si>
  <si>
    <t>6648 8781 1506</t>
  </si>
  <si>
    <t>7817 9565 7463</t>
  </si>
  <si>
    <t>ROSHAN</t>
  </si>
  <si>
    <t>LAL BHADHUR</t>
  </si>
  <si>
    <t>2111 7099 7351</t>
  </si>
  <si>
    <t>7812 1757 4110</t>
  </si>
  <si>
    <t>M.BIJEN SINGHA</t>
  </si>
  <si>
    <t>M. BROJENDRA SINGHA</t>
  </si>
  <si>
    <t>9860 0027 2482</t>
  </si>
  <si>
    <t>7812 1344 8914</t>
  </si>
  <si>
    <t>LAKHIRAM MURMU</t>
  </si>
  <si>
    <t>NIRMALA</t>
  </si>
  <si>
    <t>D/O. BIMLAL JOSHI</t>
  </si>
  <si>
    <t>2680 9945 4322</t>
  </si>
  <si>
    <t>7828 8851 8126</t>
  </si>
  <si>
    <t>DINESH HEMBROM</t>
  </si>
  <si>
    <t>MUNILAL HEMBROM</t>
  </si>
  <si>
    <t>8046 8205 4929</t>
  </si>
  <si>
    <t>7833 7457 4038</t>
  </si>
  <si>
    <t>SURAJ NAMASUDRA</t>
  </si>
  <si>
    <t>SANJAY NAMASUDRA</t>
  </si>
  <si>
    <t>4567 6797 4366</t>
  </si>
  <si>
    <t>7834 3942 7707</t>
  </si>
  <si>
    <t>BIJIT ROY</t>
  </si>
  <si>
    <t>DHIRENDRA ROY</t>
  </si>
  <si>
    <t>3336 2153 5661</t>
  </si>
  <si>
    <t>7829 2666 0363</t>
  </si>
  <si>
    <t>SANKAR PRASAD</t>
  </si>
  <si>
    <t>SHAMDEV PRASAD</t>
  </si>
  <si>
    <t>6417 7827 9936</t>
  </si>
  <si>
    <t>7825 4969 4125</t>
  </si>
  <si>
    <t>ROSHAN THAPA</t>
  </si>
  <si>
    <t>S.B.THAPA</t>
  </si>
  <si>
    <t>6906 7100 9182</t>
  </si>
  <si>
    <t>TRANSFER AS ON JAN 2025</t>
  </si>
  <si>
    <t>GOSPEL KANANTHARA</t>
  </si>
  <si>
    <t>C.L KHUMA</t>
  </si>
  <si>
    <t>2595 7954 1248</t>
  </si>
  <si>
    <t>7801 6771 7603</t>
  </si>
  <si>
    <t>6880-B</t>
  </si>
  <si>
    <t>BETALLAL HEMBROM</t>
  </si>
  <si>
    <t>MINILAL HEMBROM</t>
  </si>
  <si>
    <t>4461 5214 3796</t>
  </si>
  <si>
    <t>7819 4250 9176</t>
  </si>
  <si>
    <t>RUPAK SHARMA</t>
  </si>
  <si>
    <t>Lt. FONI BHUSHAN SHARMA</t>
  </si>
  <si>
    <t>4535 8300 4782</t>
  </si>
  <si>
    <t>MD. NASIM ANSARI</t>
  </si>
  <si>
    <t>20/01/1985</t>
  </si>
  <si>
    <t>MD.SARAFAT ANSARI</t>
  </si>
  <si>
    <t>3068 8673 7172</t>
  </si>
  <si>
    <t>Transfer from 71 RCC Mr No.132 wef 21-Dec-2025</t>
  </si>
  <si>
    <t>KANCHAN DAS</t>
  </si>
  <si>
    <t>KRIPENDRA CHANDRA DAS</t>
  </si>
  <si>
    <t>9064 0248 5728</t>
  </si>
  <si>
    <t>7101 8480 6349</t>
  </si>
  <si>
    <t>Transferred from 71RCC Mr No. 267 wef 21-Apr-2025 (F/N)</t>
  </si>
  <si>
    <t>RITESH KUMAR SEN</t>
  </si>
  <si>
    <t>DOODHNATH</t>
  </si>
  <si>
    <t>NOK-POOJA SHARMA (WIFE)
S/O-DOODHNATH
VILL-JANAUPUR
P.O-AHIMANE
DIST-SULTANPUR
PS-KOTWALI DEHAT
STATE-UTTAR PRADESH
PIN-228001</t>
  </si>
  <si>
    <t>2789 1615 1521</t>
  </si>
  <si>
    <t>7841 7056 5042</t>
  </si>
  <si>
    <t>SBIN0000188</t>
  </si>
  <si>
    <t>BUDILAL TUDU</t>
  </si>
  <si>
    <t>SURESH KISKU</t>
  </si>
  <si>
    <t>LALIT KISKU</t>
  </si>
  <si>
    <t>NOK-SUGGI HEMBROM (WIFE)
S/O - LALIT KISKU
VILLAGE -  DUDHUA
P.O-THARIHAT
P.S-RAMGARH
DISTRICT-DUMKA
STATE-JHARKHAND
Pin - 814158</t>
  </si>
  <si>
    <t>7893 2922 5804</t>
  </si>
  <si>
    <t>7843 3586 0886</t>
  </si>
  <si>
    <t>SBIN0003645</t>
  </si>
  <si>
    <t>PHILIP MURMU</t>
  </si>
  <si>
    <t>RAKHISHAL MURMU</t>
  </si>
  <si>
    <t>8865 0886 5640</t>
  </si>
  <si>
    <t>7834 9007 2938</t>
  </si>
  <si>
    <t>SUREN KUMAR SUBBHA</t>
  </si>
  <si>
    <t>DHANBIR SUBBHA</t>
  </si>
  <si>
    <t>4041 6205 1805</t>
  </si>
  <si>
    <t>TRANSFER FROM 71 RCC WEF 22 FEB 2033</t>
  </si>
  <si>
    <t>MAYAZUL HAQUE BARBHUIYA</t>
  </si>
  <si>
    <t>21/12/1972</t>
  </si>
  <si>
    <t>Lt. SAMUR UDDIN BARBHUIYA</t>
  </si>
  <si>
    <t>S/o Lt. SAMUR UDDIN BARBHUIYA
NoK - NUNNEHAR BEGAM (WIFE)
Vill - KACHUDARAM
Post - KACHUDARAM
Dist- CACHAR
PS- SONAI
STATE- ASSAM
PIN No- 788119</t>
  </si>
  <si>
    <t>9317 4998 9185</t>
  </si>
  <si>
    <t>7812 0362 7920</t>
  </si>
  <si>
    <t>SHANKU DAS</t>
  </si>
  <si>
    <t>RANJIT DAS</t>
  </si>
  <si>
    <t>SBIN0005922</t>
  </si>
  <si>
    <t>NIMA LAMA</t>
  </si>
  <si>
    <t>17/09/1972</t>
  </si>
  <si>
    <t>DAW LAMA</t>
  </si>
  <si>
    <t>NoK:- ANANG LAMA (WIFE)
Vill:- PASIGHAT, PO:- PASIGHAT,
PS:- PASIGHAT, DIST:- SIANG,
STATE:- ARUNACHAL PRADESH, PIN:- 791102</t>
  </si>
  <si>
    <t>SRIDAM ROY</t>
  </si>
  <si>
    <t>24/02/1994</t>
  </si>
  <si>
    <t>SUDHANGSHU ROY</t>
  </si>
  <si>
    <t>PINTU GHOSH</t>
  </si>
  <si>
    <t>N C GHOSH (L)</t>
  </si>
  <si>
    <t>5622 7933 9267</t>
  </si>
  <si>
    <t>TRANSFERRED FROM 71 RCC, DEC 2024</t>
  </si>
  <si>
    <t>URMILA DEVI</t>
  </si>
  <si>
    <t>W/o Lt. NANDLAL MIRDHA</t>
  </si>
  <si>
    <t>7121 2244 5805</t>
  </si>
  <si>
    <t>RECRUITED JUN 2024</t>
  </si>
  <si>
    <t>SEBEN SOREN</t>
  </si>
  <si>
    <t>BABLU SOREN</t>
  </si>
  <si>
    <t>MARCELIUS SOREN</t>
  </si>
  <si>
    <t>9240 7789 7892</t>
  </si>
  <si>
    <t>7856 3147 1650</t>
  </si>
  <si>
    <t>BACCHU SOREN</t>
  </si>
  <si>
    <t>7829 3579 8028</t>
  </si>
  <si>
    <t>RAVAN MURMU</t>
  </si>
  <si>
    <t>MASTER MURMU</t>
  </si>
  <si>
    <t>7842 1636 3526</t>
  </si>
  <si>
    <t>DANIYAL MURMU</t>
  </si>
  <si>
    <t>RAKHISOL MURMU</t>
  </si>
  <si>
    <t>7842 0853 4619</t>
  </si>
  <si>
    <t>SBIN0063857</t>
  </si>
  <si>
    <t>GAMBIR SINGH SONAR</t>
  </si>
  <si>
    <t>KAMAN SINGH SONAR</t>
  </si>
  <si>
    <t>7812 1392 4492</t>
  </si>
  <si>
    <t>KALESHAR HEMBARAM</t>
  </si>
  <si>
    <t>SHIVLAL HEMBARAM</t>
  </si>
  <si>
    <t>7820 0126 4067</t>
  </si>
  <si>
    <t>USHA DUTTA</t>
  </si>
  <si>
    <t>W/O. ALOK DUTTA</t>
  </si>
  <si>
    <t>7824 9402 8230</t>
  </si>
  <si>
    <t>SBIN0RRMIG</t>
  </si>
  <si>
    <t>BIJOY KUMAR NAMASUDRA</t>
  </si>
  <si>
    <t>SUKUMAR NAMASUDRA</t>
  </si>
  <si>
    <t>7825 2593 6492</t>
  </si>
  <si>
    <t>AJIT RAJBHAR</t>
  </si>
  <si>
    <t>HRIDAYNARAYAN</t>
  </si>
  <si>
    <t>7812 1045 9386</t>
  </si>
  <si>
    <t>KISNA PARSAD SHARMA</t>
  </si>
  <si>
    <t>SOMNATH SHARMA</t>
  </si>
  <si>
    <t>NoK:- KUSHAL SHARMA (SON)
Vill:- BRIGADE FIELD, PO:- BAWNGKAWN,
PS:- BAWNGKAWN, DIST:- AIZAWL,
STATE:- MIZORAM, PIN:- 796014</t>
  </si>
  <si>
    <t>7836 1359 0798</t>
  </si>
  <si>
    <t>NIDHU ROY</t>
  </si>
  <si>
    <t>8754 6117 9972</t>
  </si>
  <si>
    <t>7812 3052 4485</t>
  </si>
  <si>
    <t>RAMLAL HEMBROM</t>
  </si>
  <si>
    <t>5187 0017 1871</t>
  </si>
  <si>
    <t>7825 3386 4222</t>
  </si>
  <si>
    <t>GUNASINDHU DAS</t>
  </si>
  <si>
    <t>29/03/1972</t>
  </si>
  <si>
    <t>LT GOPESH CHANDRA DAS</t>
  </si>
  <si>
    <t>NoK:- MUKTA RANI DAS (WIFE)
Vill:- GOBINDAPUR PART-III
PO:- GOBINDAPUR (WEST)
PS:- KATIGORAH, DIST:- CACHAR,
STATE:- ASSAM, PIN:- 788804</t>
  </si>
  <si>
    <t>7812 1471 1367</t>
  </si>
  <si>
    <t>SEKHAR KUMAR SHARMA</t>
  </si>
  <si>
    <t>LT PHANI BHUSHAN SHARMA</t>
  </si>
  <si>
    <t>7812 1827 1268</t>
  </si>
  <si>
    <t>BAPPA ROY</t>
  </si>
  <si>
    <t>28/02/1974</t>
  </si>
  <si>
    <t>BARINDRO ROY</t>
  </si>
  <si>
    <t>NoK:- DIPALI RAI (WIFE)
Vill:- MEHER PUR, PO:- MEHER PUR
PS:- SILCHAR, DIST:- CACHAR,
STATE:- ASSAM, PIN:- 788015</t>
  </si>
  <si>
    <t>7812 0725 6816</t>
  </si>
  <si>
    <t>ROBAT JOY REANG</t>
  </si>
  <si>
    <t>BORSAIRAM REANG</t>
  </si>
  <si>
    <t>7812 3313 3828</t>
  </si>
  <si>
    <t>PARGANA ROY</t>
  </si>
  <si>
    <t>NARENDRA CHANDRA ROY</t>
  </si>
  <si>
    <t>7812 0942 6942</t>
  </si>
  <si>
    <t>SIMUL NAMASUDRA</t>
  </si>
  <si>
    <t>15/08/1986</t>
  </si>
  <si>
    <t>LT ANANTA NAMASUDRA</t>
  </si>
  <si>
    <t>7811 9891 6164</t>
  </si>
  <si>
    <t>PARAMVEER SINGH</t>
  </si>
  <si>
    <t>MALKEET SINGH</t>
  </si>
  <si>
    <t>8511 0599 4159</t>
  </si>
  <si>
    <t>7847 9253 1235</t>
  </si>
  <si>
    <t>SBIN0051080</t>
  </si>
  <si>
    <t>MANI NOMOSUDRA</t>
  </si>
  <si>
    <t>20/10/1988</t>
  </si>
  <si>
    <t>SAMAJIT NOMOSUDRA</t>
  </si>
  <si>
    <t>AMIN HEMBRAM</t>
  </si>
  <si>
    <t>Lt. SHKLA HEMBRAM</t>
  </si>
  <si>
    <t>PIJUSH ROY</t>
  </si>
  <si>
    <t>PRATIMAY ROY</t>
  </si>
  <si>
    <t>7925 6103 7781</t>
  </si>
  <si>
    <t>LAXMI SONAR</t>
  </si>
  <si>
    <t>D/O. LOB BAHADUR SONAR</t>
  </si>
  <si>
    <t>3168 4248 8208</t>
  </si>
  <si>
    <t>JANAKLAL KARMAKAR</t>
  </si>
  <si>
    <t>Lt. GOPI NATH KARMAKAR</t>
  </si>
  <si>
    <t>3334 6594 3559</t>
  </si>
  <si>
    <t>NARAYAN CHHETRI</t>
  </si>
  <si>
    <t>TEJ BAHADUR CHHETRI</t>
  </si>
  <si>
    <t>4104 5099 9925</t>
  </si>
  <si>
    <t>BIPUL ROY</t>
  </si>
  <si>
    <t>RAMJOY ROY</t>
  </si>
  <si>
    <t>2067 9893 4428</t>
  </si>
  <si>
    <t>MITON ROY</t>
  </si>
  <si>
    <t>Lt. BARINDRA ROY</t>
  </si>
  <si>
    <t>8605 6182 9868</t>
  </si>
  <si>
    <t>TING PAI DEN</t>
  </si>
  <si>
    <t>W/O. BIKHATI YAN HALAM</t>
  </si>
  <si>
    <t>4207 0468 0071</t>
  </si>
  <si>
    <t>VANLALRUATI</t>
  </si>
  <si>
    <t>D/O. DUHTHLIARI</t>
  </si>
  <si>
    <t>6215 1026 7922</t>
  </si>
  <si>
    <t>ARAMAN HUSAN ALI</t>
  </si>
  <si>
    <t>HUSSAIN ALI</t>
  </si>
  <si>
    <t>NoK:- AYASA BEGAM (MOTHER)
Vill:- RAJGOBINDAPUR, PO:- BHAGA BAZAR,
PS:- DHOLAI, DIST:- CACHAR,
STATE:- ASSAM, PIN:- 788120</t>
  </si>
  <si>
    <t>SANJAY TUDU</t>
  </si>
  <si>
    <t>SUDAN TUDU</t>
  </si>
  <si>
    <t>3672 0283 2414</t>
  </si>
  <si>
    <t>7846 9838 1356</t>
  </si>
  <si>
    <t>SBIN0006451</t>
  </si>
  <si>
    <t>BABLU HANSDA</t>
  </si>
  <si>
    <t>6059 6134 3372</t>
  </si>
  <si>
    <t>7846 7904 4934</t>
  </si>
  <si>
    <t>NARESH HEMBROM</t>
  </si>
  <si>
    <t>MASHU HEMBRAM</t>
  </si>
  <si>
    <t>8303 6692 3380</t>
  </si>
  <si>
    <t>7846 7939 2244</t>
  </si>
  <si>
    <t>PHOCHAN HEMBROM</t>
  </si>
  <si>
    <t>MUNSHI HEMBROM</t>
  </si>
  <si>
    <t>5402 3333 3941</t>
  </si>
  <si>
    <t>7842 6346 3940</t>
  </si>
  <si>
    <t>DARSHAN SOREN</t>
  </si>
  <si>
    <t>JETHA SOREN</t>
  </si>
  <si>
    <t>5178 8241 1818</t>
  </si>
  <si>
    <t>7846 8743 6202</t>
  </si>
  <si>
    <t>LUKAS HEMBRAM</t>
  </si>
  <si>
    <t>BABURAM HEMBRAM</t>
  </si>
  <si>
    <t>7424 0357 9043</t>
  </si>
  <si>
    <t>7795 5877 7056</t>
  </si>
  <si>
    <t>9404 5228 2947</t>
  </si>
  <si>
    <t>7836 1367 5614</t>
  </si>
  <si>
    <t>PRITAM RANJAN DAS</t>
  </si>
  <si>
    <t>5848 3324 0726</t>
  </si>
  <si>
    <t>7845 4331 4842</t>
  </si>
  <si>
    <t>N.RADHA RANI SINGAH</t>
  </si>
  <si>
    <t>W/O.N. BIRAMOHAN SINGHA</t>
  </si>
  <si>
    <t>5871 4387 4262</t>
  </si>
  <si>
    <t>7842 5354 9187</t>
  </si>
  <si>
    <t>AJAY SHARMA</t>
  </si>
  <si>
    <t>LT HARIHAR SHARMA</t>
  </si>
  <si>
    <t>7811 7688 2955</t>
  </si>
  <si>
    <t>MAHADEV DAS</t>
  </si>
  <si>
    <t>Lt. MONORANJAN DAS</t>
  </si>
  <si>
    <t>7812 0588 3896</t>
  </si>
  <si>
    <t>RAJESH SINGHA</t>
  </si>
  <si>
    <t>NILDHAN SINGHA</t>
  </si>
  <si>
    <t>7811 9754 5646</t>
  </si>
  <si>
    <t>ASHOK ROY</t>
  </si>
  <si>
    <t>RAJKUMAR ROY</t>
  </si>
  <si>
    <t>2585 7651 3052</t>
  </si>
  <si>
    <t>7821 1351 4642</t>
  </si>
  <si>
    <t>MADAN HANSDA</t>
  </si>
  <si>
    <t>SONALAL HANSDA</t>
  </si>
  <si>
    <t>8994 1198 7813</t>
  </si>
  <si>
    <t>JAL HANSDA</t>
  </si>
  <si>
    <t>SURENDAR HANSDA</t>
  </si>
  <si>
    <t>NOK-MONISHA MURMU (WIFE)
S/O-SURENDAR HANSDA
VILLAGE - BANDAR JORI
P.O-AMBA JARUWADIH
P.S-JARMUNDI
DISTRICT-DUMKA
STATE-JHARKHAND
Pin - 814141</t>
  </si>
  <si>
    <t>2582 5756 7463</t>
  </si>
  <si>
    <t>7117 1119 1150</t>
  </si>
  <si>
    <t>SUBARNA RANI ROY</t>
  </si>
  <si>
    <t>W.O. ASHOK ROY</t>
  </si>
  <si>
    <t>3016 1273 8726</t>
  </si>
  <si>
    <t>7849 1985 2117</t>
  </si>
  <si>
    <t>6865 6774 0814</t>
  </si>
  <si>
    <t>7821 4746 7270</t>
  </si>
  <si>
    <t>JETHA MURMU</t>
  </si>
  <si>
    <t>223 3647 2159</t>
  </si>
  <si>
    <t>7841 1695 6262</t>
  </si>
  <si>
    <t>SHANKAR BALMIKI DAS</t>
  </si>
  <si>
    <t>17/05/1992</t>
  </si>
  <si>
    <t>GOPAL BALMIKI DAS</t>
  </si>
  <si>
    <t>PRANAY KUMAR NATH</t>
  </si>
  <si>
    <t>Lt. PULIN BIHARI NATH</t>
  </si>
  <si>
    <t>NoK:- SHAMPA NATH (WIFE)
Vill:- NUTAN BAZAR, PO:- NASINGPUR,
PS:- DHOLAI, DIST:- CACHAR,
STATE:- ASSAM, PIN:- 788115</t>
  </si>
  <si>
    <t>MOHAN HASDA</t>
  </si>
  <si>
    <t>19/07/1984</t>
  </si>
  <si>
    <t>Lt. KANDAYA HASDA</t>
  </si>
  <si>
    <t>Th. SUBAL SINGHA</t>
  </si>
  <si>
    <t>31/10/1982</t>
  </si>
  <si>
    <t>Lt. Th. GOURCHANDRA SINGHA</t>
  </si>
  <si>
    <t>PRANAY ROY</t>
  </si>
  <si>
    <t>CHITTARANJAN ROY</t>
  </si>
  <si>
    <t>SIBU DAS</t>
  </si>
  <si>
    <t>17/03/1996</t>
  </si>
  <si>
    <t>Lt. CHARITRA MOHAN DAS</t>
  </si>
  <si>
    <t>ANIL KUMAR SHARMA</t>
  </si>
  <si>
    <t>Lt. RAMAKANT SHARMA</t>
  </si>
  <si>
    <t>S/O Lt. RAMAKANT SHARMA
NoK - Indu Devi (Wife)
Vill - Chakki
Post - Chakki
Dist- Buxar
PS- Bramhpur
STATE- Bihar
PIN No- 802120</t>
  </si>
  <si>
    <t>6076 3358 6324</t>
  </si>
  <si>
    <t>D/O. T. MAILA</t>
  </si>
  <si>
    <t>7930 4990 1046</t>
  </si>
  <si>
    <t>7836 5438 8226</t>
  </si>
  <si>
    <t>PANCHAMI MISHRA</t>
  </si>
  <si>
    <t>W/O. MANJAN MISHRA</t>
  </si>
  <si>
    <t>NOK-DIBAKAR (SON)
W/O MANJAN MISHRA
VILLAGE -  NAYABILL
P.O-BARJALENGA
P.S-DHOLAI
DISTRICT-CACHAR
STATE-ASSAM
Pin - 788117</t>
  </si>
  <si>
    <t>8403 1053 8955</t>
  </si>
  <si>
    <t>KRISHNA CHETRI</t>
  </si>
  <si>
    <t>9923 0039 4110</t>
  </si>
  <si>
    <t>NANDA KUMARI</t>
  </si>
  <si>
    <t>D/O T.B.THAPA</t>
  </si>
  <si>
    <t>9945 4267 0512</t>
  </si>
  <si>
    <t>7825 1365 0405</t>
  </si>
  <si>
    <t>BASANTI GUMA</t>
  </si>
  <si>
    <t>24/09/1979</t>
  </si>
  <si>
    <t>W/o LEMA GUMA</t>
  </si>
  <si>
    <t>3564 7658 9802</t>
  </si>
  <si>
    <t>7825 6958 5339</t>
  </si>
  <si>
    <t>RECRUITED JUL 2024</t>
  </si>
  <si>
    <t>MITHUN ROY</t>
  </si>
  <si>
    <t>8975 3844 3407</t>
  </si>
  <si>
    <t>7121 1077 4071</t>
  </si>
  <si>
    <t>ISLAM UDDIN CHOUDHURY</t>
  </si>
  <si>
    <t>31/12/1985</t>
  </si>
  <si>
    <t>ABDUL RASHID CHOUDHURY</t>
  </si>
  <si>
    <t>4257 6633 8819</t>
  </si>
  <si>
    <t>7101 5305 9933</t>
  </si>
  <si>
    <t>SBIN0000087</t>
  </si>
  <si>
    <t>M. SATYAJIT SINGHA</t>
  </si>
  <si>
    <t>MEINAM CHINGLEN SINGHA</t>
  </si>
  <si>
    <t>7284 5738 1822</t>
  </si>
  <si>
    <t>BIDHAN ROY</t>
  </si>
  <si>
    <t>BROJO KISHOR ROY</t>
  </si>
  <si>
    <t>9449 8909 7263</t>
  </si>
  <si>
    <t>TRANSFER FROM 71 RCC WEF 22 FEB 2026</t>
  </si>
  <si>
    <t>KAUSHIK MALAKAR</t>
  </si>
  <si>
    <t>Lt. KRIPAMAY MALAKAR</t>
  </si>
  <si>
    <t>3864 9599 8581</t>
  </si>
  <si>
    <t>TRANSFER FROM 71 RCC WEF 22 FEB 2024</t>
  </si>
  <si>
    <t>RAM MANI MOLSOM</t>
  </si>
  <si>
    <t>TARANI BADUR MOLSOM</t>
  </si>
  <si>
    <t>9534 0671 3460</t>
  </si>
  <si>
    <t>SAHEB ANSARI</t>
  </si>
  <si>
    <t>MANJUR ALAM</t>
  </si>
  <si>
    <t>6630 5591 7945</t>
  </si>
  <si>
    <t>6523 6054 781</t>
  </si>
  <si>
    <t>SAHIL ANSARI</t>
  </si>
  <si>
    <t>MANJUR ANSARI</t>
  </si>
  <si>
    <t>3346 2631 3284</t>
  </si>
  <si>
    <t>7846 2095 8610</t>
  </si>
  <si>
    <t>MANOJ TUDU</t>
  </si>
  <si>
    <t>MANJHI TUDU</t>
  </si>
  <si>
    <t>3054 3914 7393</t>
  </si>
  <si>
    <t>7797 3972 7923</t>
  </si>
  <si>
    <t>DILU RANA</t>
  </si>
  <si>
    <t>LT. MOTI RAM</t>
  </si>
  <si>
    <t>6028 4900 1087</t>
  </si>
  <si>
    <t>7811 9864 5397</t>
  </si>
  <si>
    <t>TUFAN ANSARI</t>
  </si>
  <si>
    <t>IRFAN ANSARI</t>
  </si>
  <si>
    <t>7244 3595 9809</t>
  </si>
  <si>
    <t>RUPLAL SOREN</t>
  </si>
  <si>
    <t>MANJHI SOREN</t>
  </si>
  <si>
    <t>8473 9820 7463</t>
  </si>
  <si>
    <t>7831 4340 2625</t>
  </si>
  <si>
    <t>DIBAKAR PAUL</t>
  </si>
  <si>
    <t>DIGENDRA CANDRA PAUL</t>
  </si>
  <si>
    <t>S/O DIGENDRA CANDRA PAUL
NoK - Monika Paul (Wife)
Vill - Jibangram
Post - Dholai
Dist- Cachar
PS- Dholai
STATE- Assam
PIN No- 788114</t>
  </si>
  <si>
    <t>3718 3031 9227</t>
  </si>
  <si>
    <t>SANGITA SHARMA</t>
  </si>
  <si>
    <t>W/O. RUPAK SHARMA</t>
  </si>
  <si>
    <t>7827 7684 9555</t>
  </si>
  <si>
    <t>JHARNA ROY</t>
  </si>
  <si>
    <t>W/O. PARGANA ROY</t>
  </si>
  <si>
    <t>7822 8794 9702</t>
  </si>
  <si>
    <t>KAVITA GHOSH</t>
  </si>
  <si>
    <t>W/O. PINTU GHOSH</t>
  </si>
  <si>
    <t>7812 1362 2979</t>
  </si>
  <si>
    <t>RUBI MAYA SONAR</t>
  </si>
  <si>
    <t>W/O. KISHNA SHARMA</t>
  </si>
  <si>
    <t>7825 2444 2707</t>
  </si>
  <si>
    <t>BIKHATI YAN HALAM</t>
  </si>
  <si>
    <t>LALNAIMUL HALAM</t>
  </si>
  <si>
    <t>7812 1161 3598</t>
  </si>
  <si>
    <t>RAJU CHAKRABORTY</t>
  </si>
  <si>
    <t>PRIYOLAL CHAKRABORTY</t>
  </si>
  <si>
    <t>7102 6344 6876</t>
  </si>
  <si>
    <t>SONALAL SOREN</t>
  </si>
  <si>
    <t>MATHURA SOREN</t>
  </si>
  <si>
    <t>7819 8222 9621</t>
  </si>
  <si>
    <t>RAKISHOL HEMBARAM</t>
  </si>
  <si>
    <t>SHITAL HEMBARAM</t>
  </si>
  <si>
    <t>7835 6787 0769</t>
  </si>
  <si>
    <t>BABULAL HANSDA</t>
  </si>
  <si>
    <t>7811 1179 1425</t>
  </si>
  <si>
    <t>SWAPAN CHANDRA DAS</t>
  </si>
  <si>
    <t>31.08.1977</t>
  </si>
  <si>
    <t>Lt. LANI MOHAN DAS</t>
  </si>
  <si>
    <t>9985 6602 7358</t>
  </si>
  <si>
    <t>7812 1170 5297</t>
  </si>
  <si>
    <t>SBIN0017222</t>
  </si>
  <si>
    <t>Transferred from Mr No. 71 RCC/249/ 2026 w.e.f 21-Apr-2026 (F/N)</t>
  </si>
  <si>
    <t>SBIN0007034</t>
  </si>
  <si>
    <t>JHUMUR NATH</t>
  </si>
  <si>
    <t>15.01.1990</t>
  </si>
  <si>
    <t>Lt. JITESH NATH</t>
  </si>
  <si>
    <t>2791 3350 2309</t>
  </si>
  <si>
    <t>7811 9864 2055</t>
  </si>
  <si>
    <t>BEDANTA NATH</t>
  </si>
  <si>
    <t>Lt. BIJOY NATH</t>
  </si>
  <si>
    <t>8447 2303 1769</t>
  </si>
  <si>
    <t>7811 9856 0803</t>
  </si>
  <si>
    <t>KISHOR PAUL</t>
  </si>
  <si>
    <t>KIRENDRA PAUL</t>
  </si>
  <si>
    <t>6101 6081 7926</t>
  </si>
  <si>
    <t>7103 6049 6379</t>
  </si>
  <si>
    <t>KASHOR KUMAR</t>
  </si>
  <si>
    <t>R.P JOSHI</t>
  </si>
  <si>
    <t>Vill : Falkland
PO : Zemabawk
PS : Bawngkawn
Dist : Aizawl
State : Mizoram
Pin : 796017</t>
  </si>
  <si>
    <t>4145 4428 5554</t>
  </si>
  <si>
    <t>7812 1524 6710</t>
  </si>
  <si>
    <t>INDRA PRASAD SHARMA</t>
  </si>
  <si>
    <t>Lt. RANGALAL SHARMA</t>
  </si>
  <si>
    <t>Vill : Toripuam
PO : Bhanga Mandir
PS : Barsola
Dist : Saintpura
State : Assam
Pin : 784001</t>
  </si>
  <si>
    <t>9291 1374 9126</t>
  </si>
  <si>
    <t>7812 2316 7545</t>
  </si>
  <si>
    <t>SABUL ROY</t>
  </si>
  <si>
    <t>Lt. DINUMONI ROY</t>
  </si>
  <si>
    <t>8900 0367 3367</t>
  </si>
  <si>
    <t>7812 3933 6473</t>
  </si>
  <si>
    <t>GANGA DHAR RAIKA</t>
  </si>
  <si>
    <t>LT. NARAYAN DHAR RAIKA</t>
  </si>
  <si>
    <t>Vill : Dombada
PO : Dombada
PS : Barampur
Dist : Bhuneswar
State : Odisha
Pin : 761212</t>
  </si>
  <si>
    <t>7963 8599 1604</t>
  </si>
  <si>
    <t>7812 2456 4004</t>
  </si>
  <si>
    <t>M. NANDA SINGHA</t>
  </si>
  <si>
    <t>Lt. MOINA BABU SINGHA</t>
  </si>
  <si>
    <t>7006 7374 9368</t>
  </si>
  <si>
    <t>7812 0471 7014</t>
  </si>
  <si>
    <t>KHALIL UDDIN BARBHUIYA</t>
  </si>
  <si>
    <t>Lt. ANFAR ALI BARBHUIYA</t>
  </si>
  <si>
    <t>Vill : Uttar Krishna Pur
PO : Uttar Krishna Pur
PS : Silchar
Dist : Cachar
State : Assam
Pin : 788006</t>
  </si>
  <si>
    <t>2643 1056 4230</t>
  </si>
  <si>
    <t>7812 0346 8619</t>
  </si>
  <si>
    <t>APARNA CHAKRABORTY</t>
  </si>
  <si>
    <t>W.O. RAJU CHAKRABORTY</t>
  </si>
  <si>
    <t>9899 6071 5877</t>
  </si>
  <si>
    <t>7102 6486 5718</t>
  </si>
  <si>
    <t>Lt. KATKI MANJHI</t>
  </si>
  <si>
    <t>Vill : Shyamacharan Pur
PO : Bhaga Bazar
PS : Dholai
Dist : Cachar
State : Assam
Pin : 788120</t>
  </si>
  <si>
    <t>5213 0647 1936</t>
  </si>
  <si>
    <t>7812 0202 7318</t>
  </si>
  <si>
    <t>H. KESO KUMAR</t>
  </si>
  <si>
    <t>H. BIRA SINGHA</t>
  </si>
  <si>
    <t>8645 0878 3497</t>
  </si>
  <si>
    <t>7812 1456 3241</t>
  </si>
  <si>
    <t>ASHOK SHARMA</t>
  </si>
  <si>
    <t>HARIHAR SHARMA</t>
  </si>
  <si>
    <t>Vill : Iswar Pura
PO : Iswar Pura Milki
PS : Iswar Pura
Dist : Bhojpur
State : Bihar
Pin : 802112</t>
  </si>
  <si>
    <t>9275 1502 3498</t>
  </si>
  <si>
    <t>7812 1246 6782</t>
  </si>
  <si>
    <t>OM PRAKASH TUDU</t>
  </si>
  <si>
    <t>ANAND TUDU</t>
  </si>
  <si>
    <t>AISHI SOREN</t>
  </si>
  <si>
    <t>DUGARU SOREN</t>
  </si>
  <si>
    <t>RAJAN TUDU</t>
  </si>
  <si>
    <t>JYOTIN TUDU</t>
  </si>
  <si>
    <t>MONA DAS</t>
  </si>
  <si>
    <t>W/o. BISHWAJIT DAS</t>
  </si>
  <si>
    <t>RAJIB ROY</t>
  </si>
  <si>
    <t>HARO KUMAR ROY</t>
  </si>
  <si>
    <t>PARAMESHOUR PAHARIYA</t>
  </si>
  <si>
    <t>DOSA PAHARIYA</t>
  </si>
  <si>
    <t>PHIRZASUNGI</t>
  </si>
  <si>
    <t>TUANCHUNGNUNGA</t>
  </si>
  <si>
    <t>CHHOTULAL RAY</t>
  </si>
  <si>
    <t>SURAJ RAY</t>
  </si>
  <si>
    <t>SHASHI RAY</t>
  </si>
  <si>
    <t>BADDHAN HEMBROM</t>
  </si>
  <si>
    <t>CHUNKU RANA</t>
  </si>
  <si>
    <t>ABILA MARANDI</t>
  </si>
  <si>
    <t>BINOD HEMBROM</t>
  </si>
  <si>
    <t>STEFAN HANSDA</t>
  </si>
  <si>
    <t>FUDAN MARANDI</t>
  </si>
  <si>
    <t>BUDHAN HEMBROM</t>
  </si>
  <si>
    <t>CHANDRA MOHAN RAY</t>
  </si>
  <si>
    <t>YOGENDRA RAY</t>
  </si>
  <si>
    <t>RAJU KUMAR RAI</t>
  </si>
  <si>
    <t>RAMESHWAR RAY</t>
  </si>
  <si>
    <t>RAM KUMAR RAI</t>
  </si>
  <si>
    <t>FOJENDAR RAY</t>
  </si>
  <si>
    <t>JALDAR RAY</t>
  </si>
  <si>
    <t>RAMU RAY</t>
  </si>
  <si>
    <t>CHINGSAN VUNGI</t>
  </si>
  <si>
    <t>SURAJ KUMAR SINGHA</t>
  </si>
  <si>
    <t>EMANUEL HEMBROM</t>
  </si>
  <si>
    <t>BEDHNATH HANSDA</t>
  </si>
  <si>
    <t>MANESHAL BESRA</t>
  </si>
  <si>
    <t>PREM BASKI</t>
  </si>
  <si>
    <t>HOPANTA HANSDA</t>
  </si>
  <si>
    <t>DIMLIANTINGI</t>
  </si>
  <si>
    <t>DIMDOMANI</t>
  </si>
  <si>
    <t>SUMAN MARANDI</t>
  </si>
  <si>
    <t>SATO RAY</t>
  </si>
  <si>
    <t>NGEMMAN LIAN</t>
  </si>
  <si>
    <t>RABINDRA SINGHA</t>
  </si>
  <si>
    <t>SOBAN HEMBROM</t>
  </si>
  <si>
    <t>BATESHWAR MARANDI</t>
  </si>
  <si>
    <t>RAM BASKI</t>
  </si>
  <si>
    <t>NOREN HANSDA</t>
  </si>
  <si>
    <t>KHANSUTA</t>
  </si>
  <si>
    <t>SUANGKHENMUNGA</t>
  </si>
  <si>
    <t>KHAMZANGINA</t>
  </si>
  <si>
    <t>UBIN0540765</t>
  </si>
  <si>
    <t>MWNDAO SWARGIARY</t>
  </si>
  <si>
    <t>DULALSWAR GIARY</t>
  </si>
  <si>
    <t>RUPLAL HANSDA</t>
  </si>
  <si>
    <t>SHIV BESRA</t>
  </si>
  <si>
    <t>LAL KISHOR KISKU</t>
  </si>
  <si>
    <t>PASAND KISKU</t>
  </si>
  <si>
    <t>SUANGKEHNNUNGA</t>
  </si>
  <si>
    <t>16/16/1992</t>
  </si>
  <si>
    <t>SUSHTI RANA</t>
  </si>
  <si>
    <t>SBIN0003883</t>
  </si>
  <si>
    <t>BIMAL HEMBROM</t>
  </si>
  <si>
    <t>NOK: JAYDEV RAY (FATHER)
S/O: JAYDEV RAY
VILL: PAKPAHADI
P-O: BILKANDI
DIST: DUMKA
STATE: JHARKHAND
P-S: RANISHWAR
PIN: 814144</t>
  </si>
  <si>
    <t>2048 8368 0585</t>
  </si>
  <si>
    <t>7815 3929 8512</t>
  </si>
  <si>
    <t>6262 1299 8116</t>
  </si>
  <si>
    <t>9780 8775 1398</t>
  </si>
  <si>
    <t>7836 0617 9747</t>
  </si>
  <si>
    <t>5464 3421 0127</t>
  </si>
  <si>
    <t>NOK: MARSHILA SOREN (WIFE)
S/O: ANAND TUDU
VILL: LAKAD PAHARI
P-O: BHURKUNDA
DIST: DUMKA
STATE: JHARKHAND
P-S: DUMKA MUFSILL
PIN: 814158</t>
  </si>
  <si>
    <t>6961 3647 7672</t>
  </si>
  <si>
    <t>7849 3747 9358</t>
  </si>
  <si>
    <t>8223 0482 5960</t>
  </si>
  <si>
    <t>7112 4716 8470</t>
  </si>
  <si>
    <t>7660 6240 2709</t>
  </si>
  <si>
    <t>7849 4513 5036</t>
  </si>
  <si>
    <t>5690 6079 1160</t>
  </si>
  <si>
    <t>7812 0985 7265</t>
  </si>
  <si>
    <t>2529 6472 6696</t>
  </si>
  <si>
    <t>7849 5029 7569</t>
  </si>
  <si>
    <t>3962 5952 3399</t>
  </si>
  <si>
    <t>7833 2491 0341</t>
  </si>
  <si>
    <t>NOK: ROSHANI RAY (WIFE)
S/O: RAM KUMAR
VILL: THINGSUL TLANGNUAM
P-O: THINGSULTHLIAH
DIST: AIZAWL
STATE: MIZORAM
P-S: SELING
PIN: 796161</t>
  </si>
  <si>
    <t>3029 1486 8051</t>
  </si>
  <si>
    <t>7813 3426 9094</t>
  </si>
  <si>
    <t>5016 1486 2435</t>
  </si>
  <si>
    <t>7817 4256 6266</t>
  </si>
  <si>
    <t>4149 1479 9212</t>
  </si>
  <si>
    <t>4941 3617 0218</t>
  </si>
  <si>
    <t>7849 5865 7688</t>
  </si>
  <si>
    <t>6798 5878 3363</t>
  </si>
  <si>
    <t>7821 1613 7548</t>
  </si>
  <si>
    <t>NOK: SNEHA MODAK (WIFE)
S/O: MR UTTAM ROY
VILL: SRIKONA GRANT
P-O: SRIKONA GRANT
DIST: CACHAR
STATE: ASSAM
P-S: SILCHAR
PIN: 788026</t>
  </si>
  <si>
    <t>8381 7381 5705</t>
  </si>
  <si>
    <t>9774 1890 8362</t>
  </si>
  <si>
    <t>7849 6573 9756</t>
  </si>
  <si>
    <t>3065 5394 2186</t>
  </si>
  <si>
    <t>7831 1930 0613</t>
  </si>
  <si>
    <t>6675 3288 0120</t>
  </si>
  <si>
    <t>7390 1440 1230</t>
  </si>
  <si>
    <t>6428 3390 8749</t>
  </si>
  <si>
    <t>7107 4231 7018</t>
  </si>
  <si>
    <t>3836 6798 1350</t>
  </si>
  <si>
    <t>7819 9534 9184</t>
  </si>
  <si>
    <t>3803 9459 7556</t>
  </si>
  <si>
    <t>7818 7204 5534</t>
  </si>
  <si>
    <t>4344 1488 5336</t>
  </si>
  <si>
    <t>7825 3278 7032</t>
  </si>
  <si>
    <t>9652 8499 3014</t>
  </si>
  <si>
    <t>7811 0611 7649</t>
  </si>
  <si>
    <t>5859 7530 6680</t>
  </si>
  <si>
    <t>7811 0614 3502</t>
  </si>
  <si>
    <t>4581 8484 0999</t>
  </si>
  <si>
    <t>7849 9926 7882</t>
  </si>
  <si>
    <t>NOK: CHORKI MARANDI (MOTHER)
S/O: BADDHAN HEMBROM
VILL: DEWAN BARI
P-O: RANI BAHAL
DIST: DUMKA
STATE: JHARKHAND
P-S: MASSANJORE
PIN: 814144</t>
  </si>
  <si>
    <t>7871 8034 1547</t>
  </si>
  <si>
    <t>7849 0409 6242</t>
  </si>
  <si>
    <t>NOK: PADA RANA (MOTHER)
S/O: CHUNKU RANA
VILL: DEWAN BARI
P-O: RANI BAHAL
DIST: DUMKA
STATE: JHARKHAND
P-S: MASSANJORE
PIN: 814144</t>
  </si>
  <si>
    <t>7229 5654 6896</t>
  </si>
  <si>
    <t>7849 0421 1131</t>
  </si>
  <si>
    <t>7178 4257 1632</t>
  </si>
  <si>
    <t>7819 5737 9447</t>
  </si>
  <si>
    <t>9433 4916 5110</t>
  </si>
  <si>
    <t>7819 5464 7556</t>
  </si>
  <si>
    <t>NOK: ANIL HANSDA (FATHER)
S/O: ANIL HANSDA
VILL: DEWANBARI
P-O: RANI BAHAL
DIST: DUMKA
STATE: JHARKHAND
P-S: MASSANJORE
PIN: 814144</t>
  </si>
  <si>
    <t>4972 1096 0263</t>
  </si>
  <si>
    <t>9001 7485 7400</t>
  </si>
  <si>
    <t>8458 2260 4333</t>
  </si>
  <si>
    <t>8080 2956 7290</t>
  </si>
  <si>
    <t>NOK: PANCHAMI SWARGIARY (WIFE)
S/O: DULAL SWARGIARY
VILL: JUGIBIL
P-O: UROHILOGA
DIST: SONITPUR
STATE: ASSAM
P-S: RANGAPARA
PIN: 784505</t>
  </si>
  <si>
    <t>9791 0493 1862</t>
  </si>
  <si>
    <t>7820 4237 2196</t>
  </si>
  <si>
    <t>RABI GOALA</t>
  </si>
  <si>
    <t>BOLO GOALA</t>
  </si>
  <si>
    <t>SUSHIL KUMAR KALAI</t>
  </si>
  <si>
    <t>LALCHHANDAMI</t>
  </si>
  <si>
    <t>JANET LALREMRUATI</t>
  </si>
  <si>
    <t>AARIF ANSARI</t>
  </si>
  <si>
    <t>SONJIB NAMASUDRA</t>
  </si>
  <si>
    <t>AZAZ ANSARI</t>
  </si>
  <si>
    <t>SEN KUMAR KALAI</t>
  </si>
  <si>
    <t>D/O. LALHMINGTHANGA</t>
  </si>
  <si>
    <t>D/O. LALZAWMLIANI</t>
  </si>
  <si>
    <t>NANDU NOMOSUDRA</t>
  </si>
  <si>
    <t>SOBRATI MIYAN</t>
  </si>
  <si>
    <t>SARIF ANSARI</t>
  </si>
  <si>
    <t>LALDINCHHUAHA</t>
  </si>
  <si>
    <t>LALHMUAKLIANA</t>
  </si>
  <si>
    <t>VANLALFAKA</t>
  </si>
  <si>
    <t>LALNGHAWRLIANA</t>
  </si>
  <si>
    <t>C.LALRINFELA</t>
  </si>
  <si>
    <t>RAMNUNSANGA</t>
  </si>
  <si>
    <t>LALHRIATPUIA</t>
  </si>
  <si>
    <t>LALMALSAWMI</t>
  </si>
  <si>
    <t>LALDAIA</t>
  </si>
  <si>
    <t>SANGTHUAMA</t>
  </si>
  <si>
    <t>LAINAWLA</t>
  </si>
  <si>
    <t>SANGHNUNA</t>
  </si>
  <si>
    <t>LALPANKIMA</t>
  </si>
  <si>
    <t>LALHMINGTHANGA</t>
  </si>
  <si>
    <t>VANNEIHSANGA</t>
  </si>
  <si>
    <t>UTPAL MUMRU</t>
  </si>
  <si>
    <t>ABILAS BASKEY</t>
  </si>
  <si>
    <t>RAKESH KUMAR RAY</t>
  </si>
  <si>
    <t>PRAVIN RAY</t>
  </si>
  <si>
    <t>SADHU RAY</t>
  </si>
  <si>
    <t>LAKSHMAN RAY</t>
  </si>
  <si>
    <t>SKD-II/CPDVR</t>
  </si>
  <si>
    <t>ELEN BASKI</t>
  </si>
  <si>
    <t>CHARAN MURMU</t>
  </si>
  <si>
    <t>ISMAYAL MURMU</t>
  </si>
  <si>
    <t>SOM BASKI</t>
  </si>
  <si>
    <t>BAIJAL MURMU</t>
  </si>
  <si>
    <t>GANPAT MURMU</t>
  </si>
  <si>
    <t>BIJOY BESRA</t>
  </si>
  <si>
    <t>BABUJON BASKI</t>
  </si>
  <si>
    <t>MITHU HEMRAM</t>
  </si>
  <si>
    <t>BISHWAJIT TUDU</t>
  </si>
  <si>
    <t>MANEL MARANDI</t>
  </si>
  <si>
    <t>PINTU HEMRAM</t>
  </si>
  <si>
    <t>ARJUN SINGH</t>
  </si>
  <si>
    <t>LAKHU RAY</t>
  </si>
  <si>
    <t>KARTIK RAY</t>
  </si>
  <si>
    <t>SANATAN BESRA</t>
  </si>
  <si>
    <t>DHENA BASKI</t>
  </si>
  <si>
    <t>MASANG HEMRAM</t>
  </si>
  <si>
    <t>CHATUR TUDU</t>
  </si>
  <si>
    <t>KALI MARNADI</t>
  </si>
  <si>
    <t>MAJU HEMRAM</t>
  </si>
  <si>
    <t>KATKI SINGH</t>
  </si>
  <si>
    <t>BIRBAL RAY</t>
  </si>
  <si>
    <t>BOLOMALIK RAY</t>
  </si>
  <si>
    <t>GOBARDHAN BESAR</t>
  </si>
  <si>
    <t>KALICHARAN MURMU</t>
  </si>
  <si>
    <t>SUNITA HEMBRAM</t>
  </si>
  <si>
    <t>DHIREN SOREN</t>
  </si>
  <si>
    <t>KARBARI MURMU</t>
  </si>
  <si>
    <t>PRAKASH RANA</t>
  </si>
  <si>
    <t>M.KHAWPUITHANG</t>
  </si>
  <si>
    <t>PAUBIAKMUANA</t>
  </si>
  <si>
    <t>KAPSUANTHANGA</t>
  </si>
  <si>
    <t>LIANTHANGSANGA</t>
  </si>
  <si>
    <t>VUNGMUANLAL</t>
  </si>
  <si>
    <t>ZAMBIAKLALA</t>
  </si>
  <si>
    <t>PAULUNGMUANA</t>
  </si>
  <si>
    <t>MANJEET RAY</t>
  </si>
  <si>
    <t>NAYAN RAY</t>
  </si>
  <si>
    <t>MISHIL BESAR</t>
  </si>
  <si>
    <t>GOVIND MURMU</t>
  </si>
  <si>
    <t>MARDHU SOREN</t>
  </si>
  <si>
    <t>PRADHAN HEMBRAM</t>
  </si>
  <si>
    <t>VIJAL MURMU</t>
  </si>
  <si>
    <t>RAMLAL RANA</t>
  </si>
  <si>
    <t>LALMINTHANG</t>
  </si>
  <si>
    <t>ZENNGAIHDAWNI</t>
  </si>
  <si>
    <t>THANGKHAWKHAIA</t>
  </si>
  <si>
    <t>T.K. MUANA</t>
  </si>
  <si>
    <t>KAMPAUA</t>
  </si>
  <si>
    <t>CHINLIANMANGA</t>
  </si>
  <si>
    <t>CHINDAWNVUNGI</t>
  </si>
  <si>
    <t>LATE. DIBAL RAY</t>
  </si>
  <si>
    <t>KISANDEV RAY</t>
  </si>
  <si>
    <t>LT. FAJAL ALI LASKAR</t>
  </si>
  <si>
    <t>SBIN0012541</t>
  </si>
  <si>
    <t>SURESH RAY</t>
  </si>
  <si>
    <t>MADHUSANDAN RAY</t>
  </si>
  <si>
    <t>DIMDONSIANGI</t>
  </si>
  <si>
    <t>THANGMUANKHAIA</t>
  </si>
  <si>
    <t>THANGNGAIHPIANG</t>
  </si>
  <si>
    <t>SIANLIANCHINA</t>
  </si>
  <si>
    <t>NANGSAWMTUANGA</t>
  </si>
  <si>
    <t>LUNNGAIHVUNGI</t>
  </si>
  <si>
    <t>CHINGITMANGI</t>
  </si>
  <si>
    <t>KHUPSAWMSINGA</t>
  </si>
  <si>
    <t>DOKHANKHUALA</t>
  </si>
  <si>
    <t>LANGKHANTHANG</t>
  </si>
  <si>
    <t>H.TINLIANPAUA</t>
  </si>
  <si>
    <t>TUANDOTHANGA</t>
  </si>
  <si>
    <t>THANGKHANKHUP</t>
  </si>
  <si>
    <t>SIAMLIANCHINA</t>
  </si>
  <si>
    <t>PIANTHANGA</t>
  </si>
  <si>
    <t>SBIN005823</t>
  </si>
  <si>
    <t>RABUL HUSSAIN LASKAR</t>
  </si>
  <si>
    <t>JITU TUDU</t>
  </si>
  <si>
    <t>ABDUL BASIR LASKAR</t>
  </si>
  <si>
    <t>SUJAN TUDU</t>
  </si>
  <si>
    <t>SBIN0013249</t>
  </si>
  <si>
    <t>MATE/SKD-III</t>
  </si>
  <si>
    <t>BRINDABAN DAS</t>
  </si>
  <si>
    <t>EAGNATIOUS HANSDA</t>
  </si>
  <si>
    <t>MANKI BESRA</t>
  </si>
  <si>
    <t>ASHISH SOREN</t>
  </si>
  <si>
    <t>DAROGA MARANDI</t>
  </si>
  <si>
    <t>PARENDRA DAS</t>
  </si>
  <si>
    <t>KALICHARAN HANSDA</t>
  </si>
  <si>
    <t>CHATUR BESRA</t>
  </si>
  <si>
    <t>GIRISH SOREN</t>
  </si>
  <si>
    <t>MISTRRI MARANDI</t>
  </si>
  <si>
    <t>NEMBAR HEMBROM</t>
  </si>
  <si>
    <t>MANEL HANSDA</t>
  </si>
  <si>
    <t>CHURKA SOREN</t>
  </si>
  <si>
    <t>BARKA MURMU</t>
  </si>
  <si>
    <t>MEGHU DEHRI</t>
  </si>
  <si>
    <t>MANESHAL KISKU</t>
  </si>
  <si>
    <t>HEMAN HEMBROM</t>
  </si>
  <si>
    <t>SOMLAL TUDU</t>
  </si>
  <si>
    <t>SONATAN HEMBROM</t>
  </si>
  <si>
    <t>DAHAN HEMBROM</t>
  </si>
  <si>
    <t>RAJA HANSDA</t>
  </si>
  <si>
    <t>LUKHIRAM SOREN</t>
  </si>
  <si>
    <t>AKLU DEHRI</t>
  </si>
  <si>
    <t>BADHKA KISKU</t>
  </si>
  <si>
    <t>SITARAM HEMBROM</t>
  </si>
  <si>
    <t>GOMASH TUDU</t>
  </si>
  <si>
    <t>HMINGTHANGPUIA</t>
  </si>
  <si>
    <t>SAGRAM TUDU</t>
  </si>
  <si>
    <t>K.LALSAWMZUALA</t>
  </si>
  <si>
    <t>DURGA BAHADUR CHETRI</t>
  </si>
  <si>
    <t>PRATAP RAY</t>
  </si>
  <si>
    <t>GOPI RAY</t>
  </si>
  <si>
    <t>KUSHAN RAY</t>
  </si>
  <si>
    <t>MUKESH RAY</t>
  </si>
  <si>
    <t>SIBLAL SOREN</t>
  </si>
  <si>
    <t>SAHDEV RAY</t>
  </si>
  <si>
    <t>PANO RAY</t>
  </si>
  <si>
    <t>DHANPATI RAY</t>
  </si>
  <si>
    <t>MOTI TUDU</t>
  </si>
  <si>
    <t>UTTAM RAY</t>
  </si>
  <si>
    <t>DHENA SOREN</t>
  </si>
  <si>
    <t>RAMKISUN MARAIYA</t>
  </si>
  <si>
    <t>DINESH MARAIYA</t>
  </si>
  <si>
    <t>JITU MARAIYA</t>
  </si>
  <si>
    <t>ANUP RAY</t>
  </si>
  <si>
    <t>SAMUEL HEMBRAM</t>
  </si>
  <si>
    <t>SANATAN HANSDAK</t>
  </si>
  <si>
    <t>HARADHAN RAY</t>
  </si>
  <si>
    <t>BENJAMIN HEMBRAM</t>
  </si>
  <si>
    <t>HASANUR RAHMAN</t>
  </si>
  <si>
    <t>ABUSAMA ALI</t>
  </si>
  <si>
    <t>AMIRAN KHATUN</t>
  </si>
  <si>
    <t>BABY SOSANGZUALI</t>
  </si>
  <si>
    <t>SOHAN SINGH</t>
  </si>
  <si>
    <t>AMIT SINGH</t>
  </si>
  <si>
    <t>KHAIRUN MALA</t>
  </si>
  <si>
    <t>ROCHAMLIANA</t>
  </si>
  <si>
    <t>FH LALNUNSANGA</t>
  </si>
  <si>
    <t>AKBAR ALI</t>
  </si>
  <si>
    <t>TAYEB ALI</t>
  </si>
  <si>
    <t>H.ROZIKA</t>
  </si>
  <si>
    <t>JOGINDER SINGH</t>
  </si>
  <si>
    <t>MILAP SINGH</t>
  </si>
  <si>
    <t>FAKAR ALI</t>
  </si>
  <si>
    <t>LALAWMPUIA</t>
  </si>
  <si>
    <t>FH VANRAMHLUNA</t>
  </si>
  <si>
    <t>LALSANGZUALA</t>
  </si>
  <si>
    <t>ZOTHANSANGA</t>
  </si>
  <si>
    <t>LALPEKHLUI</t>
  </si>
  <si>
    <t>K.THANGNGURA</t>
  </si>
  <si>
    <t>HRANGHLUNA</t>
  </si>
  <si>
    <t>HAUDARAI</t>
  </si>
  <si>
    <t>THANGSEIA</t>
  </si>
  <si>
    <t>LALRINSIAMI</t>
  </si>
  <si>
    <t>A LALRINKIMI</t>
  </si>
  <si>
    <t>DHONTY</t>
  </si>
  <si>
    <t>LAISENI</t>
  </si>
  <si>
    <t>RINKIMA</t>
  </si>
  <si>
    <t>LALHUNCHHUNGI</t>
  </si>
  <si>
    <t>DINA</t>
  </si>
  <si>
    <t>KALAA</t>
  </si>
  <si>
    <t>MAZ/CPDVR</t>
  </si>
  <si>
    <t>1510/2003</t>
  </si>
  <si>
    <t>PACHN HEMBRAM</t>
  </si>
  <si>
    <t>LIANTLUANGA</t>
  </si>
  <si>
    <t>KHUPLALREMA</t>
  </si>
  <si>
    <t>JOHN BENISON HANSDAK</t>
  </si>
  <si>
    <t>SANKAR BAHADUR CHETRI</t>
  </si>
  <si>
    <t>SBIN0009126</t>
  </si>
  <si>
    <t>0686001505144640</t>
  </si>
  <si>
    <t>PUNB0068600</t>
  </si>
  <si>
    <t>SBIN0003189</t>
  </si>
  <si>
    <t>C.VANHMINGLIANA</t>
  </si>
  <si>
    <t>1386001700164081</t>
  </si>
  <si>
    <t>PUNB00138600</t>
  </si>
  <si>
    <t>MOHD SALAMUDDIN</t>
  </si>
  <si>
    <t>RECRUITED ON SEP 2025, A/C CHANGED JUL 2026</t>
  </si>
  <si>
    <t>5620 2923 0104</t>
  </si>
  <si>
    <t>7850 0170 4974</t>
  </si>
  <si>
    <t>8133 1195 1819</t>
  </si>
  <si>
    <t>7811 9784 6042</t>
  </si>
  <si>
    <t>5987 4468 9098</t>
  </si>
  <si>
    <t>7849 4857 4221</t>
  </si>
  <si>
    <t>7687 1081 1429</t>
  </si>
  <si>
    <t>7850 2513 7882</t>
  </si>
  <si>
    <t>9329 2822 5160</t>
  </si>
  <si>
    <t>7849 7116 3897</t>
  </si>
  <si>
    <t>5867 9660 3924</t>
  </si>
  <si>
    <t>9856 6523 4512</t>
  </si>
  <si>
    <t>5960 9710 0995</t>
  </si>
  <si>
    <t>5558 1478 0258</t>
  </si>
  <si>
    <t>NOK: BIJOY KUMAR NAMASUDRA (BROTHER)
S/O: SUKUMAR NAMASUDRA
VILL: JIBANGRAM
P-O: JIBANGRAM
DIST: CACHAR
STATE: ASSAM
P-S: DHOLAI
PIN: 788114</t>
  </si>
  <si>
    <t>4984 0059 9201</t>
  </si>
  <si>
    <t>7107 2906 8662</t>
  </si>
  <si>
    <t>NOK: RUNA BEGUM LASKAR (WIFE)
S/O: ABDUL BASIR LASKAR
VILL: H/NO. 222 KHO, KASPUR BAGERKONA
P-O: SALGANGA
DIST: CACHAR
STATE: ASSAM
P-S: UDHARBOND
PIN: 788031</t>
  </si>
  <si>
    <t>2014 9546 0974</t>
  </si>
  <si>
    <t>7800 7478 9664</t>
  </si>
  <si>
    <t>7532 3713 5121</t>
  </si>
  <si>
    <t>7111 5881 8604</t>
  </si>
  <si>
    <t>7437 5827 2756</t>
  </si>
  <si>
    <t>7849 1930 4164</t>
  </si>
  <si>
    <t>3068 3216 6716</t>
  </si>
  <si>
    <t>7821 3052 6805</t>
  </si>
  <si>
    <t>6624 6597 7167</t>
  </si>
  <si>
    <t>7850 1788 5030</t>
  </si>
  <si>
    <t>9506 6889 2158</t>
  </si>
  <si>
    <t>7850 7338 5030</t>
  </si>
  <si>
    <t>3695 1419 1117</t>
  </si>
  <si>
    <t>7850 8327 6828</t>
  </si>
  <si>
    <t>5097 3688 7121</t>
  </si>
  <si>
    <t>7849 6631 6008</t>
  </si>
  <si>
    <t>NOK: DULAR MARANDI (MOTHER)
S/O: BAIJAL MURMU
VILL: GHORIBAD
P-O: ASANJOR
DIST: DUMKA
STATE: JHARKHAND
P-S: JAMA
PIN: 814110</t>
  </si>
  <si>
    <t>6402 2144 3760</t>
  </si>
  <si>
    <t>8545 0022 6985</t>
  </si>
  <si>
    <t>4072 7843 3617</t>
  </si>
  <si>
    <t>7850 3640 0101</t>
  </si>
  <si>
    <t>3431 2979 7739</t>
  </si>
  <si>
    <t>7847 2906 3205</t>
  </si>
  <si>
    <t>NOK: MISHIL BASKI (BROTHER)
S/O: DHENA BASKI
VILL: NAKATALA
P-O: MASANJOR
DIST: DUMKA
STATE: JHARKHAND
P-S: MASANJOR
PIN: 814144</t>
  </si>
  <si>
    <t>9025 8508 0976</t>
  </si>
  <si>
    <t>7815 5466 2435</t>
  </si>
  <si>
    <t>NOK: PARBATI HEMRAM (WIFE)
S/O: MASANG HEMRAM
VILL: DIGHALGRAM
P-O: DIGHALGRAM
DIST: BIRBHUM
STATE: WEST BENGAL
P-S: EMAHMUDRAJAR / MD BAZAR
PIN: 731216</t>
  </si>
  <si>
    <t>3925 1223 4693</t>
  </si>
  <si>
    <t>7114 8884 9139</t>
  </si>
  <si>
    <t>4125 5221 8103</t>
  </si>
  <si>
    <t>7835 3848 9037</t>
  </si>
  <si>
    <t>NOK: DEVIRANI MURMU (MOTHER)
S/O: KALI MARANDI
VILL: MOHALAGHATA
P-O: MANIKDIH
DIST: DUMKA
STATE: JHARKHAND
P-S: TONGRA
PIN: 814144</t>
  </si>
  <si>
    <t>7391 6865 6155</t>
  </si>
  <si>
    <t>7119 9153 9012</t>
  </si>
  <si>
    <t>NOK: PARBATI SAREN (WIFE)
S/O: MAJU HEMRAM
VILL: DIGHALGRAM
P-O: DIGHALGRAM
DIST: BIRBHUM
STATE: WEST BENGAL
P-S: MO BAZAR
PIN: 731216</t>
  </si>
  <si>
    <t>8910 8532 8844</t>
  </si>
  <si>
    <t>7849 3579 2475</t>
  </si>
  <si>
    <t>4918 9224 5848</t>
  </si>
  <si>
    <t>7848 7580 4366</t>
  </si>
  <si>
    <t>2611 4743 2182</t>
  </si>
  <si>
    <t>3214 9625 4569</t>
  </si>
  <si>
    <t>2039 8240 5218</t>
  </si>
  <si>
    <t>7997 7222 6276</t>
  </si>
  <si>
    <t>NOK: CHUNNU MURMU (WIFE)
S/O: MISHIL BESAR
VILL: JAGUDI
P-O: BAGNAL / JAGUDI
DIST: DUMKA
STATE: JHARKHAND
P-S: MASANJOR
PIN: 814101</t>
  </si>
  <si>
    <t>2884 6303 7394</t>
  </si>
  <si>
    <t>7819 5918 0285</t>
  </si>
  <si>
    <t>7482 3261 6525</t>
  </si>
  <si>
    <t>7840 3493 0363</t>
  </si>
  <si>
    <t>8848 2406 4297</t>
  </si>
  <si>
    <t>8500 0715 7811</t>
  </si>
  <si>
    <t>9754 2784 4569</t>
  </si>
  <si>
    <t>7850 1876 9795</t>
  </si>
  <si>
    <t>7601 8197 8813</t>
  </si>
  <si>
    <t>4711 3480 0248</t>
  </si>
  <si>
    <t>7816 2590 2828</t>
  </si>
  <si>
    <t>5615 4076 6919</t>
  </si>
  <si>
    <t>7821 1525 8324</t>
  </si>
  <si>
    <t>NOK: LALMINTHANG (FATHER)
S/O: LALMINTHANG
VILL: HRIANGHMUN
P-O: HRIANGHMUN
DIST: SAITUAL
STATE: MIZORAM
P-S: NGOPA
PIN: 796290</t>
  </si>
  <si>
    <t>9715 0885 5681</t>
  </si>
  <si>
    <t>7841 2646 7003</t>
  </si>
  <si>
    <t>NOK: ZENNGAIHDAWNI (MOTHER)
S/O: D THANGKHAWPAU
VILL: HRIANGHMUN
P-O: HRIANGHMUN
DIST: SAITUAL
STATE: MIZORAM
P-S: NGOPA
PIN: 796290</t>
  </si>
  <si>
    <t>2733 8420 8883</t>
  </si>
  <si>
    <t>7841 2501 7597</t>
  </si>
  <si>
    <t>NOK: THANGKHAWKHAI(FATHER)
S/O: THANGKHAWKHAIA
VILL: HRIANGHMUN
P-O: HRIANGHMUN
DIST: SAITUAL
STATE: MIZORAM
P-S: NGOPA
PIN: 796290</t>
  </si>
  <si>
    <t>5674 7823 5154</t>
  </si>
  <si>
    <t>7841 2298 4896</t>
  </si>
  <si>
    <t>NOK: JOSEPH TLUANGMALSAWM (SON)
S/O: LIANTLUANGA
VILL: HRIANGHMUN
P-O: HRIANGHMUN
DIST: SAITUAL
STATE: MIZORAM
P-S: NGOPA
PIN:</t>
  </si>
  <si>
    <t>2061 2154 0236</t>
  </si>
  <si>
    <t>7841 2290 6981</t>
  </si>
  <si>
    <t>NOK: CHINGHALRUAT (SISTER)
S/O: T.K. MUANA
VILL: HRIANGHMUN
P-O: HRIANGHMUN
DIST: SAITUAL
STATE: MIZORAM
P-S: NGOPA
PIN: 796290</t>
  </si>
  <si>
    <t>8362 9205 9730</t>
  </si>
  <si>
    <t>7841 2279 4063</t>
  </si>
  <si>
    <t>NOK: CHING KAWL MAN (GRAND MOTHER)
S/O: SUAN LUNPIANGA (L)
VILL: HRIANGHMUN
P-O: HRIANGHMUN
DIST: SAITUAL
STATE: MIZORAM
P-S: NGOPA
PIN: 796290</t>
  </si>
  <si>
    <t>7029 7423 0538</t>
  </si>
  <si>
    <t>7841 2483 3044</t>
  </si>
  <si>
    <t>NOK: ZAMLALSANGA (BROTHER)
S/O: KAM PAUA
VILL: HRIANGHMUN
P-O: HRIANGHMUN
DIST: SAITUAL
STATE: MIZORAM
P-S: NGOPA
PIN: 796290</t>
  </si>
  <si>
    <t>2844 0603 9487</t>
  </si>
  <si>
    <t>7841 2646 6696</t>
  </si>
  <si>
    <t>NOK: CHIN LIANMANGA (FATHER)
S/O: CHINLIANMANGA
VILL: HRIANGHMUN
P-O: HRIANGHMUN
DIST: SAITUAL
STATE: MIZORAM
P-S: NGOPA
PIN: 796290</t>
  </si>
  <si>
    <t>9797 2949 8032</t>
  </si>
  <si>
    <t>7107 4581 3435</t>
  </si>
  <si>
    <t>NOK: CHINDAWNVUNG (MOTHER)
S/O: CHINDAWNVUNGI
VILL: HRIANGHMUN
P-O: HRIANGHMUN
DIST: SAITUAL
STATE: MIZORAM
P-S: NGOPA
PIN: 796290</t>
  </si>
  <si>
    <t>5216 7910 7538</t>
  </si>
  <si>
    <t>7841 2432 4080</t>
  </si>
  <si>
    <t>NOK: KIMKHAWCHINGI (MOTHER)
S/O: DALMUANTHANGA
VILL: HRIANGHMUN
P-O: SAITUAL
DIST: SAITUAL
STATE: MIZORAM
P-S: NGOPA
PIN: 796290</t>
  </si>
  <si>
    <t>5316 7390 0106</t>
  </si>
  <si>
    <t>7841 2652 4175</t>
  </si>
  <si>
    <t>2348 5329 4241</t>
  </si>
  <si>
    <t>9512 5698 9564</t>
  </si>
  <si>
    <t>2503 2419 5229</t>
  </si>
  <si>
    <t>7850 4840 7735</t>
  </si>
  <si>
    <t>5476 7974 9709</t>
  </si>
  <si>
    <t>7823 9783 4144</t>
  </si>
  <si>
    <t>407602010018112</t>
  </si>
  <si>
    <t>4465 4404 0365</t>
  </si>
  <si>
    <t>7839 0785 6011</t>
  </si>
  <si>
    <t>8353 2013 7818</t>
  </si>
  <si>
    <t>7850 0414 0880</t>
  </si>
  <si>
    <t>4980 9868 2127</t>
  </si>
  <si>
    <t>7819 4572 7170</t>
  </si>
  <si>
    <t>NOK: TINGKHANNEMI (WIFE)
S/O: LANG KHANTHANG
VILL: VAPAR
P-O: CHAMPHAI
DIST: CHAMPHAI
STATE: MIZORAM
P-S: CHAMPHAI
PIN: 796321</t>
  </si>
  <si>
    <t>9252 8704 4538</t>
  </si>
  <si>
    <t>7850 0138 2359</t>
  </si>
  <si>
    <t>2453 6703 9395</t>
  </si>
  <si>
    <t>7849 2726 3525</t>
  </si>
  <si>
    <t>9528 6234 1247</t>
  </si>
  <si>
    <t>7850 1816 1215</t>
  </si>
  <si>
    <t>NOK: LUNNGAIHVUNG (WIFE)
S/O: TUANDO THANGA
VILL: VAPAR
P-O: VAPAR
DIST: CHAMPHAI
STATE: MIZORAM
P-S: CHAMPHAI
PIN: 796321</t>
  </si>
  <si>
    <t>2551 3757 9819</t>
  </si>
  <si>
    <t>7850 1845 5044</t>
  </si>
  <si>
    <t>6395 6966 0646</t>
  </si>
  <si>
    <t>7850 1815 3458</t>
  </si>
  <si>
    <t>8927 4452 9593</t>
  </si>
  <si>
    <t>7825 5528 1508</t>
  </si>
  <si>
    <t>7758 7147 5235</t>
  </si>
  <si>
    <t>7850 1815 7156</t>
  </si>
  <si>
    <t>4075 6254 4013</t>
  </si>
  <si>
    <t>3795 8412 7356</t>
  </si>
  <si>
    <t>7893 8965 2310</t>
  </si>
  <si>
    <t>4984 9549 0449</t>
  </si>
  <si>
    <t>1017 7901 7772</t>
  </si>
  <si>
    <t>5075 0079 5989</t>
  </si>
  <si>
    <t>7848 3523 3775</t>
  </si>
  <si>
    <t>7819 4080 0294</t>
  </si>
  <si>
    <t>7850 0611 3709</t>
  </si>
  <si>
    <t>5397 8743 7630</t>
  </si>
  <si>
    <t>7850 0618 3552</t>
  </si>
  <si>
    <t>8699 4130 8259</t>
  </si>
  <si>
    <t>NOK: SAIANGI (MOTHER)
S/O: LALPANKIMA
VILL: FARKAWN
P-O: CHAMPHAI
DIST: CHAMPHAI
STATE: MIZORAM
P-S: DUNGTLANG
PIN: 796320</t>
  </si>
  <si>
    <t>3027 2459 9252</t>
  </si>
  <si>
    <t>7580 8772 5497</t>
  </si>
  <si>
    <t>7850 4967 7166</t>
  </si>
  <si>
    <t>NOK: VANNEIHSANGA (HUSBAND)
W/O: VANNEIHSANGA
VILL: AIZAWL, ARMED VENG
P-O: AIZAWL
DIST: AIZAWL
STATE: MIZORAM
P-S: AIZAWL
PIN: 796007</t>
  </si>
  <si>
    <t>6756 3270 4454</t>
  </si>
  <si>
    <t>2491 0097 6518</t>
  </si>
  <si>
    <t>4312 3959 6176</t>
  </si>
  <si>
    <t>7841 9471 3983</t>
  </si>
  <si>
    <t>7780 7900 7977</t>
  </si>
  <si>
    <t>7820 0397 7949</t>
  </si>
  <si>
    <t>8218 3946 5198</t>
  </si>
  <si>
    <t>4355 6290 5316</t>
  </si>
  <si>
    <t>8071 1459 3286</t>
  </si>
  <si>
    <t>NOK: CHUNDA HEMBRA (BROTHER)
S/O: DAHAN HEMBRAM
VILL: KRITANCHAK
P-O: SUKHJORA
DIST: DUMKA
STATE: JHARKHAND
P-S: RANISHWAR
PIN: 814148</t>
  </si>
  <si>
    <t>7817 5226 0865</t>
  </si>
  <si>
    <t>3907 5162 8448</t>
  </si>
  <si>
    <t>7850 2780 6730</t>
  </si>
  <si>
    <t>9150 6739 0670</t>
  </si>
  <si>
    <t>7884 8602 0021</t>
  </si>
  <si>
    <t>9276 7000 5282</t>
  </si>
  <si>
    <t>7813 7920 0308</t>
  </si>
  <si>
    <t>3823 8410 3239</t>
  </si>
  <si>
    <t>4697 4160 0531</t>
  </si>
  <si>
    <t>3608 6203 4203</t>
  </si>
  <si>
    <t>7841 8303 6203</t>
  </si>
  <si>
    <t>3183 3386 6366</t>
  </si>
  <si>
    <t>5689 7171 6722</t>
  </si>
  <si>
    <t>NOK: SAHDEV RAY (FATHER)
S/O: SAHDEV RAY / SAMDEV RAY
VILL: ASANBANI
P-O: GOWARI
DIST: DUMKA
STATE: JHARKHAND
P-S: MUFFSIL
PIN: 814158</t>
  </si>
  <si>
    <t>9841 6004 7566</t>
  </si>
  <si>
    <t>7813 2869 4182</t>
  </si>
  <si>
    <t>7166 5727 5747</t>
  </si>
  <si>
    <t>7840 1888 3071</t>
  </si>
  <si>
    <t>NOK: DHANPATI RAY (FATHER)
S/O: DHANPATI RAY
VILL: BANWARI
P-O: PRATAPPUR
DIST: DUMKA
STATE: JHARKHAND
P-S: RANESHWAR
PIN: 814148</t>
  </si>
  <si>
    <t>6881 5819 4443</t>
  </si>
  <si>
    <t>7850 2258 6042</t>
  </si>
  <si>
    <t>9161 5169 2439</t>
  </si>
  <si>
    <t>7850 3426 9158</t>
  </si>
  <si>
    <t>7438 2534 1301</t>
  </si>
  <si>
    <t>7893 8970 1524</t>
  </si>
  <si>
    <t>7654 0232 8924</t>
  </si>
  <si>
    <t>7850 3422 3883</t>
  </si>
  <si>
    <t>NOK: DHENA TUDU (FATHER)
S/O: CHENA SOREN / DHENA SOREN
VILL: BANWARI
P-O: PRATAPPUR
DIST: DUMKA
STATE: JHARKHAND
P-S: RANISHWAR
PIN: 814148</t>
  </si>
  <si>
    <t>4670 4377 8391</t>
  </si>
  <si>
    <t>7813 6580 3339</t>
  </si>
  <si>
    <t>2868 7760 4567</t>
  </si>
  <si>
    <t>7818 2704 2351</t>
  </si>
  <si>
    <t>3442 2921 3164</t>
  </si>
  <si>
    <t>7835 7376 8685</t>
  </si>
  <si>
    <t>SBIN005548</t>
  </si>
  <si>
    <t>NOK: STENSHILA SOREN (WIFE)
S/O: BENJAMIN HEMBRAM
VILL: BANDARPANI
P-O: KOLHA / KATHIKUND
DIST: DUMKA
STATE: JHARKHAND
P-S: KATHIKUND
PIN: 814103</t>
  </si>
  <si>
    <t>6611 3081 4349</t>
  </si>
  <si>
    <t>7849 8914 4521</t>
  </si>
  <si>
    <t>3064 6401 5102</t>
  </si>
  <si>
    <t>7812 0394 4312</t>
  </si>
  <si>
    <t>3180 1687 7917</t>
  </si>
  <si>
    <t>7811 8196 0499</t>
  </si>
  <si>
    <t>9339 8583 9208</t>
  </si>
  <si>
    <t>3906 5303 9930</t>
  </si>
  <si>
    <t>6578 4476 5182</t>
  </si>
  <si>
    <t>7811 8417 1728</t>
  </si>
  <si>
    <t>4834 7935 2628</t>
  </si>
  <si>
    <t>7811 8200 7668</t>
  </si>
  <si>
    <t>5871 5377 7779</t>
  </si>
  <si>
    <t>7804 1655 3704</t>
  </si>
  <si>
    <t>3964 8830 2598</t>
  </si>
  <si>
    <t>7811 8384 0424</t>
  </si>
  <si>
    <t>4479 4063 1789</t>
  </si>
  <si>
    <t>7850 0575 8533</t>
  </si>
  <si>
    <t>9930 0377 9828</t>
  </si>
  <si>
    <t>7849 7125 0252</t>
  </si>
  <si>
    <t>2793 0996 4535</t>
  </si>
  <si>
    <t>7102 8132 3472</t>
  </si>
  <si>
    <t>7290 5809 9009</t>
  </si>
  <si>
    <t>7119 1561 2579</t>
  </si>
  <si>
    <t>7829 3199 0340</t>
  </si>
  <si>
    <t>4508 3295 5621</t>
  </si>
  <si>
    <t>7850 0569 6982</t>
  </si>
  <si>
    <t>3061 8127 5263</t>
  </si>
  <si>
    <t>7850 0873 4229</t>
  </si>
  <si>
    <t>NOK: SIMA DEVI (MOTHER)
S/O: JOGINDER SINGH
VILL: SWARKA
P-O: MASTGARH
DIST: KANGRA
STATE: HP (HIMACHAL PRADESH)
P-S: JAWALI
PIN: 176205</t>
  </si>
  <si>
    <t>8200 8748 6253</t>
  </si>
  <si>
    <t>7100 7467 5013</t>
  </si>
  <si>
    <t>8751 4661 1942</t>
  </si>
  <si>
    <t>7834 5708 9408</t>
  </si>
  <si>
    <t>9645 0064 8328</t>
  </si>
  <si>
    <t>7849 7138 1359</t>
  </si>
  <si>
    <t>8779 2058 2947</t>
  </si>
  <si>
    <t>7849 9704 7344</t>
  </si>
  <si>
    <t>5082 8177 7850</t>
  </si>
  <si>
    <t>7849 9705 4425</t>
  </si>
  <si>
    <t>5562 8831 5526</t>
  </si>
  <si>
    <t>7850 0572 9240</t>
  </si>
  <si>
    <t>8394 1735 3546</t>
  </si>
  <si>
    <t>7850 0572 3916</t>
  </si>
  <si>
    <t>8530 3886 3039</t>
  </si>
  <si>
    <t>7850 5231 4521</t>
  </si>
  <si>
    <t>NOK: MANTI DEVI (MOTHER)
S/O: LAKSHMAN RAY
VILL: MAHUADANGAL
P-O: HETH MANJHIYANDIH
DIST: DUMKA
STATE: JHARKHAND
P-S: JAMA
PIN: 814101</t>
  </si>
  <si>
    <t>3179 6892 1156</t>
  </si>
  <si>
    <t>7850 4834 0135</t>
  </si>
  <si>
    <t>R.K. IBUNGOMACHA</t>
  </si>
  <si>
    <t>SAMARJIT SINGHA</t>
  </si>
  <si>
    <t>SURAJ KUMAR GHOSH</t>
  </si>
  <si>
    <t>SUMIT BISWAS</t>
  </si>
  <si>
    <t>BORUN BIKASH CHAKMA</t>
  </si>
  <si>
    <t>GIR BAHADUR</t>
  </si>
  <si>
    <t>R.K.SANAMAHI</t>
  </si>
  <si>
    <t>NAGENDRA SINGHA</t>
  </si>
  <si>
    <t>LT. NANTU GHOSH</t>
  </si>
  <si>
    <t>SANTOSH BISWAS</t>
  </si>
  <si>
    <t>PUNIA DHAN</t>
  </si>
  <si>
    <t>BHOMRAJ</t>
  </si>
  <si>
    <t>MOSO MURMU</t>
  </si>
  <si>
    <t>SUBMITTEDNOV 2025</t>
  </si>
  <si>
    <t>DANIEL GHOSH</t>
  </si>
  <si>
    <t>MANJAN MISHRA</t>
  </si>
  <si>
    <t>AMIT SARKAR</t>
  </si>
  <si>
    <t>LALREMRUTA</t>
  </si>
  <si>
    <t>SHYAMAL CHANDRA SHIL</t>
  </si>
  <si>
    <t>RAVIKANTA SHARMA</t>
  </si>
  <si>
    <t>RAJEN DEHARI</t>
  </si>
  <si>
    <t>KAJAL CHANDRA DAS</t>
  </si>
  <si>
    <t>SOHEB ANSARI</t>
  </si>
  <si>
    <t>Lt. N.C. GHOSH</t>
  </si>
  <si>
    <t>SARVESHWAR MISHRA</t>
  </si>
  <si>
    <t>Lt. M. NITAI SINGHA</t>
  </si>
  <si>
    <t>Lt. LALZARAWIA</t>
  </si>
  <si>
    <t>DAVID SARKAR</t>
  </si>
  <si>
    <t>HARANGLAL LOVA</t>
  </si>
  <si>
    <t>Lt. RAKHAL CHANDRA SHIL</t>
  </si>
  <si>
    <t>BARA SUKWA DEHARI</t>
  </si>
  <si>
    <t>ACHAR UDDIN LASKAR</t>
  </si>
  <si>
    <t>ALU MIA LASKAR</t>
  </si>
  <si>
    <t>7841 1863 2880</t>
  </si>
  <si>
    <t>RECRUITED AUG 2026</t>
  </si>
  <si>
    <t>6873 9974 7819</t>
  </si>
  <si>
    <t>LALNEIHPUII</t>
  </si>
  <si>
    <t>ZS PAUVA</t>
  </si>
  <si>
    <t>7848 4022 0391</t>
  </si>
  <si>
    <t>SKD-III/SKD-II</t>
  </si>
  <si>
    <t>NOK - JAIDDUN HUSSIA (SON, 25 YRS), 
S/O ALU MIA LASKAR, 
VILL- LAKNATHPUR, 
POST- BAGABAZAR, 
DIST - CACHAR, 
PS- DHOLAI, S
TATE- ASSAM, 
PIN- 788120</t>
  </si>
  <si>
    <t>2847 5516 8695</t>
  </si>
  <si>
    <t>BAHARA MARANDI</t>
  </si>
  <si>
    <t>7819 5587 7194</t>
  </si>
  <si>
    <t>LALMAWIPUIA</t>
  </si>
  <si>
    <t>C LALSANGZUALA</t>
  </si>
  <si>
    <t>7850 9587 2788</t>
  </si>
  <si>
    <t>3503 1744 9107</t>
  </si>
  <si>
    <t>RAJAUL HUSSAIN</t>
  </si>
  <si>
    <t>3965 8224 0254</t>
  </si>
  <si>
    <t>4464 7520 5276</t>
  </si>
  <si>
    <t>1386001700234371</t>
  </si>
  <si>
    <t>ARUN RAY</t>
  </si>
  <si>
    <t>7848 7680 6329</t>
  </si>
  <si>
    <t>SBIN0009794</t>
  </si>
  <si>
    <t>SOBIMAL CHAKMA</t>
  </si>
  <si>
    <t>MENGSHU CHAKMA</t>
  </si>
  <si>
    <t>7849 6276 2156</t>
  </si>
  <si>
    <t>C. VANLALRAWNA</t>
  </si>
  <si>
    <t>7851 7481 2529</t>
  </si>
  <si>
    <t>PC REMSANGPUII</t>
  </si>
  <si>
    <t>7851 6815 1783</t>
  </si>
  <si>
    <t>AMBIYA KHATUN</t>
  </si>
  <si>
    <t>ABBACH ALI</t>
  </si>
  <si>
    <t>7807 7899 8147</t>
  </si>
  <si>
    <t>6654 7960 9884</t>
  </si>
  <si>
    <t>3568 8933 0720</t>
  </si>
  <si>
    <t>6091 3353 8010</t>
  </si>
  <si>
    <t>4311 9517 1936</t>
  </si>
  <si>
    <t>4468 4056 7414</t>
  </si>
  <si>
    <t>5284 8081 0555</t>
  </si>
  <si>
    <t>NOK - MOTIBASKEY (WIFE, 32 YRS), 
S/O AJIT MARANDI, 
VILL- DEWAN BARI, 
POST- RANI BAHAL, 
DIST - DUMKA, 
PS- MASANJORE, 
STATE- JHARKHAND, 
PIN- 814144</t>
  </si>
  <si>
    <t>NOK:  R.K Sanamahi (Father)
S/o R.K.SANAMAHI
Vill : Jharagul
PO : Jharagul
PS : Sonai
Dist : Cachar
State : Assam
Pin : 788119</t>
  </si>
  <si>
    <t>7742 0881 4916</t>
  </si>
  <si>
    <t>7811 9506 9777</t>
  </si>
  <si>
    <t>7103 2672 9226</t>
  </si>
  <si>
    <t>Nok- Ranjita Singha (Wife)
S/o- NAGENDRA SINGHA
Vill : Purba Kittarbond
PO : Amala
PS : Lala
Dist : Hailakandi
State : Assam
Pin : '788164</t>
  </si>
  <si>
    <t>4890 1086 7568</t>
  </si>
  <si>
    <t>6159 2368 9276</t>
  </si>
  <si>
    <t>Nok- Geeta Ghosh (Mother)
S/o- LT. NANTU GHOSH
Vill : Rajgobindapur
PO : Bhaga Bazar
PS : Dholai
Dist : Cachar
State : Assam
Pin : 788120</t>
  </si>
  <si>
    <t>7811 9483 6737</t>
  </si>
  <si>
    <t>7810 1861 6410</t>
  </si>
  <si>
    <t>7108 9449 1143</t>
  </si>
  <si>
    <t>7812 2393 5008</t>
  </si>
  <si>
    <t>7814 7401 5664</t>
  </si>
  <si>
    <t>3294 6420 5929</t>
  </si>
  <si>
    <t>3785 0799 5405</t>
  </si>
  <si>
    <t>2534 1960 9308</t>
  </si>
  <si>
    <t>NOK - MOSO MURMU (FATHER, 56 YRS), 
S/O MOSO MURMU, 
VILL- DANGA, 
POST- BUDHIKURA, 
PS- DEODANR, 
DIST - GODDA, 
STATE- JHARKHAND, 
PIN- 814153</t>
  </si>
  <si>
    <t>5952 6826 9836</t>
  </si>
  <si>
    <t>CPDVR/SKD-III</t>
  </si>
  <si>
    <t>SKD-II/SKD-III</t>
  </si>
  <si>
    <t>SITARAM</t>
  </si>
  <si>
    <t>7812 3477 8274</t>
  </si>
  <si>
    <t>SOIJO KUMAR MESKA</t>
  </si>
  <si>
    <t>CHHUANMAWIA</t>
  </si>
  <si>
    <t>7812 3059 0224</t>
  </si>
  <si>
    <t>MANISHA MALSAWMI</t>
  </si>
  <si>
    <t>4871 3112 5403</t>
  </si>
  <si>
    <t>2810 0110 1811</t>
  </si>
  <si>
    <t>7652 8131 3323</t>
  </si>
  <si>
    <t>RIPAN DEBNATH</t>
  </si>
  <si>
    <t>PRADIP CHANDRA DEBNATH</t>
  </si>
  <si>
    <t>ARCHANA DEBNATH</t>
  </si>
  <si>
    <t>BRAJENDRA KUMAR DEBNATH</t>
  </si>
  <si>
    <t>NOK - ASHA DEBNATH (DAUGHTER, 21 YRS), D/O BRAJENDRA KUMAR DEBNATH, VILL- SADHAN NARAYAN PARA, SANTIRBAZAR, TAKMACHARA, PO- TAKMACHARA, DIST- SOUTH TRIPURA, STATE- TRIPURA, PIN- 799125</t>
  </si>
  <si>
    <t>UBIN0566390</t>
  </si>
  <si>
    <t>JOHNY ROSANGPUIA</t>
  </si>
  <si>
    <t>6329 3155 5472</t>
  </si>
  <si>
    <t>5891 8154 7013</t>
  </si>
  <si>
    <t>663902120000516</t>
  </si>
  <si>
    <t>9601 9192 7858</t>
  </si>
  <si>
    <t>LALTHIANGHLIMA</t>
  </si>
  <si>
    <t>DAWTHMUNGA (L)</t>
  </si>
  <si>
    <t>4719 2953 5077</t>
  </si>
  <si>
    <t>7842 2134 8137</t>
  </si>
  <si>
    <t>ZION LALRAMMAWII</t>
  </si>
  <si>
    <t>K. LALLIANNGURA</t>
  </si>
  <si>
    <t>K.GOALHMINGTHANGA</t>
  </si>
  <si>
    <t>FRANCIS LALBIAKTLUANGA</t>
  </si>
  <si>
    <t>MC HRANGTAWNA</t>
  </si>
  <si>
    <t>HUNLAWMAWMA</t>
  </si>
  <si>
    <t>THANGKUNGA</t>
  </si>
  <si>
    <t>ZONUNTLUANGA</t>
  </si>
  <si>
    <t>BAWICHHUNGA</t>
  </si>
  <si>
    <t>ISAAK LALROSANGA</t>
  </si>
  <si>
    <t>B.LALDINGLIANA</t>
  </si>
  <si>
    <t>7290 5830 8282</t>
  </si>
  <si>
    <t>3588 7502 2952</t>
  </si>
  <si>
    <t>9003 4381 4116</t>
  </si>
  <si>
    <t>7818 3534 1964</t>
  </si>
  <si>
    <t>8543 1573 8917</t>
  </si>
  <si>
    <t>7850 4352 8191</t>
  </si>
  <si>
    <t>2480 7797 3303</t>
  </si>
  <si>
    <t>7850 3890 7516</t>
  </si>
  <si>
    <t>9920 5695 5673</t>
  </si>
  <si>
    <t>7850 5359 7051</t>
  </si>
  <si>
    <t>Wife - Nomi Ghosh
S/o. Lt. N.C. GHOSHVill : Thuampui
PO : Zemabawk
PS : Bawngkawn
Dist : Aizawl
State : Mizoram
Pin : 796017</t>
  </si>
  <si>
    <t>Wife -Panchami Mishra
S/o. SARVESHWAR MISHRAVill : Nayabil
PO : Nayabil
PS : Dholai
Dist : Cachar
State : Assam
Pin : '788117</t>
  </si>
  <si>
    <t>Wife - M. Radha Singha
S/o. Lt. M. NITAI SINGHAVill : Zemabawl
PO : Zemabawk
PS : Bawngkawn
Dist : Aizawl
State : Mizoram
Pin : 796017</t>
  </si>
  <si>
    <t>Wife - Lallawmzuali
S/o. Lt. LALZARAWIAVill : Tuikual South
PO : Aizawl
PS : Aizawl
Dist : Aizawl
State : MIzoram
Pin : 796001</t>
  </si>
  <si>
    <t>Mother - Chanchala Rani Sarkar
S/o. DAVID SARKARVill : Thuampui
PO : Zemabawk
PS : Bawngkawn
Dist : Aizawl
State : Mizoram
Pin : 796017</t>
  </si>
  <si>
    <t>Brother - Zothansanga
S/o. HARANGLAL LOVAVill : Zemabawl
PO : Zemabawk
PS : Bawngkawn
Dist : Aizawl
State : Mizoram
Pin : 796017</t>
  </si>
  <si>
    <t>Mother -Monika Sarkar
S/o. DAVID SARKARVill : Thuampui
PO : Zemabawk
PS : Bawngkawn
Dist : Aizawl
State : Mizoram
Pin : 796017</t>
  </si>
  <si>
    <t>Mother-Sobha Rani Shil
S/o. Lt. RAKHAL CHANDRA SHILVill : 176, Bijoy Shil Para
PO : Harina Bazar
PS : Sabroom
Dist : South Tripura
State : Tripura
Pin : 799145</t>
  </si>
  <si>
    <t>Wife - Pushpa Sharma
S/o. SOMNATH SHARMAVill : Near Brigade Filed
PO : Bawngkawn
PS : Bawngkawn
Dist : Aizawl
State : Mizoram
Pin : 796014</t>
  </si>
  <si>
    <t>Wife - Munni Dehari
S/o. BARA SUKWA DEHARIVill : Chhota Tetulmath
PO : Kathikund
PS : Kathikund
Dist : Dumka
State : Jharkhand
Pin : 814103</t>
  </si>
  <si>
    <t>Wife - Anita Das
S/o. Lt. CHARITRA MOHAN DASVill : Kachudaram Part-I
PO : Kachudaram Part-I
PS : Kachudaram Part-I
Dist : Cachar
State : Assam
Pin : 788119</t>
  </si>
  <si>
    <t>Father-Manjur Aansari
S/o. MANJUR ANSARIVill : Astajora
PO : Astajora
PS : Kathikond
Dist : Dumka
State : Jharkhand
Pin : 814103</t>
  </si>
  <si>
    <t>5777 4601 5194</t>
  </si>
  <si>
    <t>9701 8165 6043</t>
  </si>
  <si>
    <t>7566 7991 6481</t>
  </si>
  <si>
    <t>6604 5296 6437</t>
  </si>
  <si>
    <t>9445 5966 9047</t>
  </si>
  <si>
    <t>8280 2401 7707</t>
  </si>
  <si>
    <t>8322 4143 7591</t>
  </si>
  <si>
    <t>4662 3773 9801</t>
  </si>
  <si>
    <t>3938 7398 9777</t>
  </si>
  <si>
    <t>6829 0239 5821</t>
  </si>
  <si>
    <t>2856 2734 1433</t>
  </si>
  <si>
    <t>6578 4861 5813</t>
  </si>
  <si>
    <t>7812 1443 2445</t>
  </si>
  <si>
    <t>7812 1782 1080</t>
  </si>
  <si>
    <t>7812 0930 7909</t>
  </si>
  <si>
    <t>7812 1050 5870</t>
  </si>
  <si>
    <t>7102 7402 7365</t>
  </si>
  <si>
    <t>7812 0576 8376</t>
  </si>
  <si>
    <t>7115 9688 2119</t>
  </si>
  <si>
    <t>7812 0745 2892</t>
  </si>
  <si>
    <t>7812 1031 0201</t>
  </si>
  <si>
    <t>7812 2251 6294</t>
  </si>
  <si>
    <t>7812 0187 8231</t>
  </si>
  <si>
    <t>7117 6742 6301</t>
  </si>
  <si>
    <t>SBIN0001539</t>
  </si>
  <si>
    <t>FILIMAN TUDU</t>
  </si>
  <si>
    <t>NOK - SHANTI MARANDI (MOTHER, 63 YRS), S/O CHOTKA TUDU, VILL- GULAMSULI, PO- PRATAPPUR, PS- RANISHWAR, DIST- DUMKA, STATE- JHARKHAND, PIN- 814148</t>
  </si>
  <si>
    <t>ABHAY BASKI</t>
  </si>
  <si>
    <t>JAGNNATH HEMBROM</t>
  </si>
  <si>
    <t>PITHO HEMBROM</t>
  </si>
  <si>
    <t>NOK - LUKHI TUDU (WIFE, 30 YRS), S/O PITHO HEMBROM, VILL- GULAMSULI, PO- PRATAPPUR, PS- RANISHWAR, DIST- DUMKA, STATE- JHARKHAND, PIN- 814148</t>
  </si>
  <si>
    <t>ANKIT KUMAR MISHRA</t>
  </si>
  <si>
    <t>CHANDRA KUMAR MISHRA</t>
  </si>
  <si>
    <t>PUNB0278400</t>
  </si>
  <si>
    <t>GANGA DHAR RAI</t>
  </si>
  <si>
    <t>MAHESH LAL RAI</t>
  </si>
  <si>
    <t>NOK - PUJA KUMARI (DAUGHTER, 20 YRS), S/O MAHESH LAL RAI, VILL- FAJILPUR, PO- PRATAPPUR, PS- RANISHWAR, DIST- DUMKA, STATE- JHARKHAND, PIN- 814148</t>
  </si>
  <si>
    <t>5877 9512 8847</t>
  </si>
  <si>
    <t>7850 6446 9197</t>
  </si>
  <si>
    <t>7811 5832 1643</t>
  </si>
  <si>
    <t>7841 4930 3837</t>
  </si>
  <si>
    <t>7109 8592 5060</t>
  </si>
  <si>
    <t>7918 7068 4328</t>
  </si>
  <si>
    <t>DHUNIRAM BASKI</t>
  </si>
  <si>
    <t>NOK - PARBATI HEMBROM (WIFE, 27 YRS), S/O DHUNIRAM BASKI, VILL- DAKSHINJOL, PO- RANGALIA, PS- RANISHWAR, DIST- DUMKA, STATE- JHARKHAND, PIN- 814148</t>
  </si>
  <si>
    <t>8004 8834 4349</t>
  </si>
  <si>
    <t>3967 6445 2872</t>
  </si>
  <si>
    <t>NOK - CHANDRA KUMAR MISHRA (FATHER, 52 YRS), S/O CHANDRA KUMAR MISHRA, VILL- BAIJNATH, PO- DEWHALIA, PS- RAMGARH, DIST- KAIMUR (BHABUA), STATE- BIHAR, PIN- 821110</t>
  </si>
  <si>
    <t>2749 2830 4189</t>
  </si>
  <si>
    <t>2784001700186855</t>
  </si>
  <si>
    <t>5547 2794 1331</t>
  </si>
  <si>
    <t>BABUDHAN TUDU</t>
  </si>
  <si>
    <t>NOK - MAKU MARANDI (MOTHER, 48 YRS), S/O RAMAN TUDU, VILL- GULAMSULI, PO- PRATAPPUR, PS- RANISHWAR, DIST- DUMKA, STATE- JHARKHAND, PIN- 814148</t>
  </si>
  <si>
    <t>MAIKEL TUDU</t>
  </si>
  <si>
    <t>BASAN TUDU</t>
  </si>
  <si>
    <t>NOK - SUKHI HEMBRAM (MOTHER, 43 YRS), S/O BASAN TUDU, VILL- GULAMSULI, PO- PRATAPPUR, PS- RANISHWAR, DIST- DUMKA, STATE- JHARKHAND, PIN- 814148</t>
  </si>
  <si>
    <t>JOHAN HANSDA</t>
  </si>
  <si>
    <t>JITAN HANSDA</t>
  </si>
  <si>
    <t>NOK - DHANI MURMU (MOTHER, 46 YRS), S/O JITAN HANSDA, VILL- GULAMSULI, PO- PRATAPPUR, PS- RANISHWAR, DIST- DUMKA, STATE- JHARKHAND, PIN- 814148</t>
  </si>
  <si>
    <t>DEVIDAS MARANDI</t>
  </si>
  <si>
    <t>KUBRAJ MARANDI</t>
  </si>
  <si>
    <t>NOK - NIRMAL MARANDI (BROTHER, 18 YRS), S/O KUBRAJ MARANDI, VILL- BANWARI, PO- PRATAPPUR, PS- RANISHWAR, DIST- DUMKA, STATE- JHARKHAND, PIN- 814148</t>
  </si>
  <si>
    <t>NOK - DULAL RAY (FATHER, 53 YRS), S/O DULAL RAY, VILL- BANWARI, PO- PRATAPPUR, PS- RANISHWAR, DIST- DUMKA, STATE- JHARKHAND, PIN- 814148</t>
  </si>
  <si>
    <t>CHANDAN KUMAR YADAV</t>
  </si>
  <si>
    <t>SUDISH YADAV</t>
  </si>
  <si>
    <t>NOK - SUDISH YADAV (FATHER, 45 YRS), S/O SUDISH YADAV, VILL- BHUILY, PO- EKMA, PS- EKMA, DIST- SARAN, STATE- BIHAR, PIN- 841208</t>
  </si>
  <si>
    <t>SBIN0002934</t>
  </si>
  <si>
    <t>ARYAN KUMAR SINGH</t>
  </si>
  <si>
    <t>SANTOSH KUMAR SINGH</t>
  </si>
  <si>
    <t>NOK - SANTOSH KUMAR SINGH (FATHER, 47 YRS), C/O SANTOSH KUMAR SINGH, VILL- BHUILY, PO- EKMA, PS- EKMA, DIST- SARAN, STATE- BIHAR, PIN- 841208</t>
  </si>
  <si>
    <t>2309 0956 8798</t>
  </si>
  <si>
    <t>8151 8090 7194</t>
  </si>
  <si>
    <t>9743 2284 3655</t>
  </si>
  <si>
    <t>6850 3820 7324</t>
  </si>
  <si>
    <t>8023 8276 9581</t>
  </si>
  <si>
    <t>9587 4537 9482</t>
  </si>
  <si>
    <t>Transferred from 71 RCC Mr No. 71RCC/358/ w.e.f 21-Jul-2026 (F/N)</t>
  </si>
  <si>
    <t>4703 9462 1729</t>
  </si>
  <si>
    <t>SAURAV MALAKAR</t>
  </si>
  <si>
    <t>SUMANTA MALAKAR</t>
  </si>
  <si>
    <t>LALMAWIZUALA</t>
  </si>
  <si>
    <t>SAMIYAL SOREN</t>
  </si>
  <si>
    <t>SILASH SOREN</t>
  </si>
  <si>
    <t>TONAY PAUL</t>
  </si>
  <si>
    <t>KAJAL PAUL</t>
  </si>
  <si>
    <t>SHIDDHART KUMAR PAUL</t>
  </si>
  <si>
    <t>LATE SAMIR KUMAR PAUL</t>
  </si>
  <si>
    <t>SBIN0013308</t>
  </si>
  <si>
    <t>SBIN0009044</t>
  </si>
  <si>
    <t>TRIBHUWAN BHANDARI</t>
  </si>
  <si>
    <t>INDAR BHANDARI</t>
  </si>
  <si>
    <t>SBIN0009803</t>
  </si>
  <si>
    <t>NIROJ BHANDARI</t>
  </si>
  <si>
    <t>GULU BHANDARI</t>
  </si>
  <si>
    <t>NIMACHAND BHANDARI</t>
  </si>
  <si>
    <t>KHUTUMAN BHANDARI</t>
  </si>
  <si>
    <t>GAHNU RAY</t>
  </si>
  <si>
    <t>BINDLAL RAY</t>
  </si>
  <si>
    <t>NOK: PURAN RAY (BROTHER)
S/O: BINDLAL RAY
VILL: KHAROUNI
P-O: GOWARI
DIST: DUMKA
STATE: JHARKHAND
P-S: JAMA
PIN: 814110</t>
  </si>
  <si>
    <t>LALNUNDUATPUIA</t>
  </si>
  <si>
    <t>LALZARA</t>
  </si>
  <si>
    <t>BINOD BHANDARI</t>
  </si>
  <si>
    <t>BHUVAN RAY</t>
  </si>
  <si>
    <t>KARTIK BHANDARI</t>
  </si>
  <si>
    <t>AJIT BHANDARI</t>
  </si>
  <si>
    <t>LAXMAN BHANDARI</t>
  </si>
  <si>
    <t>GHANSHYAM RAY</t>
  </si>
  <si>
    <t>BIDYANAND RAY</t>
  </si>
  <si>
    <t>BINOD RAY</t>
  </si>
  <si>
    <t>NAKUL RAY</t>
  </si>
  <si>
    <t>PAKUNGA</t>
  </si>
  <si>
    <t>ISLAM</t>
  </si>
  <si>
    <t>LALENKAWLA</t>
  </si>
  <si>
    <t>5008 4166 6587</t>
  </si>
  <si>
    <t>NOK: SHOMFA DEVI (WIFE)
S/O: GULU BHANDARI
VILL: KHAROUNI
P-O: GOWARI
DIST: DUMKA
STATE: JHARKHAND
P-S: JAMA
PIN: 814110</t>
  </si>
  <si>
    <t>2254 9294 2321</t>
  </si>
  <si>
    <t>7753 9123 0196</t>
  </si>
  <si>
    <t>6720 9251 8048</t>
  </si>
  <si>
    <t>LALBIAKZAMI</t>
  </si>
  <si>
    <t>2369 7361 6381</t>
  </si>
  <si>
    <t>4088 6684 0896</t>
  </si>
  <si>
    <t>2088 5087 4874</t>
  </si>
  <si>
    <t>NOK: JANKI (MOTHER)
S/O: BIDYANAND RAY
VILL: ASANBANI
P-O: GOWARI
DIST: DUMKA
STATE: JHARKHAND
P-S: DUMKA
PIN: 814110</t>
  </si>
  <si>
    <t>7783 5876 0416</t>
  </si>
  <si>
    <t>2881 5436 2839</t>
  </si>
  <si>
    <t>AMIN MURMU</t>
  </si>
  <si>
    <t>LAKHI MURMU</t>
  </si>
  <si>
    <t>3597 1408 9764</t>
  </si>
  <si>
    <t>MR No. 74 RCC/1/ SEP 2026, JOB No. ADG (B)/ BFR Cell/ (A/A &amp; E/S) / 2024/832 FMN</t>
  </si>
  <si>
    <t>NAME _x000D_
(IN CAPITAL LETTERS)</t>
  </si>
  <si>
    <t>DATE OF_x000D_
 BIRTH</t>
  </si>
  <si>
    <t>FATHER'S NAME_x000D_
(IN CAPITAL LETTERS)</t>
  </si>
  <si>
    <t>NoK Details_x000D_
 (Name and Address)</t>
  </si>
  <si>
    <t>Insurance _x000D_
scheme</t>
  </si>
  <si>
    <t>Pension_x000D_
scheme</t>
  </si>
  <si>
    <t>WORKER _x000D_
ID CARD_x000D_
STATUS</t>
  </si>
  <si>
    <t>E-SHRAM _x000D_
STATUS</t>
  </si>
  <si>
    <t>WORKING_x000D_
DAYS</t>
  </si>
  <si>
    <t>P/DAY_x000D_
RATES</t>
  </si>
  <si>
    <t>NET _x000D_
AMT</t>
  </si>
  <si>
    <t>PAGE AMT _x000D_
TOTAL</t>
  </si>
  <si>
    <t>7318</t>
  </si>
  <si>
    <t>19-Apr-1987</t>
  </si>
  <si>
    <t>NOK-SHANKARI DAS (WIFE)_x000D_
S/O - KRIPENDRA CHANDRA DAS_x000D_
VILLAGE -  DEBIPUR_x000D_
P.O-DEBIPUR_x000D_
P.S-CHOLAI_x000D_
DISTRICT-CACAHR_x000D_
STATE-ASSAM_x000D_
Pin - 788114</t>
  </si>
  <si>
    <t>32439656172</t>
  </si>
  <si>
    <t>31</t>
  </si>
  <si>
    <t>7138</t>
  </si>
  <si>
    <t>NoK -NISHA ROY (Wife)_x000D_
S/o- DURGESH ROY (L)_x000D_
Vill -TUPIDHARAR PART II_x000D_
Post -BHUBANDHAR T.E_x000D_
PS-DHOLAI_x000D_
Dist-CACHAR_x000D_
State-ASSAM_x000D_
Pin- 788114</t>
  </si>
  <si>
    <t>34662799234</t>
  </si>
  <si>
    <t>7931</t>
  </si>
  <si>
    <t>12-Jun-2005</t>
  </si>
  <si>
    <t>NoK:- MAHAFUL KISKU (WIFE)_x000D_
Vill:- HETH SITUA, PO:- UPAR SITWA,_x000D_
PS:- JAMA, DIST:- DUMKA,_x000D_
STATE:- JHARKHAND, PIN:- 814101</t>
  </si>
  <si>
    <t>823681065188</t>
  </si>
  <si>
    <t>97015104390</t>
  </si>
  <si>
    <t>8108</t>
  </si>
  <si>
    <t>07-Sep-1980</t>
  </si>
  <si>
    <t>NoK:- NAMITA DAS (WIFE)_x000D_
Vill:- SITARAMPUR, PO:- PANIBHARA_x000D_
PS:- DHOLAI, DIST:- CACHAR,_x000D_
STATE:- ASSAM, PIN:- 788123</t>
  </si>
  <si>
    <t>946304929386</t>
  </si>
  <si>
    <t>20127300194</t>
  </si>
  <si>
    <t>8109</t>
  </si>
  <si>
    <t>01-Dec-1989</t>
  </si>
  <si>
    <t>NoK:- SURMALA SINGHA (WIFE)_x000D_
Vill:- RAMNAGAR TUKO, PO:- TARAPUR,_x000D_
PS:- TARAPUR, DIST:- CACHAR,_x000D_
STATE:- ASSAM, PIN:- 788003</t>
  </si>
  <si>
    <t>615034268449</t>
  </si>
  <si>
    <t>20180526901</t>
  </si>
  <si>
    <t>8171</t>
  </si>
  <si>
    <t>09-Apr-1979</t>
  </si>
  <si>
    <t>S/O RAJKUMAR ROY_x000D_
NoK - LAXMI ROY (Wife)_x000D_
Vill - PUNIRMUKH_x000D_
Post - PUNIRMUKH_x000D_
Dist- CACHAR_x000D_
PS- DHOLAI_x000D_
STATE- Assam_x000D_
PIN No- 788123</t>
  </si>
  <si>
    <t>97017332915</t>
  </si>
  <si>
    <t>27-Feb-2026</t>
  </si>
  <si>
    <t>7656</t>
  </si>
  <si>
    <t>01-Jan-1998</t>
  </si>
  <si>
    <t>NOK-ANJALI KISKU (WIFE)_x000D_
S/O-SONALAL HANSDA_x000D_
VILL-KHARGAKHIL_x000D_
P.O-BHALSUMAR_x000D_
DIST-DUMKA_x000D_
PS-RAMGARH_x000D_
STATE-JHARKHAND_x000D_
PIN-814102</t>
  </si>
  <si>
    <t>32698367831</t>
  </si>
  <si>
    <t>11-Oct-2025</t>
  </si>
  <si>
    <t>7814</t>
  </si>
  <si>
    <t>01-Jan-1994</t>
  </si>
  <si>
    <t>38942824607</t>
  </si>
  <si>
    <t>21-Nov-2025</t>
  </si>
  <si>
    <t>28-Aug-2026</t>
  </si>
  <si>
    <t>8234</t>
  </si>
  <si>
    <t>01-Jan-1983</t>
  </si>
  <si>
    <t>NOK- ASHOK ROY (HUSBAND)_x000D_
W/O- ASHOK ROY_x000D_
VILL- PUNIRMUKH_x000D_
PO- PUNIRMUKH_x000D_
DIST- CACHAR_x000D_
STATE- ASSAM_x000D_
PS- DHOLAI_x000D_
PIN- 788123</t>
  </si>
  <si>
    <t>97017506869</t>
  </si>
  <si>
    <t>SUBMITTED_x000D_
NOV 2025</t>
  </si>
  <si>
    <t>13-May-2026</t>
  </si>
  <si>
    <t>8235</t>
  </si>
  <si>
    <t>13-Oct-1987</t>
  </si>
  <si>
    <t>NOK- SRBEN SOREN (SON)_x000D_
S/O- DARO SOREN_x000D_
VILL- HETH SITUA_x000D_
PO- UPAR SITUVA_x000D_
DIST- DUMKA_x000D_
STATE- JHARKHAND_x000D_
PS- JAMA_x000D_
PIN- 814110</t>
  </si>
  <si>
    <t>97015128594</t>
  </si>
  <si>
    <t>14-May-2026</t>
  </si>
  <si>
    <t>8236</t>
  </si>
  <si>
    <t>01-Jan-2005</t>
  </si>
  <si>
    <t>NOK- CHHHATA TUDU (MOTHER)_x000D_
S/O- JETAN MURMU_x000D_
VILL- POREYAHAT_x000D_
PO- POREYAHAT_x000D_
DIST- GODDA_x000D_
STATE- JHARKHAND_x000D_
PS- POREYAHAT_x000D_
PIN- 814153</t>
  </si>
  <si>
    <t>97016869393</t>
  </si>
  <si>
    <t>7909</t>
  </si>
  <si>
    <t>NoK:-DIPIKA BALMIKI DAS (SISTER)_x000D_
Vill:- ZAMABAWK, PO:- ZAMABAWK,_x000D_
PS:- BAWNGKAWN, DIST:- AIZAWL, _x000D_
STATE:- MIZORAM, PIN:- 796017</t>
  </si>
  <si>
    <t>376861615980</t>
  </si>
  <si>
    <t>20127286861</t>
  </si>
  <si>
    <t>16</t>
  </si>
  <si>
    <t>7910</t>
  </si>
  <si>
    <t>451597511773</t>
  </si>
  <si>
    <t>RE-MEDICAL ON 8/9/2026</t>
  </si>
  <si>
    <t>11848815577</t>
  </si>
  <si>
    <t>7911</t>
  </si>
  <si>
    <t>NoK:- JULI NATH (WIFE)_x000D_
Vill:- ZAMABAWK, PO:- ZAMABAWK,_x000D_
PS:- BAWNGKAWN, DIST:- AIZAWL, _x000D_
STATE:- MIZORAM, PIN:- 796017</t>
  </si>
  <si>
    <t>299404599009</t>
  </si>
  <si>
    <t>20127301143</t>
  </si>
  <si>
    <t>7912</t>
  </si>
  <si>
    <t>NoK:- LEIRAN SANA (WIFE)_x000D_
Vill:- DARGABOND, PO:- DULLABCHERRA,_x000D_
PS:- RATABARI, DIST:- KARIMGANJ, _x000D_
STATE:- ASSAM, PIN:- 788736</t>
  </si>
  <si>
    <t>761948953480</t>
  </si>
  <si>
    <t>20127285711</t>
  </si>
  <si>
    <t>7913</t>
  </si>
  <si>
    <t>03-Feb-1988</t>
  </si>
  <si>
    <t>NoK:- KALPONA ROY (WIFE)_x000D_
Vill:- MALUGRAM, PO:- PANIBHORA,_x000D_
PS:- DHOLAI, DIST:- CACHAR, _x000D_
STATE:- ASSAM, PIN:- 788123</t>
  </si>
  <si>
    <t>285619710029</t>
  </si>
  <si>
    <t>35944701107</t>
  </si>
  <si>
    <t>19</t>
  </si>
  <si>
    <t>7914</t>
  </si>
  <si>
    <t>NoK:- GITA RANI DAS (WIFE)_x000D_
Vill:- KACHUDARAM PART -I,_x000D_
PO:- KACHUDARAM PART -I, PS:- SONAI,_x000D_
DIST:- CACHAR, STATE:- ASSAM, PIN:- 788119</t>
  </si>
  <si>
    <t>457802162832</t>
  </si>
  <si>
    <t>34937474781</t>
  </si>
  <si>
    <t>7554</t>
  </si>
  <si>
    <t>KAMITA</t>
  </si>
  <si>
    <t>08-Jul-1978</t>
  </si>
  <si>
    <t>NOK-RAVIKANTA SHARMA (HUSBAND)_x000D_
D/O-T.MAILA_x000D_
VILLAGE - SANGKUNGMEI_x000D_
P.O-SENAPTI_x000D_
P.S-SENAPATI_x000D_
DISTRICT-SENAPATI_x000D_
STATE-MANIPUR_x000D_
Pin - 795007</t>
  </si>
  <si>
    <t>97016901305</t>
  </si>
  <si>
    <t>10-Sep-2025</t>
  </si>
  <si>
    <t>7310</t>
  </si>
  <si>
    <t>01-Oct-1980</t>
  </si>
  <si>
    <t>35161240643</t>
  </si>
  <si>
    <t>7313</t>
  </si>
  <si>
    <t>BENU CHETRI</t>
  </si>
  <si>
    <t>02-Sep-1983</t>
  </si>
  <si>
    <t>NOK-MAJULA CHETRI (WIFE)_x000D_
S/O KRISHNA CHETRI_x000D_
VILLAGE -  ZEMABAWK_x000D_
P.O-ZEMABAWK_x000D_
P.S-BAWNGKAWN_x000D_
DISTRICT-AIZAWL_x000D_
STATE-MIZORAM_x000D_
Pin - 796017</t>
  </si>
  <si>
    <t>20127300886</t>
  </si>
  <si>
    <t>337620</t>
  </si>
  <si>
    <t>6862</t>
  </si>
  <si>
    <t>28-Apr-1977</t>
  </si>
  <si>
    <t>D/o. T.B THAPA_x000D_
NoK -YUVRAJ CHHETRI (SON)_x000D_
Vill -THUAMPUI_x000D_
Post -ZEMABAWK_x000D_
Dist-AIZAWL_x000D_
PS-BAWNGKAWN_x000D_
STATE- MIZORAM_x000D_
PIN No-796017</t>
  </si>
  <si>
    <t>97014451073</t>
  </si>
  <si>
    <t>09-Apr-2024</t>
  </si>
  <si>
    <t>7030</t>
  </si>
  <si>
    <t>NoK - Lema Guma (Husband)W/o Lema Guma_x000D_
Vill - Zemabawk_x000D_
Post - Zemabawk_x000D_
Dist- Aizawl_x000D_
PS- Bawngkawn_x000D_
STATE- Mizoram_x000D_
PIN No- 796017</t>
  </si>
  <si>
    <t>42932001402</t>
  </si>
  <si>
    <t>01-Jul-2024</t>
  </si>
  <si>
    <t>7852</t>
  </si>
  <si>
    <t>06-Apr-2004</t>
  </si>
  <si>
    <t>NOK-RIYA ROY (WIFE)_x000D_
S/O-RAMJOY ROY_x000D_
Vill -JIBANGRAM_x000D_
Post -JIBANGRAM_x000D_
Dist-CACHAR_x000D_
State-ASSAM_x000D_
PS-DHOLAI_x000D_
Pin- 788114</t>
  </si>
  <si>
    <t>97017216150</t>
  </si>
  <si>
    <t>15-Jan-2026</t>
  </si>
  <si>
    <t>7059</t>
  </si>
  <si>
    <t>NoK - Sabina Begam Choudhury (Wife)_x000D_
S/o Abdul Rashid Choudhury_x000D_
Vill - Kalinagar_x000D_
Post - North Narainpur_x000D_
Dist- Kailakandi_x000D_
PS- Panchgram_x000D_
STATE- Assam_x000D_
PIN No- 788801</t>
  </si>
  <si>
    <t>38618337331</t>
  </si>
  <si>
    <t>09-Aug-2024</t>
  </si>
  <si>
    <t>7314</t>
  </si>
  <si>
    <t>27-Oct-1994</t>
  </si>
  <si>
    <t>NOK-MEINAM CHINGLEN SINGHA (FATHER)_x000D_
S/O - MEINAM CHINGLEN SINGHA_x000D_
VILLAGE -  RONGPUR_x000D_
P.O-RONGPUR PT-II_x000D_
P.S-SADAR_x000D_
DISTRICT-CACHAR_x000D_
STATE-ASSAM_x000D_
Pin - 788009</t>
  </si>
  <si>
    <t>97015786950</t>
  </si>
  <si>
    <t>6725</t>
  </si>
  <si>
    <t>05-Mar-1982</t>
  </si>
  <si>
    <t>S/O BROJO KISHOR ROY_x000D_
NoK - Suma Roy (Wife)_x000D_
Vill - Sukhtala_x000D_
Post - Sukhtala_x000D_
Dist- Cachar_x000D_
PS- Dholai_x000D_
STATE- Assam_x000D_
PIN No- 788114</t>
  </si>
  <si>
    <t>20127301074</t>
  </si>
  <si>
    <t>12-Feb-2024</t>
  </si>
  <si>
    <t>6715</t>
  </si>
  <si>
    <t>07-Jan-1988</t>
  </si>
  <si>
    <t>S/O Lt. KRIPAMAY MALAKAR_x000D_
NoK - Kakuli Malakar (Wife)_x000D_
Vill - Alexanderpur_x000D_
Post - Alexanderpur_x000D_
Dist- Hailakandi_x000D_
PS- Katlicherra_x000D_
STATE- Assam_x000D_
PIN No- 788161</t>
  </si>
  <si>
    <t>35307385472</t>
  </si>
  <si>
    <t>7316</t>
  </si>
  <si>
    <t>01-Jan-1988</t>
  </si>
  <si>
    <t>NOK-LALPANI REANG_x000D_
S/O TARANI BADUR MOLSOM_x000D_
VILLAGE -  KALAI MOLSOM PARA_x000D_
P.O-KHEDACHERRA_x000D_
P.S-KHEDACHERRA_x000D_
DISTRICT-NORTH TRIPURA_x000D_
STATE-TRIPURA_x000D_
Pin - 799256</t>
  </si>
  <si>
    <t>20055576344</t>
  </si>
  <si>
    <t>7762</t>
  </si>
  <si>
    <t>07-Feb-2007</t>
  </si>
  <si>
    <t>NOK-MANJUR ANSARI (FATHER)_x000D_
S/O - MANJULAM_x000D_
VILLAGE -  ASTAJORA_x000D_
P.O-ASTAJORA_x000D_
P.S-KATHIKUND_x000D_
DISTRICT-DUMKA_x000D_
STATE-JHARKHAND_x000D_
Pin - 814103</t>
  </si>
  <si>
    <t>97017128693</t>
  </si>
  <si>
    <t>29</t>
  </si>
  <si>
    <t>SUBMITTED_x000D_
DEC 2025</t>
  </si>
  <si>
    <t>05-Dec-2025</t>
  </si>
  <si>
    <t>7763</t>
  </si>
  <si>
    <t>01-Jan-2007</t>
  </si>
  <si>
    <t>NOK-SAMINA BIBI (MOTHER)_x000D_
S/O - MANJUR ANSARI_x000D_
VILLAGE -  ASTAJORA_x000D_
P.O-ASTAJORA_x000D_
P.S-KATHIKUND_x000D_
DISTRICT-DUMKA_x000D_
STATE-JHARKHAND_x000D_
Pin - 814103</t>
  </si>
  <si>
    <t>97017128706</t>
  </si>
  <si>
    <t>7766</t>
  </si>
  <si>
    <t>01-Jan-2000</t>
  </si>
  <si>
    <t>NOK-SANGEETA MARANDI (WIFE)_x000D_
S/O - MANJHI TUDU_x000D_
VILLAGE - PANDRIYA_x000D_
P.O-KARBINDHA_x000D_
P.S-RAMGARH_x000D_
DISTRICT-DUMKA_x000D_
STATE-JHARKHAND_x000D_
Pin - 814158</t>
  </si>
  <si>
    <t>97017128671</t>
  </si>
  <si>
    <t>30</t>
  </si>
  <si>
    <t>7853</t>
  </si>
  <si>
    <t>15-Oct-1978</t>
  </si>
  <si>
    <t>NOK‑ SAKUNTALA (WIFE)_x000D_
S/O‑ LT. MOTI RAM_x000D_
VILL‑ FOKLAND  _x000D_
P.O‑ NEAREST  _x000D_
PS‑ BAWNGKAWN_x000D_
DIST‑ AIZAWL  _x000D_
STATE‑ MIZORAM  _x000D_
PIN‑ 796017</t>
  </si>
  <si>
    <t>32423742082</t>
  </si>
  <si>
    <t>25</t>
  </si>
  <si>
    <t>30-Dec-2025</t>
  </si>
  <si>
    <t>7137</t>
  </si>
  <si>
    <t>01-Jan-1999</t>
  </si>
  <si>
    <t>NoK - IRFAN ANSARI (Father)_x000D_
S/O IFRAN ANSARI_x000D_
Vill - Dhogariya_x000D_
Post - Dhogariya_x000D_
Dist- Dumka_x000D_
PS- Dumka_x000D_
STATE- Jharkhand_x000D_
PIN No- 814158</t>
  </si>
  <si>
    <t>97012346208</t>
  </si>
  <si>
    <t>7671</t>
  </si>
  <si>
    <t>18-Dec-2005</t>
  </si>
  <si>
    <t>NOK-MANJHI SOREN (FATHER)_x000D_
S/O - MANJHI SOREN _x000D_
VILLAGE - HETH SITUVA_x000D_
P.O-UPAR SITUVA_x000D_
P.S-JAMA_x000D_
DISTRICT-DUMKA_x000D_
STATE-JHARKHAND_x000D_
Pin - 814110</t>
  </si>
  <si>
    <t>97015896533</t>
  </si>
  <si>
    <t>15</t>
  </si>
  <si>
    <t>23-Sep-2025</t>
  </si>
  <si>
    <t>7920</t>
  </si>
  <si>
    <t>24-Nov-1975</t>
  </si>
  <si>
    <t>RE-MEDICAL ON 8/9/2026      Transfred fm Last MR NO. 71 RCC/132, wef 22.12.25 (FN)</t>
  </si>
  <si>
    <t>20127301187</t>
  </si>
  <si>
    <t>7945</t>
  </si>
  <si>
    <t>04-Apr-1998</t>
  </si>
  <si>
    <t>NoK:- RUDHRA SHARMA (SON)_x000D_
Vill:- GURUDYALPUR, PO:- DHOLAI,_x000D_
PS:- DHOLAI, DIST:- CACHAR,_x000D_
STATE:- ASSAM, PIN:- 788114</t>
  </si>
  <si>
    <t>306388599016</t>
  </si>
  <si>
    <t>97015666429</t>
  </si>
  <si>
    <t>7946</t>
  </si>
  <si>
    <t>12-Sep-1992</t>
  </si>
  <si>
    <t>NoK:- SUMIT ROY (SON)_x000D_
Vill:- PUNIRMUKH, PO:- PUNIRMUKH,_x000D_
PS:- DHOLAI, DIST:- CACHAR,_x000D_
STATE:- ASSAM, PIN:- 788123</t>
  </si>
  <si>
    <t>970084925495</t>
  </si>
  <si>
    <t>41978200898</t>
  </si>
  <si>
    <t>7947</t>
  </si>
  <si>
    <t>26-Oct-1982</t>
  </si>
  <si>
    <t>NoK:- PINTU GHOSH (HUSBAND)_x000D_
Vill:- THUAMPUI, PO:- ZEMABAWK,_x000D_
PS:- BAWNGKAWN, DIST:- AIZAWL,_x000D_
STATE:- MIZORAM, PIN:- 796017</t>
  </si>
  <si>
    <t>619818244706</t>
  </si>
  <si>
    <t>20127300092</t>
  </si>
  <si>
    <t>7948</t>
  </si>
  <si>
    <t>11-Nov-1989</t>
  </si>
  <si>
    <t>563426478090</t>
  </si>
  <si>
    <t>41937635704</t>
  </si>
  <si>
    <t>7949</t>
  </si>
  <si>
    <t>12-May-1981</t>
  </si>
  <si>
    <t>NoK:- TINGPAIDEN HALAM (WIFE)_x000D_
Vill:- PANISAGAR, PO:- PANISAGAR,_x000D_
PS:- PANISAGAR, DIST:- DARMANAGAR,_x000D_
STATE:- NORTH TRIPURA, PIN:- 799260</t>
  </si>
  <si>
    <t>519934442429</t>
  </si>
  <si>
    <t>35210396957</t>
  </si>
  <si>
    <t>330880</t>
  </si>
  <si>
    <t>7950</t>
  </si>
  <si>
    <t>30-Mar-1981</t>
  </si>
  <si>
    <t>NoK:- APARNA CHAKRABORTY (WIFE)_x000D_
Vill:- LATAKANDI, PO:- RANGABAK,_x000D_
PS:- KATLICHARA, DIST:- HAILAKANDI,_x000D_
STATE:- ASSAM, PIN:- 788161</t>
  </si>
  <si>
    <t>295462611397</t>
  </si>
  <si>
    <t>20095356796</t>
  </si>
  <si>
    <t>7951</t>
  </si>
  <si>
    <t>NoK:- DULAR MARDI (WIFE)_x000D_
Vill:- DANGA, PO:- BUDHIKURA,_x000D_
PS:- DEODAR, DIST:- GODDA,_x000D_
STATE:- JHARKHAND, PIN:- 814153</t>
  </si>
  <si>
    <t>692942055078</t>
  </si>
  <si>
    <t>97012970769</t>
  </si>
  <si>
    <t>7953</t>
  </si>
  <si>
    <t>01-Jan-1993</t>
  </si>
  <si>
    <t>NoK:- SUSHILA MURMU (WIFE)_x000D_
Vill:- HETH SITUA, PO:- UPAR SITWA,_x000D_
PS:- JAMA, DIST:- DUMKA,_x000D_
STATE:- JHARKHAND, PIN:- 814101</t>
  </si>
  <si>
    <t>675274130659</t>
  </si>
  <si>
    <t>97015786825</t>
  </si>
  <si>
    <t>7955</t>
  </si>
  <si>
    <t>NoK:- BETKA HANSDA (BROTHER)_x000D_
Vill:- POREYAHAT, PO:- GODDA,_x000D_
PS:- POREYAHAT, DIST:- GODDA,_x000D_
STATE:- JHARKHAND, PIN:- 814153</t>
  </si>
  <si>
    <t>599141669684</t>
  </si>
  <si>
    <t>97013103161</t>
  </si>
  <si>
    <t>8308</t>
  </si>
  <si>
    <t>Vill : Satkar Kandi_x000D_
PO : Satkar Kandi_x000D_
PS : Sonai_x000D_
Dist : Cachar_x000D_
State : Assam_x000D_
Pin : 788013</t>
  </si>
  <si>
    <t>20197014882</t>
  </si>
  <si>
    <t>8310</t>
  </si>
  <si>
    <t>Vill : Lakhichara_x000D_
PO : Jhirighat_x000D_
PS : Jhirighat_x000D_
Dist : Cachar_x000D_
State : Assam_x000D_
Pin : 788103</t>
  </si>
  <si>
    <t>35159361897</t>
  </si>
  <si>
    <t>28</t>
  </si>
  <si>
    <t>8311</t>
  </si>
  <si>
    <t>14-Aug-1991</t>
  </si>
  <si>
    <t>Vill : Panibora_x000D_
PO : Panibora_x000D_
PS : Dholai_x000D_
Dist : Cachar_x000D_
State : Assam_x000D_
Pin : 788123</t>
  </si>
  <si>
    <t>35198346793</t>
  </si>
  <si>
    <t>8312</t>
  </si>
  <si>
    <t>24-Dec-1994</t>
  </si>
  <si>
    <t>Vill : Lantugram_x000D_
PO : Dholai_x000D_
PS : Dholai_x000D_
Dist : Cachar_x000D_
State : Assam_x000D_
Pin : 788114</t>
  </si>
  <si>
    <t>97011113423</t>
  </si>
  <si>
    <t>8313</t>
  </si>
  <si>
    <t>22-Apr-1976</t>
  </si>
  <si>
    <t>20319986504</t>
  </si>
  <si>
    <t>8314</t>
  </si>
  <si>
    <t>01-Dec-1964</t>
  </si>
  <si>
    <t>20127286486</t>
  </si>
  <si>
    <t>8315</t>
  </si>
  <si>
    <t>13-May-1985</t>
  </si>
  <si>
    <t>Vill : Mothura Pur_x000D_
PO : Jibangram_x000D_
PS : Dholai_x000D_
Dist : Cachar_x000D_
State : Assam_x000D_
Pin : 788114</t>
  </si>
  <si>
    <t>32459550091</t>
  </si>
  <si>
    <t>8316</t>
  </si>
  <si>
    <t>06-Jul-1969</t>
  </si>
  <si>
    <t>33997366910</t>
  </si>
  <si>
    <t>8317</t>
  </si>
  <si>
    <t>06-Feb-1983</t>
  </si>
  <si>
    <t>Vill : Jhargul_x000D_
PO : Sonai Mukh_x000D_
PS : Sonai_x000D_
Dist : Cachar_x000D_
State : Assam_x000D_
Pin : 788119</t>
  </si>
  <si>
    <t>33076565742</t>
  </si>
  <si>
    <t>8318</t>
  </si>
  <si>
    <t>30-Jan-1972</t>
  </si>
  <si>
    <t>33966453108</t>
  </si>
  <si>
    <t>8319</t>
  </si>
  <si>
    <t>14-Apr-1986</t>
  </si>
  <si>
    <t>Vill : Latakandi_x000D_
PO : Rangabak_x000D_
PS : Katlichera_x000D_
Dist : Hailakandi_x000D_
State : Assam_x000D_
Pin : 788161</t>
  </si>
  <si>
    <t>39333772482</t>
  </si>
  <si>
    <t>8320</t>
  </si>
  <si>
    <t>LOBIN MANJHI</t>
  </si>
  <si>
    <t>06-Jan-1975</t>
  </si>
  <si>
    <t>20127300751</t>
  </si>
  <si>
    <t>8321</t>
  </si>
  <si>
    <t>08-Apr-1982</t>
  </si>
  <si>
    <t>Vill : Leingangpokpi_x000D_
PO : Gularthol_x000D_
PS : Jiribam_x000D_
Dist : Imphal East_x000D_
State : Manipur_x000D_
Pin : 795115</t>
  </si>
  <si>
    <t>20247636693</t>
  </si>
  <si>
    <t>8322</t>
  </si>
  <si>
    <t>19-Jul-1975</t>
  </si>
  <si>
    <t>20127300343</t>
  </si>
  <si>
    <t>8328</t>
  </si>
  <si>
    <t>NOK: CHOTA BABU SOREN (BROTHER)_x000D_
S/O: DUGARU SOREN_x000D_
VILL: BUDHIYARI_x000D_
P-O: MACHKHICHA_x000D_
DIST: DUMKA_x000D_
STATE: JHARKHAND_x000D_
P-S: DUMKA MUFSILL_x000D_
PIN: 814101</t>
  </si>
  <si>
    <t>97017524437</t>
  </si>
  <si>
    <t>21-May-2026</t>
  </si>
  <si>
    <t>8329</t>
  </si>
  <si>
    <t>01-Jan-1987</t>
  </si>
  <si>
    <t>NOK: SHILA MARANDI (WIFE)_x000D_
S/O: JYOTIN TUDU_x000D_
VILL: KARMATANR_x000D_
P-O: GHASIPUR_x000D_
DIST: DUMKA_x000D_
STATE: JHARKHAND_x000D_
P-S: DUMKA MUFFASIL_x000D_
PIN: 814119</t>
  </si>
  <si>
    <t>97017528078</t>
  </si>
  <si>
    <t>339350</t>
  </si>
  <si>
    <t>8330</t>
  </si>
  <si>
    <t>25-Dec-1993</t>
  </si>
  <si>
    <t>NOK: BISHWAJIT DAS (HUSBAND)_x000D_
S/O: BISHWAJIT DAS_x000D_
VILL: BARJALENGA PART-I_x000D_
P-O: NAYABIL_x000D_
DIST: CACHAR_x000D_
STATE: ASSAM_x000D_
P-S: DHOLAI_x000D_
PIN: 788117</t>
  </si>
  <si>
    <t>97016541704</t>
  </si>
  <si>
    <t>18-Jun-2026</t>
  </si>
  <si>
    <t>8363</t>
  </si>
  <si>
    <t>01-Jan-2001</t>
  </si>
  <si>
    <t>NOK: SEFALI GOALA (MOTHER)_x000D_
S/O: BOLO GOALA_x000D_
VILL: SRIKONA GRANT_x000D_
P-O: SRIKONA_x000D_
DIST: CACHAR_x000D_
STATE: ASSAM_x000D_
P-S: SILCHAR SADAR THANA_x000D_
PIN: 788026</t>
  </si>
  <si>
    <t>97017594110</t>
  </si>
  <si>
    <t>21</t>
  </si>
  <si>
    <t>22-Jun-2026</t>
  </si>
  <si>
    <t>8364</t>
  </si>
  <si>
    <t>02-Mar-1989</t>
  </si>
  <si>
    <t>NOK: NOMITA KALAI (WIFE)_x000D_
S/O: SEN KUMAR KALAI_x000D_
VILL: KALAI MALSOM PARRA_x000D_
P-O: KHEDA CHERRA_x000D_
DIST: PANI SAGAR_x000D_
STATE: NORTH TRIPURA_x000D_
P-S: KHEDA CHERRA_x000D_
PIN: 799256</t>
  </si>
  <si>
    <t>20180527531</t>
  </si>
  <si>
    <t>23-Jun-2026</t>
  </si>
  <si>
    <t>8365</t>
  </si>
  <si>
    <t>04-Apr-1986</t>
  </si>
  <si>
    <t>NOK: STEPHEN LALREMMAWIA (SON)_x000D_
S/O: LALHMINGTHANGA_x000D_
VILL: THUAMPUI_x000D_
P-O: ZEMABAWK_x000D_
DIST: AIZAWL_x000D_
STATE: MIZORAM_x000D_
P-S: BAWNGKAWN_x000D_
PIN: 796017</t>
  </si>
  <si>
    <t>97003094349</t>
  </si>
  <si>
    <t>24-Jun-2026</t>
  </si>
  <si>
    <t>8366</t>
  </si>
  <si>
    <t>NOK: LALZAWMLIANA (FATHER)_x000D_
D/O: LALZAWMLIANA_x000D_
VILL: DURTLANG_x000D_
P-O: BAWNGKAWN_x000D_
DIST: AIZAWL_x000D_
STATE: MIZORAM_x000D_
P-S: BAWNGKAWN_x000D_
PIN: 796001</t>
  </si>
  <si>
    <t>97007906755</t>
  </si>
  <si>
    <t>25-Jun-2026</t>
  </si>
  <si>
    <t>8367</t>
  </si>
  <si>
    <t>SURANJIT NOMOSUDRA</t>
  </si>
  <si>
    <t>09-Jan-1994</t>
  </si>
  <si>
    <t>NOK: OMELI NOMOSUDRA (WIFE)_x000D_
S/O: NANDU NOMOSUDRA_x000D_
VILL: MAKHAN NAGAR_x000D_
P-O: JIRIGHAT_x000D_
DIST: CACHAR_x000D_
STATE: ASSAM_x000D_
P-S: JIRIGHAT_x000D_
PIN: 788104</t>
  </si>
  <si>
    <t>97017654626</t>
  </si>
  <si>
    <t>26-Jun-2026</t>
  </si>
  <si>
    <t>8485-A</t>
  </si>
  <si>
    <t>1-Jan-1985</t>
  </si>
  <si>
    <t>20127285596</t>
  </si>
  <si>
    <t>8486</t>
  </si>
  <si>
    <t>2-Jan-1980</t>
  </si>
  <si>
    <t>20127300900</t>
  </si>
  <si>
    <t>8487</t>
  </si>
  <si>
    <t>28/06/1988</t>
  </si>
  <si>
    <t>32165004624</t>
  </si>
  <si>
    <t>8488</t>
  </si>
  <si>
    <t>07-Apr-1991</t>
  </si>
  <si>
    <t>NOK - MARY BISWAS (WIFE, 34 YRS), _x000D_
S/O SANTOSH BISWAS, _x000D_
VILL- UDARBOND, _x000D_
POST- DUMARAGHAT, _x000D_
PS- UDARBOND, _x000D_
DIST - CACHAR, _x000D_
STATE- ASSAM, _x000D_
PIN- 788030</t>
  </si>
  <si>
    <t>97017724049</t>
  </si>
  <si>
    <t>03-Aug-2026</t>
  </si>
  <si>
    <t>8489</t>
  </si>
  <si>
    <t>11-Dec-1987</t>
  </si>
  <si>
    <t>NOK - MINA CHAKMA (WIFE, 35 YRS), _x000D_
S/O PUNIA DHAN, _x000D_
VILL- TARABONIA, _x000D_
POST- TARABONIA, _x000D_
PS- BUNGHMUN, _x000D_
DIST - MAMIT, _x000D_
STATE- MIZORAM, _x000D_
PIN- 796431</t>
  </si>
  <si>
    <t>97005946565</t>
  </si>
  <si>
    <t>14-Aug-2026</t>
  </si>
  <si>
    <t>8490</t>
  </si>
  <si>
    <t>25-Sep-1986</t>
  </si>
  <si>
    <t>NOK - LALLAWMAWMI (DAUGHTER, 17 YRS), _x000D_
S/O BHOMRAJ,_x000D_
 VILL- THUAMPUI, _x000D_
POST- ZEMABAWK, _x000D_
PS- BAWNGKAWN,_x000D_
DIST - AIZAWL, _x000D_
STATE- MIZORAM, _x000D_
PIN- 796017</t>
  </si>
  <si>
    <t>97003212774</t>
  </si>
  <si>
    <t>17-Aug-2026</t>
  </si>
  <si>
    <t>8491</t>
  </si>
  <si>
    <t>35261302754</t>
  </si>
  <si>
    <t>18-Aug-2026</t>
  </si>
  <si>
    <t>8327</t>
  </si>
  <si>
    <t>17-Jul-1995</t>
  </si>
  <si>
    <t>97017524379</t>
  </si>
  <si>
    <t>21-Aug-2026</t>
  </si>
  <si>
    <t>8368</t>
  </si>
  <si>
    <t>14-Mar-2004</t>
  </si>
  <si>
    <t>NOK: SHAHDIA BIBI (MOTHER)_x000D_
S/O: SOBRATI MIYAN_x000D_
VILL: LAKHANPUR_x000D_
P-O: KADMA_x000D_
DIST: DUMKA_x000D_
STATE: JHARKHAND_x000D_
P-S: KATHIKUND_x000D_
PIN: 814103</t>
  </si>
  <si>
    <t>97017654604</t>
  </si>
  <si>
    <t>27-Jun-2026</t>
  </si>
  <si>
    <t>8369</t>
  </si>
  <si>
    <t>30-Mar-2008</t>
  </si>
  <si>
    <t>NOK: TAHINA PRAVIN (MOTHER)_x000D_
S/O: SARIF ANSARI_x000D_
VILL: ASTAJORA_x000D_
P-O: ASTAJORA_x000D_
DIST: DUMKA_x000D_
STATE: JHARKHAND_x000D_
P-S: KATHIKUND_x000D_
PIN: 814103</t>
  </si>
  <si>
    <t>97017654648</t>
  </si>
  <si>
    <t>28-Jun-2026</t>
  </si>
  <si>
    <t>8370</t>
  </si>
  <si>
    <t>16-Apr-2002</t>
  </si>
  <si>
    <t>97017669698</t>
  </si>
  <si>
    <t>29-Jun-2026</t>
  </si>
  <si>
    <t>8542</t>
  </si>
  <si>
    <t>10-Jan-2004</t>
  </si>
  <si>
    <t>NOK: AUNJANA MALAKAR (MOTHER)
S/O: SUMANTA MALAKAR
VILL: VERNERPUR R.A
P-O: VERNERPUR LALACHERA GRANT
DIST: HAILAKANDI
STATE: ASSAM
P-S: LALA
PIN: 788163</t>
  </si>
  <si>
    <t>9327 0098 0359</t>
  </si>
  <si>
    <t>785231352946</t>
  </si>
  <si>
    <t>44226852805</t>
  </si>
  <si>
    <t>23</t>
  </si>
  <si>
    <t>290180</t>
  </si>
  <si>
    <t>28-Aug-26</t>
  </si>
  <si>
    <t>1298030</t>
  </si>
  <si>
    <t>MR No. 74 RCC/2/ SEP 2026, JOB No. ADG (B)/ BFR Cell/ (A/A &amp; E/S) / 2024/831 FMN</t>
  </si>
  <si>
    <t>6542</t>
  </si>
  <si>
    <t>13-Mar-1988</t>
  </si>
  <si>
    <t>S/O LAL BHADHUR_x000D_
NoK - Durga Gurung (Mother)_x000D_
Vill - Thuampui_x000D_
Post - Zemabawk_x000D_
Dist- Aizawl_x000D_
PS- Bawngkawn_x000D_
STATE- Mizoram_x000D_
PIN No- 796017</t>
  </si>
  <si>
    <t>97013372588</t>
  </si>
  <si>
    <t>6546</t>
  </si>
  <si>
    <t>27-Aug-1994</t>
  </si>
  <si>
    <t>S/O M. BROJENDRA SINGHA_x000D_
NoK - M. Brojendra Singha_x000D_
(Father)_x000D_
Vill  - Zemabawk_x000D_
Post - Zemabawk_x000D_
Dist - Aizawl_x000D_
PS    - Bawngkawn_x000D_
State-  Mizoram_x000D_
Pin No- 796017</t>
  </si>
  <si>
    <t>20127301052</t>
  </si>
  <si>
    <t>7553</t>
  </si>
  <si>
    <t>06-Jun-1993</t>
  </si>
  <si>
    <t>NOK-MITHUN NATH (HUSBAND)_x000D_
D/O - BIMLAL JOSHI_x000D_
VILLAGE -  THUAMPUI_x000D_
P.O-RONGPUR PT-ZEMABAWK_x000D_
P.S-BAWNGKAWN_x000D_
DISTRICT-AIZAWL_x000D_
STATE-MIZORAM_x000D_
Pin - 796017</t>
  </si>
  <si>
    <t>97011898863</t>
  </si>
  <si>
    <t>14</t>
  </si>
  <si>
    <t>7286</t>
  </si>
  <si>
    <t>NOK-BETALAL HEMBROM (FATHER)_x000D_
S/O-MUNILAL HEMBROM_x000D_
VILL-CHARGHARA_x000D_
POST-THAKUR NAHAR_x000D_
DISTRICT-GODDA_x000D_
STATE-JHARKHAND_x000D_
P.S-POREYAHAT_x000D_
PIN-814145</t>
  </si>
  <si>
    <t>97016272490</t>
  </si>
  <si>
    <t>11-Jan-2025</t>
  </si>
  <si>
    <t>7274</t>
  </si>
  <si>
    <t>12-Feb-2006</t>
  </si>
  <si>
    <t>NOK-MISONA NAMASUDRA (MOTHER)_x000D_
S/O - SANJAY NAMASUDRA_x000D_
VILLAGE -  KARJAN PUNJI_x000D_
P.O-JIRIGHAT_x000D_
P.S-JIRIGHAT_x000D_
DISTRICT-CACHAR_x000D_
STATE-ASSAM_x000D_
Pin - 788104</t>
  </si>
  <si>
    <t>42266895734</t>
  </si>
  <si>
    <t>12-Dec-2024</t>
  </si>
  <si>
    <t>7275</t>
  </si>
  <si>
    <t>11-May-1985</t>
  </si>
  <si>
    <t>NOK-JUPPI ROY (WIFE)_x000D_
S/O - DHIRENDRA ROY_x000D_
VILLAGE -  PUNIRMUKH_x000D_
P.O-PUNIRMUKH_x000D_
P.S-DHILAI_x000D_
DISTRICT-CACHAR_x000D_
STATE-ASSAM_x000D_
Pin - 788123</t>
  </si>
  <si>
    <t>20286187221</t>
  </si>
  <si>
    <t>6882</t>
  </si>
  <si>
    <t>12-Jul-1997</t>
  </si>
  <si>
    <t>S/O SHAMDEV PRASAD_x000D_
NoK - SHAMDEV PRASAD (FATHER)_x000D_
Vill - RAKHAL KHALER PAR PART-I _x000D_
Post - ARUNACHAL_x000D_
Dist- CACHAR_x000D_
PS- KALIBARI_x000D_
STATE- ASSAM_x000D_
PIN No- 788025</t>
  </si>
  <si>
    <t>42000041295</t>
  </si>
  <si>
    <t>12</t>
  </si>
  <si>
    <t>29-Apr-2024</t>
  </si>
  <si>
    <t>6380</t>
  </si>
  <si>
    <t>06-Oct-1978</t>
  </si>
  <si>
    <t>NOK-PARVITI THAPA (WIFE)_x000D_
S/O - S.B THAPA_x000D_
VILLAGE - ZEMABAWK_x000D_
P.O-ZEMABAWK_x000D_
P.S-BAWGKAWN_x000D_
DISTRICT-AIZAWL_x000D_
STATE-MIZORAM_x000D_
Pin - 769017</t>
  </si>
  <si>
    <t>20095358513</t>
  </si>
  <si>
    <t>21-Dec-2024</t>
  </si>
  <si>
    <t>6547</t>
  </si>
  <si>
    <t>01-Aug-1977</t>
  </si>
  <si>
    <t>S/O C.L KHUMA_x000D_
NoK - Jakawb Lalruatsanga (Son) _x000D_
Vill  - Muthi Vengthar_x000D_
Post - Muthi_x000D_
Dist - Aizawl_x000D_
PS    - Bawngkawn_x000D_
State- Mizoram_x000D_
Pin No - 796014</t>
  </si>
  <si>
    <t>25026045277</t>
  </si>
  <si>
    <t>01-Jan-2002</t>
  </si>
  <si>
    <t>S/O MINILAL HEMBROM_x000D_
NoK - MINILAL HEMBROM (Father)_x000D_
Vill - CHARGHARA_x000D_
Post - THAKUR NAHAR_x000D_
Dist- GODDA_x000D_
PS- PURAIHAHAT_x000D_
STATE- JHARKHAND_x000D_
PIN No- 814145</t>
  </si>
  <si>
    <t>97010942019</t>
  </si>
  <si>
    <t>22-Apr-2024</t>
  </si>
  <si>
    <t>7291</t>
  </si>
  <si>
    <t>01-Mar-1980</t>
  </si>
  <si>
    <t>NOK-SANGITA SHARMA (WIFE)_x000D_
S/O-Lt. FONI BHUSHAN SHARMA_x000D_
VILL-GURUDYAL PUR_x000D_
POST-GURUDYAL PUR_x000D_
DISTRICT-CACHAR_x000D_
STATE-ASSAM_x000D_
P.S-DHOLAI_x000D_
PIN-788114</t>
  </si>
  <si>
    <t>20127283688</t>
  </si>
  <si>
    <t>21-01-2025_x000D_
Transferred from 71 RCC Mr No.158 wef 21-Jan-2025 (F/N).</t>
  </si>
  <si>
    <t>7854</t>
  </si>
  <si>
    <t>NoK:- RUKSANA KHATUN (WIFE)_x000D_
Vill:- NAWADIH,  PO:- LAKARBANK,_x000D_
PS:- HANSDIHA, DIST:- DUMKA, _x000D_
STATE:- JHARKHAND, PIN:- 814145</t>
  </si>
  <si>
    <t>97012346195</t>
  </si>
  <si>
    <t>7676</t>
  </si>
  <si>
    <t>15-Jun-1997</t>
  </si>
  <si>
    <t>33289496876</t>
  </si>
  <si>
    <t>06-Nov-2025</t>
  </si>
  <si>
    <t>7-Sep-2026</t>
  </si>
  <si>
    <t>7668</t>
  </si>
  <si>
    <t>25-Apr-1996</t>
  </si>
  <si>
    <t>33918117742</t>
  </si>
  <si>
    <t>7221</t>
  </si>
  <si>
    <t>02-May-1996</t>
  </si>
  <si>
    <t>NOK-MOHAN SOREN (FATHER)_x000D_
S/O-MOHAN SOREN_x000D_
VILL-HETH SITUA_x000D_
POST-UPAR SITWA_x000D_
DISTRICT-DUMKA_x000D_
STATE-JHARKHAND_x000D_
P.S-JAMA_x000D_
PIN-814110</t>
  </si>
  <si>
    <t>97016191441</t>
  </si>
  <si>
    <t>03-Dec-2024</t>
  </si>
  <si>
    <t>6732</t>
  </si>
  <si>
    <t>10-Jun-1986</t>
  </si>
  <si>
    <t>S/O DHANBIR SUBBHA_x000D_
NoK - Sangeeta Subbha (Wife)_x000D_
Vill - Zemabawk_x000D_
Post - Zemabawk_x000D_
Dist- Aizawl_x000D_
PS- Bawngkawn_x000D_
STATE- Assam_x000D_
PIN No- 796017</t>
  </si>
  <si>
    <t>34332871934</t>
  </si>
  <si>
    <t>7055</t>
  </si>
  <si>
    <t>RE-MEDICAL ON 9/9/2026                TRANSFER FROM 71 RCC WEF 21 JUN 2024RE-MEDICAL DUE TO  COMPLETING 50 YEARS</t>
  </si>
  <si>
    <t>20127300285</t>
  </si>
  <si>
    <t>21-Jun-2024</t>
  </si>
  <si>
    <t>7903</t>
  </si>
  <si>
    <t>05-Nov-1995</t>
  </si>
  <si>
    <t>NoK:- ANITA DAS (WIFE)_x000D_
Vill:- BORKHOLA PART -I, PO:- BORKHOLA,_x000D_
PS:- BORKHOLA, DIST:- CACHAR,_x000D_
STATE:- ASSAM, PIN:- 788110</t>
  </si>
  <si>
    <t>931953561107</t>
  </si>
  <si>
    <t>20130735051</t>
  </si>
  <si>
    <t>7904</t>
  </si>
  <si>
    <t>423400720733</t>
  </si>
  <si>
    <t>Transfred fm Last MR NO. 71 RCC/132, wef 22.12.25 (FN)            RE-MEDICAL ON 9/9/2026</t>
  </si>
  <si>
    <t>32461480132</t>
  </si>
  <si>
    <t>7905</t>
  </si>
  <si>
    <t>NoK:- SHARBANI ROY (WIFE)_x000D_
Vill:- CHANNIGHAT, PO:- CHANNIGHAT,_x000D_
PS:- DHOLAI, DIST:- CACHAR,_x000D_
STATE:- ASSAM, PIN:- 788120</t>
  </si>
  <si>
    <t>646705802272</t>
  </si>
  <si>
    <t>97010384030</t>
  </si>
  <si>
    <t>321960</t>
  </si>
  <si>
    <t>7906</t>
  </si>
  <si>
    <t>07-Jun-1987</t>
  </si>
  <si>
    <t>NoK:- MODHU ROY (WIFE)_x000D_
Vill:- JIBANGRAM, PO:- JIBANGRAM,_x000D_
PS:- DHOLAI, DIST:- CACHAR,_x000D_
STATE:- ASSAM, PIN:- 788114</t>
  </si>
  <si>
    <t>419374141528</t>
  </si>
  <si>
    <t>36203793242</t>
  </si>
  <si>
    <t>7907</t>
  </si>
  <si>
    <t>NoK:-NANALKIMI (WIFE)_x000D_
Vill:- FALKLAND, PO:- ZAMABAWK,_x000D_
PS:- BAWNGKAWN, DIST:- AIZAWL, _x000D_
STATE:- MIZORAM, PIN:- 796017</t>
  </si>
  <si>
    <t>291601710024</t>
  </si>
  <si>
    <t>97004206576</t>
  </si>
  <si>
    <t>7908</t>
  </si>
  <si>
    <t>NoK:- SUMITA ROY (WIFE)_x000D_
Vill:- JIBANGRAM, PO:- JIBANGRAM,_x000D_
PS:- DHOLAI, DIST:- CACHAR,_x000D_
STATE:- ASSAM, PIN:- 788114</t>
  </si>
  <si>
    <t>405600875211</t>
  </si>
  <si>
    <t>20127298118</t>
  </si>
  <si>
    <t>8110</t>
  </si>
  <si>
    <t>10-Jan-1977</t>
  </si>
  <si>
    <t>20127301030</t>
  </si>
  <si>
    <t>7915</t>
  </si>
  <si>
    <t>05-Nov-1976</t>
  </si>
  <si>
    <t>795817008219</t>
  </si>
  <si>
    <t>RE-MEDICAL ON 8/9/2026           Transfred fm Last MR NO. 71 RCC/132, wef 22.12.25 (FN)</t>
  </si>
  <si>
    <t>38447363330</t>
  </si>
  <si>
    <t>8231</t>
  </si>
  <si>
    <t>13-Apr-1981</t>
  </si>
  <si>
    <t>NOK- N. RADHA RANI SINGHA (WIFE)_x000D_
S/O- TOMBA SINGHA_x000D_
VILL- DAKSHIN MOHANPUR PT-II_x000D_
PO- MANGALPUR_x000D_
DIST- CACHAR_x000D_
STATE- ASSAM_x000D_
PS- SONAI_x000D_
PIN- 788119</t>
  </si>
  <si>
    <t>97003046599</t>
  </si>
  <si>
    <t>21-Apr-2026</t>
  </si>
  <si>
    <t>8232</t>
  </si>
  <si>
    <t>10-Oct-1982</t>
  </si>
  <si>
    <t>NOK- USHA DUTTA (WIFE)_x000D_
S/O- SANTOS DUTTA_x000D_
VILL- ZEMABAWK KAWNG VENG II_x000D_
PO- ZEMABAWK_x000D_
DIST- AIZAWL_x000D_
STATE- MIZORAM_x000D_
PS- BAWNGKAWN_x000D_
PIN- 796017</t>
  </si>
  <si>
    <t>97015887948</t>
  </si>
  <si>
    <t>6375</t>
  </si>
  <si>
    <t>17-Aug-1978</t>
  </si>
  <si>
    <t>S/O-N C GHOST (L)_x000D_
NoK - KAVITA GHOST (WIFE)_x000D_
Vill - THUAMPUI_x000D_
Post - ZEMABAWK_x000D_
Dist- AIZAWL_x000D_
PS- BAWNGKAWN_x000D_
STATE- MIZORAM_x000D_
PIN No- 796017</t>
  </si>
  <si>
    <t>20065344288</t>
  </si>
  <si>
    <t>6955</t>
  </si>
  <si>
    <t>01-Jan-1979</t>
  </si>
  <si>
    <t>W/o- Lt Nandlal Mirdha_x000D_
NoK - Pawan Mirdha (Son)_x000D_
Vill - Bargachhahariyari_x000D_
Post - Hariyari_x000D_
Dist- Godda_x000D_
PS- Puriahat_x000D_
STATE- Jharkhand_x000D_
PIN No- 814153</t>
  </si>
  <si>
    <t>704452360862</t>
  </si>
  <si>
    <t>32459551335</t>
  </si>
  <si>
    <t>15-Jun-2024</t>
  </si>
  <si>
    <t>7669</t>
  </si>
  <si>
    <t>05-Jun-1997</t>
  </si>
  <si>
    <t>NOK-MOHAN SOREN (FATHER)_x000D_
S/O - MOHAN SOREN_x000D_
VILLAGE - HETH SITUA_x000D_
P.O-UPAR SITWA_x000D_
P.S-JAMA_x000D_
DISTRICT-DUMKA_x000D_
STATE-JHARKHAND_x000D_
Pin - 814110</t>
  </si>
  <si>
    <t>33162071982</t>
  </si>
  <si>
    <t>7966</t>
  </si>
  <si>
    <t>NoK:- MINA MURMU (WIFE)_x000D_
Vill:- HETH SITUWA, PO:- UPAR SITUWA,_x000D_
PS:- JAMA, DIST:- DUMKA,_x000D_
STATE:- JHARKHAND, PIN:- 814101</t>
  </si>
  <si>
    <t>750158609840</t>
  </si>
  <si>
    <t>97016223577</t>
  </si>
  <si>
    <t>7958</t>
  </si>
  <si>
    <t>01-Jan-2004</t>
  </si>
  <si>
    <t>NoK:- MANJALU MURMU (BROTHER)_x000D_
Vill:- HARIPUR, PO:- CHANDANA,_x000D_
PS:- SUNDAR PAHARI DIST:- GODDA,_x000D_
STATE:- JHARKHAND, PIN:- 814156</t>
  </si>
  <si>
    <t>715698283030</t>
  </si>
  <si>
    <t>42636851924</t>
  </si>
  <si>
    <t>7959</t>
  </si>
  <si>
    <t>NoK:- URMILA HANSDA (WIFE)_x000D_
Vill:- HETH SITUA, PO:- UPAR SITWA,_x000D_
PS:- JAMA, DIST:- DUMKA,_x000D_
STATE:- JHARKHAND, PIN:- 814101</t>
  </si>
  <si>
    <t>555237241626</t>
  </si>
  <si>
    <t>42482722435</t>
  </si>
  <si>
    <t>7963</t>
  </si>
  <si>
    <t>06-Jan-1986</t>
  </si>
  <si>
    <t>NoK:- LAXMI SONAR (WIFE)_x000D_
Vill:- BANGALA GHAT, PO:-  BANGALA GHAT,_x000D_
PS:- SILCHAR, DIST:- CACHAR,_x000D_
STATE:- ASSAM, PIN:- 788026</t>
  </si>
  <si>
    <t>856299397002</t>
  </si>
  <si>
    <t>20247633262</t>
  </si>
  <si>
    <t>7965</t>
  </si>
  <si>
    <t>NoK:- SHRIMATI TUDU (WIFE)_x000D_
Vill:- HETH SITUWA, PO:- UPAR SITUWA,_x000D_
PS:- JAMA, DIST:- DUMKA,_x000D_
STATE:- JHARKHAND, PIN:- 814101</t>
  </si>
  <si>
    <t>791617652143</t>
  </si>
  <si>
    <t>97014560762</t>
  </si>
  <si>
    <t>7968</t>
  </si>
  <si>
    <t>15-Nov-1984</t>
  </si>
  <si>
    <t>NoK:- UJJAL DUTTA (SON)_x000D_
Vill:- ZEMABAWK, PO:- ZEMABAWK,_x000D_
PS:- BAWNGKAWN, DIST:- AIZAWL,_x000D_
STATE:- MIZORAM, PIN:- 796017</t>
  </si>
  <si>
    <t>684136785888</t>
  </si>
  <si>
    <t>97007766466</t>
  </si>
  <si>
    <t>7970</t>
  </si>
  <si>
    <t>06-Oct-2004</t>
  </si>
  <si>
    <t>NoK:-SUKUMAR NAMASUDRA (FATHER)_x000D_
Vill:- JIBANGRAM,  PO:- JIBANGRAM,_x000D_
PS:- DHOLAI, DIST:- CACHAR, _x000D_
STATE:- ASSAM PIN:- 788114,</t>
  </si>
  <si>
    <t>972139788974</t>
  </si>
  <si>
    <t>42854989180</t>
  </si>
  <si>
    <t>7971</t>
  </si>
  <si>
    <t>NoK:- KAVITA DEVI (WIFE)_x000D_
Vill:- KHADAICHA, PO:- DEVAITHA,_x000D_
PS:- ZAMANIA, DIST:- GHAZIPUR,_x000D_
STATE:- UTTAR PRADESH, PIN:- 232326</t>
  </si>
  <si>
    <t>934066745705</t>
  </si>
  <si>
    <t>97012648732</t>
  </si>
  <si>
    <t>7972</t>
  </si>
  <si>
    <t>29-Nov-1989</t>
  </si>
  <si>
    <t>NoK:- KUSHAL SHARMA (SON)_x000D_
Vill:- BRIGADE FIELD, PO:- BAWNGKAWN,_x000D_
PS:- BAWNGKAWN, DIST:- AIZAWL,_x000D_
STATE:- MIZORAM, PIN:- 796014</t>
  </si>
  <si>
    <t>267414644134</t>
  </si>
  <si>
    <t>20334157283</t>
  </si>
  <si>
    <t>7975</t>
  </si>
  <si>
    <t>12-Mar-1995</t>
  </si>
  <si>
    <t>NOK-ASTAMI ROY (WIFE)_x000D_
S/O-RAKESH ROY (L)_x000D_
Vill -JIBANGRAM_x000D_
Post -JIBANGRAM_x000D_
Dist-CACHAR_x000D_
State-ASSAM_x000D_
PS-DHOLAI_x000D_
Pin- 788114</t>
  </si>
  <si>
    <t>97017216161</t>
  </si>
  <si>
    <t>343280</t>
  </si>
  <si>
    <t>7665</t>
  </si>
  <si>
    <t>06-Sep-2002</t>
  </si>
  <si>
    <t>NOK-CHUNDA HEMBROM (BROTHER)_x000D_
S/O - MOSO HEMBROM_x000D_
VILLAGE -  BOKADAH BANDH_x000D_
P.O-DAMRUHAT_x000D_
P.S-GODDA_x000D_
DISTRICT-DUMKA_x000D_
STATE-JHARKHAND_x000D_
Pin - 814153</t>
  </si>
  <si>
    <t>40876639735</t>
  </si>
  <si>
    <t>8101</t>
  </si>
  <si>
    <t>786168449535</t>
  </si>
  <si>
    <t>20127286522</t>
  </si>
  <si>
    <t>8102</t>
  </si>
  <si>
    <t>01-Feb-1987</t>
  </si>
  <si>
    <t>NoK:- USHA CHAKRABORTY (WIFE)_x000D_
Vill:- GURUDYAL PUR, PO:- GURUDYAL PUR_x000D_
PS:- DHOLAI, DIST:- CACHAR,_x000D_
STATE:- ASSAM, PIN:- 788114</t>
  </si>
  <si>
    <t>417122075310</t>
  </si>
  <si>
    <t>30882734079</t>
  </si>
  <si>
    <t>8103</t>
  </si>
  <si>
    <t>612279516735</t>
  </si>
  <si>
    <t>32154769176</t>
  </si>
  <si>
    <t>8104</t>
  </si>
  <si>
    <t>12-Jan-1996</t>
  </si>
  <si>
    <t>NoK:- HAMLAITI REANG (WIFE)_x000D_
Vill:- WAINBOUH PARA, PO:- KACHARICHHARA_x000D_
PS:- DAMCHERRA, DIST:- NORTH TRIPURA_x000D_
STATE:- TRIPURA, PIN:- 799256</t>
  </si>
  <si>
    <t>570198606803</t>
  </si>
  <si>
    <t>97011172682</t>
  </si>
  <si>
    <t>8105</t>
  </si>
  <si>
    <t>NoK:- JHARNA ROY (WIFE)_x000D_
Vill:- PUNIRMUKH, PO:- PUNIRMUKH,_x000D_
PS:- DHOLAI, DIST:- CACHAR,_x000D_
STATE:- ASSAM, PIN:- 788123</t>
  </si>
  <si>
    <t>506334531640</t>
  </si>
  <si>
    <t>20197014236</t>
  </si>
  <si>
    <t>8106</t>
  </si>
  <si>
    <t>NoK:- PRONOMITA NOMASUDRA (WIFE)_x000D_
Vill:- JIBANGRAM, PO:- JIBANGRAM,_x000D_
PS:- DHOLAI, DIST:- CACHAR,_x000D_
STATE:- ASSAM, PIN:- 788114</t>
  </si>
  <si>
    <t>410152152991</t>
  </si>
  <si>
    <t>20127301198</t>
  </si>
  <si>
    <t>8148</t>
  </si>
  <si>
    <t>09-Jul-2005</t>
  </si>
  <si>
    <t>NoK:- SATNAM SINGH (BROTHER)_x000D_
Vill:- KOTHE HANS                PO:- PABBIAN_x000D_
PS:- JAGRAON  DIST:- LUDHIANA_x000D_
STATE:- PUNJAB PIN:- 142023</t>
  </si>
  <si>
    <t>44287421162</t>
  </si>
  <si>
    <t>21-Feb-2026</t>
  </si>
  <si>
    <t>7916</t>
  </si>
  <si>
    <t>NoK:- SAMAJIT NOMOSUDRA (HUSBAND)_x000D_
Vill:- MAKHON NAGAR, PO:- JIRIGHAT, _x000D_
PS:- JIRIGHAT, DIST:- CACHAR,_x000D_
STATE:- ASSAM, PIN:- 788104</t>
  </si>
  <si>
    <t>272487558658</t>
  </si>
  <si>
    <t>39231500820</t>
  </si>
  <si>
    <t>20</t>
  </si>
  <si>
    <t>7917</t>
  </si>
  <si>
    <t>NoK:- MALTI SOREN (WIFE)_x000D_
Vill:- FATEH TOLA MAKHNI,  PO:- MAKHNI,_x000D_
PS:- GODDA, DIST:- GODDA, _x000D_
STATE:- JHARKHAND, PIN:- 814133</t>
  </si>
  <si>
    <t>200040932183</t>
  </si>
  <si>
    <t>97012724464</t>
  </si>
  <si>
    <t>7921</t>
  </si>
  <si>
    <t>26-Nov-2003</t>
  </si>
  <si>
    <t>S/O PRATIMAY ROY_x000D_
NoK - Dipali Roy (Mother)_x000D_
Vill - Bhatgram_x000D_
Post - Kalain_x000D_
Dist- Cachar_x000D_
PS- Katigora_x000D_
STATE- Assam_x000D_
PIN No- 788815</t>
  </si>
  <si>
    <t>41935385903</t>
  </si>
  <si>
    <t>7922</t>
  </si>
  <si>
    <t>01-Jan-1985</t>
  </si>
  <si>
    <t>D/o. LOB BAHADUR SONAR_x000D_
NoK - Gambir Singh Sonar_x000D_
(Husband)_x000D_
Vill - Thuampui_x000D_
Post - Zemabawk_x000D_
Dist- Aizawl_x000D_
PS- Bawngkawn_x000D_
STATE- Mizoram_x000D_
PIN No- 796017</t>
  </si>
  <si>
    <t>42020320559</t>
  </si>
  <si>
    <t>7924</t>
  </si>
  <si>
    <t>21-Dec-1979</t>
  </si>
  <si>
    <t>S/O Lt. GOPI NATH KARMAKAR_x000D_
NoK - Thangsuanmawii (Wife)_x000D_
Vill - Thuampui_x000D_
Post - Zemabawk_x000D_
Dist- Aizawl_x000D_
PS- Bawngkawn_x000D_
STATE- Assam_x000D_
PIN No- 796017</t>
  </si>
  <si>
    <t>20084914949</t>
  </si>
  <si>
    <t>7925</t>
  </si>
  <si>
    <t>15-Jan-1988</t>
  </si>
  <si>
    <t>S/O TEJ BAHADUR CHHETRI_x000D_
NoK - Geeta Chhetri (Wife)_x000D_
Vill - Molong Part-I_x000D_
Post - Hari Nagar_x000D_
Dist- Cachar_x000D_
PS- Joypur_x000D_
STATE- Assam_x000D_
PIN No- 788107</t>
  </si>
  <si>
    <t>40027751903</t>
  </si>
  <si>
    <t>7926</t>
  </si>
  <si>
    <t>15-Dec-1998</t>
  </si>
  <si>
    <t>S/O RAMJOY ROY_x000D_
NoK - Ramjoy Roy (Father)_x000D_
Vill - Jibangram_x000D_
Post - Jibangram_x000D_
Dist- Cachar_x000D_
PS- Dholai_x000D_
STATE- Assam_x000D_
PIN No- 788114</t>
  </si>
  <si>
    <t>40106316224</t>
  </si>
  <si>
    <t>7927</t>
  </si>
  <si>
    <t>30-May-1985</t>
  </si>
  <si>
    <t>S/O Lt. BARINDRA ROY_x000D_
NoK - Dipali Rai (Wife)_x000D_
Vill - Meher Pur_x000D_
Post - Meher Pur_x000D_
Dist- Cachar_x000D_
PS- satarthana_x000D_
STATE- Assam_x000D_
PIN No- 788015</t>
  </si>
  <si>
    <t>35213901471</t>
  </si>
  <si>
    <t>7928</t>
  </si>
  <si>
    <t>03-Apr-1988</t>
  </si>
  <si>
    <t>S/O W/O. BIKHATI YAN HALAM_x000D_
NoK - Bikhati Yan Halam_x000D_
(Husband)_x000D_
Vill - Panisagar_x000D_
Post - Panisagar_x000D_
Dist- Darmanagar_x000D_
PS- Panisagar_x000D_
STATE-Tripura_x000D_
PIN No- 799260</t>
  </si>
  <si>
    <t>97013750471</t>
  </si>
  <si>
    <t>7929</t>
  </si>
  <si>
    <t>20-Jun-1989</t>
  </si>
  <si>
    <t>D/o. DUHTHLIARI_x000D_
NoK - L. Kansha (Husband)_x000D_
Vill - Tuithumhnar_x000D_
Post - Tuithumhnar_x000D_
Dist- Lawngtlai_x000D_
PS- Lawngtlai_x000D_
STATE- Mizoram_x000D_
PIN No- 766891</t>
  </si>
  <si>
    <t>97013893034</t>
  </si>
  <si>
    <t>7932</t>
  </si>
  <si>
    <t>27-Dec-2002</t>
  </si>
  <si>
    <t>858605863716</t>
  </si>
  <si>
    <t>41123467324</t>
  </si>
  <si>
    <t>7933</t>
  </si>
  <si>
    <t>01-Jan-2003</t>
  </si>
  <si>
    <t>NOK- MANJU KOL (WIFE)_x000D_
S/O- SUDAN TUDU_x000D_
VILL- KULATHAR  _x000D_
P.O- LILATARI  _x000D_
PS- JAMA  _x000D_
DIST- DUMKA  _x000D_
STATE- JHARKHAND  _x000D_
PIN- 814110</t>
  </si>
  <si>
    <t>42015615553</t>
  </si>
  <si>
    <t>330040</t>
  </si>
  <si>
    <t>06-Jan-2026</t>
  </si>
  <si>
    <t>7935</t>
  </si>
  <si>
    <t>NOK- BITYA TUDU (WIFE)_x000D_
S/O- BABLU HANSDA_x000D_
VILL- DHAVATAND  _x000D_
P.O- THARIHAT  _x000D_
PS- JAMA  _x000D_
DIST- DUMKA  _x000D_
STATE- JHARKHAND  _x000D_
PIN- 814102</t>
  </si>
  <si>
    <t>97017200999</t>
  </si>
  <si>
    <t>7937</t>
  </si>
  <si>
    <t>08-Oct-2007</t>
  </si>
  <si>
    <t>NOK- NEETU MARANDI (WIFE)_x000D_
S/O- MASHI HEMBROM_x000D_
VILL- HETH SITWA  _x000D_
P.O- UPAR SITUWA  _x000D_
PS- JAMA  _x000D_
DIST- DUMKA  _x000D_
STATE- JHARKHAND  _x000D_
PIN- 814110</t>
  </si>
  <si>
    <t>97017201018</t>
  </si>
  <si>
    <t>18</t>
  </si>
  <si>
    <t>7938</t>
  </si>
  <si>
    <t>12-Sep-1985</t>
  </si>
  <si>
    <t>NOK- TERU HEMBROM (WIFE)_x000D_
S/O- MUNSHI HEMBROM_x000D_
VILL- HETH SITWA  _x000D_
P.O- UPAR SITUWA  _x000D_
PS- JAMA  _x000D_
DIST- DUMKA  _x000D_
STATE- JHARKHAND  _x000D_
PIN- 814110</t>
  </si>
  <si>
    <t>97017201063</t>
  </si>
  <si>
    <t>7940</t>
  </si>
  <si>
    <t>NOK- BAHA MUNU MARANDI (WIFE)_x000D_
S/O- JETHA SOREN_x000D_
VILL- HETH BHELWA  _x000D_
P.O- THARIHAT  _x000D_
PS- RAMGARH  _x000D_
DIST- DUMKA  _x000D_
STATE- JHARKHAND  _x000D_
PIN- 814158</t>
  </si>
  <si>
    <t>97017204235</t>
  </si>
  <si>
    <t>7941</t>
  </si>
  <si>
    <t>NOK- BABLU HEMBRAM (BROTHER)_x000D_
S/O- BABURAM HEMBRAM_x000D_
VILL- MAHI SANTALI  _x000D_
P.O- UPAR SITUWA  _x000D_
PS- JAMA  _x000D_
DIST- DUMKA  _x000D_
STATE- JHARKHAND  _x000D_
PIN- 814110</t>
  </si>
  <si>
    <t>97017201029</t>
  </si>
  <si>
    <t>7942</t>
  </si>
  <si>
    <t>NOK-PHOOL MANI TUDU (WIFE) _x000D_
S/O- BABILAL MURMU_x000D_
VILL- HETH SITUWA  _x000D_
P.O- UPAR SITUWA  _x000D_
PS- JAMA _x000D_
DIST- DUMKA  _x000D_
STATE- JHARKHAND  _x000D_
PIN- 814110</t>
  </si>
  <si>
    <t>97017201041</t>
  </si>
  <si>
    <t>7760</t>
  </si>
  <si>
    <t>18-Jan-1993</t>
  </si>
  <si>
    <t>NOK-MAUSMI DEHRI (WIFE)_x000D_
S/O - RANJIT DAS_x000D_
VILLAGE - UTTAR KRISHNAPUR PART - II_x000D_
P.O-SONAI ROAD_x000D_
P.S-SILCHAR_x000D_
DISTRICT-CACHAR_x000D_
STATE-ASSAM_x000D_
Pin - 788006</t>
  </si>
  <si>
    <t>44609582208</t>
  </si>
  <si>
    <t>26-Nov-2025</t>
  </si>
  <si>
    <t>7761</t>
  </si>
  <si>
    <t>24-Jan-1981</t>
  </si>
  <si>
    <t>NOK-N.BIRAMOHAN SINGHA (HUSBAND)_x000D_
S/O - N.BIRAMOHAN SINGHA_x000D_
VILLAGE - DAKSHIN MOHANOPUR PT-II_x000D_
P.O-MONGALPUR_x000D_
P.S-SONAI_x000D_
DISTRICT-CACHAR_x000D_
STATE-ASSAM_x000D_
Pin - 788119</t>
  </si>
  <si>
    <t>97012871838</t>
  </si>
  <si>
    <t>02-Dec-2025</t>
  </si>
  <si>
    <t>8107</t>
  </si>
  <si>
    <t>01-Jan-1986</t>
  </si>
  <si>
    <t>NoK:- SANTOSHI DEVI (WIFE)_x000D_
Vill:- ISWAR PURA,  PO:- ISWAR PURA MILKI_x000D_
PS:- ISWARPURA, DIST:- BHOJPUR,_x000D_
STATE:- BIHAR PIN:- 802112</t>
  </si>
  <si>
    <t>853372679249</t>
  </si>
  <si>
    <t>20127286634</t>
  </si>
  <si>
    <t>6728</t>
  </si>
  <si>
    <t>05-Jun-1975</t>
  </si>
  <si>
    <t>RE-MEDICAL ON 9/9/2026             TRANSFER FROM 71 RCC WEF 22 FEB 2025RE-MEDICAL DUE TO  COMPLETING 50 YEARS</t>
  </si>
  <si>
    <t>30394015935</t>
  </si>
  <si>
    <t>8530</t>
  </si>
  <si>
    <t>25/10/1979</t>
  </si>
  <si>
    <t>20048320801</t>
  </si>
  <si>
    <t>8531</t>
  </si>
  <si>
    <t>9-Jun-1974</t>
  </si>
  <si>
    <t>RE-MEDICAL ON 9/9/2026</t>
  </si>
  <si>
    <t>20127286464</t>
  </si>
  <si>
    <t>8532</t>
  </si>
  <si>
    <t>30/09/1970</t>
  </si>
  <si>
    <t>20127301201</t>
  </si>
  <si>
    <t>8533</t>
  </si>
  <si>
    <t>23/05/1982</t>
  </si>
  <si>
    <t>20132758759</t>
  </si>
  <si>
    <t>8534</t>
  </si>
  <si>
    <t>3-Mar-1996</t>
  </si>
  <si>
    <t>97010992548</t>
  </si>
  <si>
    <t>8535</t>
  </si>
  <si>
    <t>11-Jul-1972</t>
  </si>
  <si>
    <t>20127286293</t>
  </si>
  <si>
    <t>8536</t>
  </si>
  <si>
    <t>ISAK SARKAR</t>
  </si>
  <si>
    <t>19/07/1993</t>
  </si>
  <si>
    <t>20247633580</t>
  </si>
  <si>
    <t>8537</t>
  </si>
  <si>
    <t>23/05/1979</t>
  </si>
  <si>
    <t>35143858116</t>
  </si>
  <si>
    <t>8538</t>
  </si>
  <si>
    <t>19/01/1986</t>
  </si>
  <si>
    <t>20390502992</t>
  </si>
  <si>
    <t>8539</t>
  </si>
  <si>
    <t>10-May-1980</t>
  </si>
  <si>
    <t>31394464316</t>
  </si>
  <si>
    <t>331720</t>
  </si>
  <si>
    <t>8540</t>
  </si>
  <si>
    <t>13/02/1986</t>
  </si>
  <si>
    <t>97010017127</t>
  </si>
  <si>
    <t>8541</t>
  </si>
  <si>
    <t>2-May-2003</t>
  </si>
  <si>
    <t>40335105449</t>
  </si>
  <si>
    <t>11</t>
  </si>
  <si>
    <t>8543</t>
  </si>
  <si>
    <t>01-Jan-1989</t>
  </si>
  <si>
    <t>LT.. BADAKA SOREN</t>
  </si>
  <si>
    <t>NOK: SARITA MURMU (WIFE)
W/O: LT. BADAKA SOREN
VILL: HETH SIRUA
P-O: UPPERSITWA
DIST: DUMKA
STATE: JHARKHAND
P-S: JAMA
PIN: 814110</t>
  </si>
  <si>
    <t>5300 1444 7100</t>
  </si>
  <si>
    <t>711221492404</t>
  </si>
  <si>
    <t>97015128572</t>
  </si>
  <si>
    <t>07-Sep-2026</t>
  </si>
  <si>
    <t>8544</t>
  </si>
  <si>
    <t>15-Apr-2008</t>
  </si>
  <si>
    <t>NOK: BABLU SOREN (FATHER)
S/O: DARO SOREN
VILL: HETH SITUWA
P-O: UPAR SITUWA
DIST: DUMKA
STATE: JHARKHAND
P-S: JAMA
PIN: 814110</t>
  </si>
  <si>
    <t>6736 0003 0901</t>
  </si>
  <si>
    <t>785186481398</t>
  </si>
  <si>
    <t>97017825355</t>
  </si>
  <si>
    <t>37400</t>
  </si>
  <si>
    <t>1364400</t>
  </si>
  <si>
    <t>MR No. 74 RCC/03/ SEP 2026, JOB No. MAINT CHK ROAD (KM 0.00 TO KM 10.00) 26-27</t>
  </si>
  <si>
    <t>2274</t>
  </si>
  <si>
    <t>03-Dec-2000</t>
  </si>
  <si>
    <t>S/O Lalthansanga_x000D_
Nok - Lalnunneni(Sister)_x000D_
Vill- W. Phulpui_x000D_
Post- Phuldungsei_x000D_
Dist - Mamit_x000D_
PS-  Marpara_x000D_
State- Mizoram _x000D_
Pin- 796431</t>
  </si>
  <si>
    <t>540925669083</t>
  </si>
  <si>
    <t>41484212781</t>
  </si>
  <si>
    <t>6804</t>
  </si>
  <si>
    <t>02-Aug-1983</t>
  </si>
  <si>
    <t>NoK - RAJU KUMAR (SON)_x000D_
S/O - Bhuju Hembrom _x000D_
Vill - Putka,PO-Jai Haripur_x000D_
PS - Ranishwar_x000D_
Haripur,Jai Haripur Dumka_x000D_
State- Jharkhand_x000D_
Pin - 814148</t>
  </si>
  <si>
    <t>33574322555</t>
  </si>
  <si>
    <t>7296</t>
  </si>
  <si>
    <t>02-Feb-1976</t>
  </si>
  <si>
    <t>NOK-SIAMHMINGTHANGI (SISTER)_x000D_
S/O-K.KHAMTHUAMA_x000D_
VILL-VENGTHLANG_x000D_
POST-CHAMPHAI_x000D_
DISTRICT-CHAMPHAI_x000D_
STATE-MIZORAM_x000D_
P.S-CHAMPHAI_x000D_
PIN-796321</t>
  </si>
  <si>
    <t>20371646509</t>
  </si>
  <si>
    <t>24-Feb-2025</t>
  </si>
  <si>
    <t>5100</t>
  </si>
  <si>
    <t>01-Jan-1977</t>
  </si>
  <si>
    <t>S/O Jitan Marandi_x000D_
Nok - Lalchawni (Wife)_x000D_
Vill- Santhali_x000D_
Post- Khairbani_x000D_
Dist - Dumka_x000D_
PS-  Masalia_x000D_
State- Jharkhan _x000D_
Pin- 814146</t>
  </si>
  <si>
    <t>473772941434</t>
  </si>
  <si>
    <t>20103330976</t>
  </si>
  <si>
    <t>02-Oct-1978</t>
  </si>
  <si>
    <t>S/O Patras Topna_x000D_
Nok - Mary Griece topno (Daughter)_x000D_
Vill- Doyenger_x000D_
Post- Khatnga_x000D_
Dist - Khunti_x000D_
PS-  Rania_x000D_
State- Jharkhan _x000D_
Pin- 835227</t>
  </si>
  <si>
    <t>361853156394</t>
  </si>
  <si>
    <t>20200293476</t>
  </si>
  <si>
    <t>05-Aug-1975</t>
  </si>
  <si>
    <t>S/O Chinthawnga_x000D_
Nok - Chianghauvungi (Wife)_x000D_
Vill- Vengthar, Champhai_x000D_
Post- Khatnga_x000D_
Dist - Khunti_x000D_
PS-  Rania_x000D_
State- Jharkhan _x000D_
Pin- 835227</t>
  </si>
  <si>
    <t>856812528092</t>
  </si>
  <si>
    <t>34209510037</t>
  </si>
  <si>
    <t>12-Apr-1974</t>
  </si>
  <si>
    <t>S/O Liankeuva_x000D_
Nok - Dengrimawii (Wife)_x000D_
Vill- Zotlang, Champhai_x000D_
Post- Zotlang_x000D_
Dist - Champhai_x000D_
PS-  Champhai_x000D_
State- Mizoram _x000D_
Pin- 796321</t>
  </si>
  <si>
    <t>618718483145</t>
  </si>
  <si>
    <t>20200290725</t>
  </si>
  <si>
    <t>S/O Abdul Wahid Laskar_x000D_
Nok - Alifa Begum (Wife)_x000D_
Vill- Saidpur Part III_x000D_
Post- Saidpur Mukan_x000D_
Dist - Cachar_x000D_
PS- Silchar_x000D_
State- Assam _x000D_
Pin- 788013</t>
  </si>
  <si>
    <t>7810 9481 9573</t>
  </si>
  <si>
    <t>20371646871</t>
  </si>
  <si>
    <t>17-Mar-1985</t>
  </si>
  <si>
    <t>S/O SUDAN KISKU_x000D_
Nok - Kishnu Kisku (Brother)_x000D_
Vill- Anlamsoli_x000D_
Post-Partappar_x000D_
Dist -Dumka_x000D_
PS- Ranishwar_x000D_
State- Jharkhand_x000D_
Pin- 814101</t>
  </si>
  <si>
    <t>272242879708</t>
  </si>
  <si>
    <t>11841016503</t>
  </si>
  <si>
    <t>27-Mar-1989</t>
  </si>
  <si>
    <t>S/O RL MANGZOALA_x000D_
Nok - Ngurdawli (Mother)_x000D_
Vill- Kawlkulh_x000D_
Post-Khawzawl_x000D_
Dist -Mizoram_x000D_
PS- Khawzawl_x000D_
State- Mizoram_x000D_
Pin- 796310</t>
  </si>
  <si>
    <t>914517320576</t>
  </si>
  <si>
    <t>20208191943</t>
  </si>
  <si>
    <t>5587</t>
  </si>
  <si>
    <t>12-Jan-1989</t>
  </si>
  <si>
    <t>S/O R LALSAWMA_x000D_
Nok -Lalrempuii Chhangte (Wife) _x000D_
Vill- Champhai, Venglai_x000D_
Post-Champhai_x000D_
Dist -Champhai_x000D_
PS- Champhai_x000D_
State- Mizoram_x000D_
Pin- 796321</t>
  </si>
  <si>
    <t>886093255717</t>
  </si>
  <si>
    <t>32177857647</t>
  </si>
  <si>
    <t>7301</t>
  </si>
  <si>
    <t>01-Jan-1997</t>
  </si>
  <si>
    <t>NOK-BITA DEVI (WIFE)_x000D_
S/O-HARIHAR RAY_x000D_
VILL-BANWARI_x000D_
POST-RAGHUNATHPUR_x000D_
DISTRICT-DUMKA_x000D_
STATE-JHARKHAND_x000D_
P.S-RANISHWAR_x000D_
PIN-814148</t>
  </si>
  <si>
    <t>97010414851</t>
  </si>
  <si>
    <t>01-Apr-2025</t>
  </si>
  <si>
    <t>5494</t>
  </si>
  <si>
    <t>S/O BHARAT BESHRA_x000D_
NoK -MALTI HANSDA (WIFE)_x000D_
Vill -BAGJOBRA_x000D_
Post -RAGHUNATHPUR_x000D_
Dist-DUMKA_x000D_
PS-RANISHWAR_x000D_
STATE- JHARKHAND_x000D_
PIN No-814148</t>
  </si>
  <si>
    <t>97014172996</t>
  </si>
  <si>
    <t>7287</t>
  </si>
  <si>
    <t>05-Apr-1998</t>
  </si>
  <si>
    <t>NOK-SHYAMLAL MARANDI (HUSBAND)_x000D_
H/O-SHYAMLAL MARANDI_x000D_
VILL-NATUNDIHI_x000D_
POST-BIMDASPUR_x000D_
DISTRICT-BIRBHUM_x000D_
STATE-WEST BENGAL_x000D_
P.S-MOHAMMAD BAZAR_x000D_
PIN-731127</t>
  </si>
  <si>
    <t>RECRUITED ON JAN 2025,_x000D_
A/C CHANGED WEF SEP 2025 OLD A/C NO 41977058783</t>
  </si>
  <si>
    <t>97016850439</t>
  </si>
  <si>
    <t>8129</t>
  </si>
  <si>
    <t>20-Apr-2005</t>
  </si>
  <si>
    <t>NOK-KAMAL BANDARI (FATHER)_x000D_
S/O-KAMAL BANDARI_x000D_
VILL-MURJORA_x000D_
POST-RANIBAHAL_x000D_
DISTRICT-DUMKA_x000D_
STATE-JHARKHAND_x000D_
P.S-MASANJOR_x000D_
PIN-814144</t>
  </si>
  <si>
    <t>97016765190</t>
  </si>
  <si>
    <t>17-Mar-2026</t>
  </si>
  <si>
    <t>2275</t>
  </si>
  <si>
    <t>06-Oct-1983</t>
  </si>
  <si>
    <t>398578612234</t>
  </si>
  <si>
    <t>20200287236</t>
  </si>
  <si>
    <t>7348</t>
  </si>
  <si>
    <t>05-Jul-1993</t>
  </si>
  <si>
    <t>NOK-J LALNUNZIRI (SISTER)_x000D_
S/O-J ZARZOLIANA_x000D_
VILL-VENGTHLANG 'N'_x000D_
POST-CHAMPHAI_x000D_
DISTRICT-CHAMPHAI_x000D_
STATE-MIZORAM_x000D_
P.S-CHAMPHAI_x000D_
PIN-796321</t>
  </si>
  <si>
    <t>34291546634</t>
  </si>
  <si>
    <t>29-May-2025</t>
  </si>
  <si>
    <t>7678</t>
  </si>
  <si>
    <t>NOK-PHULO TURI (MOTHER)_x000D_
S/O-JAYRAM TURI_x000D_
Vill -RADHANAGHAR_x000D_
Post -RADHANAGHAR_x000D_
Dist-PAKUR_x000D_
State-JHARKHAND_x000D_
PS-PAKURIA_x000D_
Pin- 816117</t>
  </si>
  <si>
    <t>97017081233</t>
  </si>
  <si>
    <t>SUBMITED_x000D_
NOV 2025</t>
  </si>
  <si>
    <t>10-Nov-2025</t>
  </si>
  <si>
    <t>7767</t>
  </si>
  <si>
    <t>27-Oct-1986</t>
  </si>
  <si>
    <t>NOK-H DAWNKIMA (HUSBAND)_x000D_
S/O-LALCHHANHIMA_x000D_
VILL-ZOTLANG_x000D_
POST-CHAMPHAI_x000D_
DISTRICT-CHAMPHAI_x000D_
STATE-MIZORAM_x000D_
P.S-CHAMPHAI_x000D_
PIN-796321</t>
  </si>
  <si>
    <t>97002856888</t>
  </si>
  <si>
    <t>7580</t>
  </si>
  <si>
    <t>24-Jun-1988</t>
  </si>
  <si>
    <t>NOK-LALTANPUII (WIFE)_x000D_
S/O-H.KHAWLMAWIA_x000D_
VILL-CHAMPHAI, ZOTLANG_x000D_
POST-ZOTLANG_x000D_
DISTRICT-CHAMPHAI_x000D_
STATE-MIZORAM_x000D_
P.S-CHAMPHAI_x000D_
PIN-796321</t>
  </si>
  <si>
    <t>97007610816</t>
  </si>
  <si>
    <t>342690</t>
  </si>
  <si>
    <t>01-Sep-2025</t>
  </si>
  <si>
    <t>7581</t>
  </si>
  <si>
    <t>15-Oct-1983</t>
  </si>
  <si>
    <t>NOK-DAWNKIMA (BROTHER)_x000D_
S/O-H.KHAWLMAWIA_x000D_
VILL-CHAMPHAI, ZOTLANG_x000D_
POST-ZOTLANG_x000D_
DISTRICT-CHAMPHAI_x000D_
STATE-MIZORAM_x000D_
P.S-CHAMPHAI_x000D_
PIN-796321</t>
  </si>
  <si>
    <t>97004203371</t>
  </si>
  <si>
    <t>7582</t>
  </si>
  <si>
    <t>02-Aug-1978</t>
  </si>
  <si>
    <t>NOK-ZONUNTHARI (WIFE)_x000D_
S/O-ROCHUNGNUNGA_x000D_
VILL-CHAMPHAI, ZOTLANG_x000D_
POST-ZOTLANG_x000D_
DISTRICT-CHAMPHAI_x000D_
STATE-MIZORAM_x000D_
P.S-CHAMPHAI_x000D_
PIN-796321</t>
  </si>
  <si>
    <t>97002961519</t>
  </si>
  <si>
    <t>7573</t>
  </si>
  <si>
    <t>NOK-PUTUL HEMBROM (WIFE)_x000D_
S/O-KHUKU HANSDA_x000D_
VILL-SULANGO_x000D_
POST-RANISHWAR_x000D_
DISTRICT-DUMKA_x000D_
STATE-JHARKHAND_x000D_
P.S-RANISHWAR_x000D_
PIN-814148</t>
  </si>
  <si>
    <t>97015228725</t>
  </si>
  <si>
    <t>23-Aug-2025</t>
  </si>
  <si>
    <t>8008</t>
  </si>
  <si>
    <t>31-Jul-1988</t>
  </si>
  <si>
    <t>NOK-LALNUNPUIA (HUSBAND)_x000D_
W/O-LALNUNPUIA_x000D_
VILL-ZOTLANG_x000D_
P.O-CHAMPHAI_x000D_
DIST-CHAMPHAI_x000D_
STATE-MIZORAM_x000D_
PS-CHAMPHAI_x000D_
PIN-796321</t>
  </si>
  <si>
    <t>97005249633</t>
  </si>
  <si>
    <t>22-Jan-2026</t>
  </si>
  <si>
    <t>7555</t>
  </si>
  <si>
    <t>NOK-SUNIL TUDU (FATHER)_x000D_
S/O-SUNIL TUDU _x000D_
VILL-GULAMSULI_x000D_
POST-PRATAPPUR_x000D_
DISTRICT-DUMKA_x000D_
STATE-JHARKHAND_x000D_
P.S-RANISHWAR_x000D_
PIN-814148</t>
  </si>
  <si>
    <t>97016886319</t>
  </si>
  <si>
    <t>7556</t>
  </si>
  <si>
    <t>01-Jan-1996</t>
  </si>
  <si>
    <t>NOK-HEMLAL HANSDA (BROTHER)_x000D_
S/O-MOHILAL HANSDA_x000D_
VILL-SALTOLA_x000D_
POST-RANGALIA_x000D_
DISTRICT-DUMKA_x000D_
STATE-JHARKHAND_x000D_
P.S-RANISHWAR_x000D_
PIN-814148</t>
  </si>
  <si>
    <t>97016887346</t>
  </si>
  <si>
    <t>7562</t>
  </si>
  <si>
    <t>NOK-MANGAL TUDU (FATHERS)_x000D_
S/O-MANGAL TUDU_x000D_
VILL-GULAMSULI _x000D_
POST-PRATAPPUR_x000D_
DISTRICT-DUMKA_x000D_
STATE-JHARKHAND_x000D_
P.S-RANISHWAR_x000D_
PIN-814148</t>
  </si>
  <si>
    <t>97016887313</t>
  </si>
  <si>
    <t>8009</t>
  </si>
  <si>
    <t>NOK-MIRO HEMBROM (MOTHER)_x000D_
S/O-ESHWAR TUDU_x000D_
VILL-PIPRA_x000D_
POST-ASTAJORA_x000D_
DISTRICT-DUMKA_x000D_
STATE-JHARKHAND_x000D_
P.S-KATHIKUND_x000D_
PIN-814158</t>
  </si>
  <si>
    <t>97015515617</t>
  </si>
  <si>
    <t>02-Feb-2026</t>
  </si>
  <si>
    <t>8011</t>
  </si>
  <si>
    <t>12-Mar-2003</t>
  </si>
  <si>
    <t>NOK   : SABITRI MURMU (WIFE)_x000D_
S/O   : MANGAL MARANDI_x000D_
Vill  : SULUNGA_x000D_
PO    : RAGHUNATHPUR_x000D_
PS    : RANISHWAR_x000D_
Dist  : DUMKA_x000D_
State : JHARK</t>
  </si>
  <si>
    <t>97017265120</t>
  </si>
  <si>
    <t>8012</t>
  </si>
  <si>
    <t>NOK   : SUSHILA HEMBROM (SISTER)_x000D_
S/O   : RUBUN HEMBRAM_x000D_
Vill  : PIPRA_x000D_
PO    : ASTAJORA_x000D_
PS    : KATHIKUND_x000D_
Dist  : DUMKA_x000D_
State : JHARKHAND_x000D_
Pin   : 814103</t>
  </si>
  <si>
    <t>97014493137</t>
  </si>
  <si>
    <t>8013</t>
  </si>
  <si>
    <t>01-Jan-2006</t>
  </si>
  <si>
    <t>NOK   : SISUF MARANDI (FATHER)_x000D_
S/O   : SISUF MARANDI_x000D_
Vill  : BANSBONA_x000D_
PO    : JAITARA_x000D_
PS    : RANISHWAR_x000D_
Dist  : DUMKA_x000D_
State : JHARKHAND_x000D_
Pin   : 814144</t>
  </si>
  <si>
    <t>97017265039</t>
  </si>
  <si>
    <t>7222</t>
  </si>
  <si>
    <t>SKD-III/MATE</t>
  </si>
  <si>
    <t>02-Apr-2002</t>
  </si>
  <si>
    <t>97015491151</t>
  </si>
  <si>
    <t>02-Dec-2024</t>
  </si>
  <si>
    <t>7073</t>
  </si>
  <si>
    <t>NoK - Maku Marandi (Mother)_x000D_
S/o- Raman Tudu_x000D_
Vill - Gulamsuli_x000D_
Post - Pratappur_x000D_
Dist-Dumka_x000D_
PS-Ranishwar_x000D_
State - Jharkhand_x000D_
PIN No-814148</t>
  </si>
  <si>
    <t>97015704535</t>
  </si>
  <si>
    <t>06-Aug-2024</t>
  </si>
  <si>
    <t>7636</t>
  </si>
  <si>
    <t>NOK-ANITA MURMU (WIFE)_x000D_
S/O-CHUNDA TUDU_x000D_
VILL-GULAMSULI _x000D_
P.O-PRATAPPUR_x000D_
DIST-DUMKA_x000D_
STATE-JHARKHAND_x000D_
PS-RANISHWAR_x000D_
PIN-814148</t>
  </si>
  <si>
    <t>35856254168</t>
  </si>
  <si>
    <t>8126</t>
  </si>
  <si>
    <t>NOK   : SUSHILA HEMBROM (SISTER)_x000D_
S/O   : RUBON HEMBROM_x000D_
Vill  : PIPRA_x000D_
PO    : ASIATORA_x000D_
PS    : KATHIKUND_x000D_
Dist  : DUMKA_x000D_
State : JHARKHAND_x000D_
Pin   : 814103</t>
  </si>
  <si>
    <t>97017286945</t>
  </si>
  <si>
    <t>7574</t>
  </si>
  <si>
    <t>NOK-SAKADI SOREN _x000D_
S/O-BEJUN TUDU_x000D_
VILL-GULAMSULI_x000D_
POST-PRATAPPUR_x000D_
DISTRICT-DUMKA_x000D_
STATE-JHARKHAND_x000D_
P.S-RANISHWAR_x000D_
PIN-814148</t>
  </si>
  <si>
    <t>97010368697</t>
  </si>
  <si>
    <t>7566</t>
  </si>
  <si>
    <t>NOK-RANI MURMU (WIFE)_x000D_
S/O-SUJAN TUDU_x000D_
VILL-SULANGO_x000D_
POST-RAGHUNATHPUR_x000D_
DISTRICT-DUMKA_x000D_
STATE-JHARKHAND_x000D_
P.S-RANSIHWAR_x000D_
PIN-814148</t>
  </si>
  <si>
    <t>97011127505</t>
  </si>
  <si>
    <t>290470</t>
  </si>
  <si>
    <t>633160</t>
  </si>
  <si>
    <t>MR No. 74 RCC/04/ SEP 2026, JOB No. 80/515 (PSK)</t>
  </si>
  <si>
    <t>8128</t>
  </si>
  <si>
    <t>FOIJ UDDIN LASKAR</t>
  </si>
  <si>
    <t>01-Jan-1980</t>
  </si>
  <si>
    <t>NOK-SURMAN ALI LASKAR (WIFE)_x000D_
S/O-SURMAN ALI LASKAR_x000D_
VILL-SAIDPUR  MUKAM_x000D_
POST-SAIDPUR PTU_x000D_
DISTRICT-CACHAR ASSAM_x000D_
STATE-ASSAM _x000D_
P.S-SONAI CACHAR_x000D_
PIN-788013</t>
  </si>
  <si>
    <t>35363911568</t>
  </si>
  <si>
    <t>06-Mar-2026</t>
  </si>
  <si>
    <t>8173</t>
  </si>
  <si>
    <t>NOK: MAYNO MURMU (WIFE)_x000D_
S/O : CHHOTKA TUDU_x000D_
VILL : GULAMSULI_x000D_
POST : PRATAPPUR_x000D_
DISTT: DUMKA_x000D_
STATE: JHARKHAND_x000D_
PIN  : 814148_x000D_
PS   : RANISHWAR</t>
  </si>
  <si>
    <t>97008627976</t>
  </si>
  <si>
    <t>16-Apr-2026</t>
  </si>
  <si>
    <t>7095</t>
  </si>
  <si>
    <t>12-Oct-2001</t>
  </si>
  <si>
    <t>97014059685</t>
  </si>
  <si>
    <t>21-Aug-2024</t>
  </si>
  <si>
    <t>6282</t>
  </si>
  <si>
    <t>01-Jan-1975</t>
  </si>
  <si>
    <t>S/O HIYAT SEKH_x000D_
Nok - Marjina Sekh (Wife)_x000D_
Vill- Natun_x000D_
Post-Naopara_x000D_
Dist -Nadia_x000D_
PS- Dhubulia_x000D_
State- West Bengal_x000D_
Pin- 741140</t>
  </si>
  <si>
    <t>Newly recruited_x000D_
Sep 2023</t>
  </si>
  <si>
    <t>20125873011</t>
  </si>
  <si>
    <t>8374</t>
  </si>
  <si>
    <t>10-May-2003</t>
  </si>
  <si>
    <t>NOK-KALICHARAN HANSDA (FATHER)_x000D_
S/O-KALICHARAN HANSDA_x000D_
VILL-GULAMSULI_x000D_
POST-PRATAPPUR_x000D_
DISTRICT-DUMKA_x000D_
STATE-JHARKHAND_x000D_
P.S-RANSISHWAR_x000D_
PIN-814148</t>
  </si>
  <si>
    <t>97015111126</t>
  </si>
  <si>
    <t>10-Jul-2026</t>
  </si>
  <si>
    <t>8375</t>
  </si>
  <si>
    <t>15-Mar-1998</t>
  </si>
  <si>
    <t>NOK: DAROGA MARANDI (HUSBAND)_x000D_
S/O: CHATUR BESRA_x000D_
VILL: BAGJOBRA_x000D_
P-O: AMJORA_x000D_
DIST: DUMKA_x000D_
STATE: JHARKHAND_x000D_
P-S: RANISHWAR_x000D_
PIN: 814148</t>
  </si>
  <si>
    <t>45362544207</t>
  </si>
  <si>
    <t>8376</t>
  </si>
  <si>
    <t>10-Oct-2007</t>
  </si>
  <si>
    <t>NOK: SADANI HEMBROM (MOTHER)_x000D_
S/O: GIRISH SOREN_x000D_
VILL: MURJORA_x000D_
P-O: RANIBAHAL_x000D_
DIST: DUMKA_x000D_
STATE: JHARKHAND_x000D_
P-S: MASSAN JOR_x000D_
PIN: 814144</t>
  </si>
  <si>
    <t>43097339020</t>
  </si>
  <si>
    <t>14-Jul-2026</t>
  </si>
  <si>
    <t>8377</t>
  </si>
  <si>
    <t>13-Dec-1980</t>
  </si>
  <si>
    <t>NOK: MANKI BESRA (WIFE)_x000D_
S/O: MISTRI MARANDI_x000D_
VILL: MAHISHAGRAM_x000D_
P-O: TABADUMBRU_x000D_
DIST: BIRBHUM_x000D_
STATE: WEST BENGAL_x000D_
P-S: RAJNAGAR_x000D_
PIN: 731126</t>
  </si>
  <si>
    <t>43616262062</t>
  </si>
  <si>
    <t>15-Jul-2026</t>
  </si>
  <si>
    <t>01-Jan-1991</t>
  </si>
  <si>
    <t>97017363295</t>
  </si>
  <si>
    <t>6138</t>
  </si>
  <si>
    <t>01-Feb-1985</t>
  </si>
  <si>
    <t>S/O ARAB ALI LASKAR_x000D_
Nok - Rofola Bagum Barbuiya (Wife)_x000D_
Vill- Dungaripar_x000D_
Post-Dungaripar_x000D_
Dist -Cachar_x000D_
PS- Lokhipur_x000D_
State- Assam_x000D_
Pin- 788101</t>
  </si>
  <si>
    <t>756594196947</t>
  </si>
  <si>
    <t>20300102195</t>
  </si>
  <si>
    <t>4069</t>
  </si>
  <si>
    <t>01-Jan-1974</t>
  </si>
  <si>
    <t>658325446850</t>
  </si>
  <si>
    <t>42266505484</t>
  </si>
  <si>
    <t>1</t>
  </si>
  <si>
    <t>31-Aug-2026</t>
  </si>
  <si>
    <t>7319</t>
  </si>
  <si>
    <t>21-Sep-1985</t>
  </si>
  <si>
    <t>NOK-RUMONA BAGUM LASKAR (WIFE)_x000D_
S/O-MOSSIR UDDIN LASKAR_x000D_
VILL-SAIDPUR_x000D_
POST-MUKAM_x000D_
DISTRICT-CACHAR_x000D_
STATE-ASSAM_x000D_
P.S-SADARTANA_x000D_
PIN-788013</t>
  </si>
  <si>
    <t>20095058803</t>
  </si>
  <si>
    <t>21-Apr-2025</t>
  </si>
  <si>
    <t>7563</t>
  </si>
  <si>
    <t>NOK-SHYAMLI TUDU (MOTHER)_x000D_
S/O-PULIS HEMBRAM_x000D_
VILL-MASANJOR_x000D_
POST-BILKANDI_x000D_
DISTRICT-DUMKA_x000D_
STATE-JHARKHAND_x000D_
P.S-RANISHWAR_x000D_
PIN-814144</t>
  </si>
  <si>
    <t>97016886295</t>
  </si>
  <si>
    <t>8016</t>
  </si>
  <si>
    <t>03-Feb-1987</t>
  </si>
  <si>
    <t>NOK   : SIKA MARANDI (WIFE)_x000D_
S/O   : CHUTAR TUDU_x000D_
Vill  : JITPUR_x000D_
PO    : BAGNAL THANAMAXJOR_x000D_
PS    : MASANJOR_x000D_
Dist  : DUMKA_x000D_
State : JHARKHAND_x000D_
Pin   : 814144</t>
  </si>
  <si>
    <t>97017265119</t>
  </si>
  <si>
    <t>03-Feb-2026</t>
  </si>
  <si>
    <t>8017</t>
  </si>
  <si>
    <t>NOK   : MANI MARANDI (WIFE)_x000D_
S/O   : LABIN HEMBROM_x000D_
Vill  : MASANJOR_x000D_
PO    : BILKANDI_x000D_
PS    : RANISHWAR_x000D_
Dist  : DUMKA_x000D_
State : JHARKHAND_x000D_
Pin   : 814144</t>
  </si>
  <si>
    <t>97017265095</t>
  </si>
  <si>
    <t>7575</t>
  </si>
  <si>
    <t>97015481369</t>
  </si>
  <si>
    <t>7682</t>
  </si>
  <si>
    <t>BABUSAL KISKU</t>
  </si>
  <si>
    <t>24-Feb-1996</t>
  </si>
  <si>
    <t>97017079971</t>
  </si>
  <si>
    <t>7825</t>
  </si>
  <si>
    <t>06-Jul-1986</t>
  </si>
  <si>
    <t>20172738871</t>
  </si>
  <si>
    <t>SUBMITTEDDEC 2025</t>
  </si>
  <si>
    <t>22-Nov-2025</t>
  </si>
  <si>
    <t>7558</t>
  </si>
  <si>
    <t>NOK-BUDHAN MURMU (FATHER)_x000D_
S/O-BUDHAN MURMU_x000D_
VILL-BELBONI_x000D_
POST-TANGDAHA_x000D_
DISTRICT-DUMKA_x000D_
STATE-JHARKHAND_x000D_
P.S-RANISHWAR_x000D_
PIN-814148</t>
  </si>
  <si>
    <t>97016886375</t>
  </si>
  <si>
    <t>8371</t>
  </si>
  <si>
    <t>16-Feb-1978</t>
  </si>
  <si>
    <t>20125872121</t>
  </si>
  <si>
    <t>8372</t>
  </si>
  <si>
    <t>NOK: RANI MURMU (WIFE)_x000D_
S/O: SUJAN TUDU_x000D_
VILL: SULANGO_x000D_
P-O: KUMIRDAHA_x000D_
DIST: DUMKA_x000D_
STATE: JHARKHAND_x000D_
P-S: RANISHWAR_x000D_
PIN: 814148</t>
  </si>
  <si>
    <t>97015200049</t>
  </si>
  <si>
    <t>30-Jun-2026</t>
  </si>
  <si>
    <t>8040</t>
  </si>
  <si>
    <t>NOK   : MANG HANSDA (MOTHER)_x000D_
S/O   : LATE RATAN HEMBROM_x000D_
Vill  : KALHAJHOR_x000D_
PO    : SIMALJOR_x000D_
PS    : SHIKARIPARA_x000D_
Dist  : DUMKA_x000D_
State : JHARKHAND_x000D_
Pin   : 816118</t>
  </si>
  <si>
    <t>97012346661</t>
  </si>
  <si>
    <t>8492</t>
  </si>
  <si>
    <t>784106108335</t>
  </si>
  <si>
    <t>97016886273</t>
  </si>
  <si>
    <t>23-Jul-2026</t>
  </si>
  <si>
    <t>8493</t>
  </si>
  <si>
    <t>785022006738</t>
  </si>
  <si>
    <t>35334964820</t>
  </si>
  <si>
    <t>8494</t>
  </si>
  <si>
    <t>02-Aug-2004</t>
  </si>
  <si>
    <t>781963394273</t>
  </si>
  <si>
    <t>97014173092</t>
  </si>
  <si>
    <t>8495</t>
  </si>
  <si>
    <t>785093250252</t>
  </si>
  <si>
    <t>97010848006</t>
  </si>
  <si>
    <t>8496</t>
  </si>
  <si>
    <t>782272136619</t>
  </si>
  <si>
    <t>97015296047</t>
  </si>
  <si>
    <t>27-Jul-2026</t>
  </si>
  <si>
    <t>8497</t>
  </si>
  <si>
    <t>710725154248</t>
  </si>
  <si>
    <t>44105936501</t>
  </si>
  <si>
    <t>8498</t>
  </si>
  <si>
    <t>02-Dec-2002</t>
  </si>
  <si>
    <t>785099337729</t>
  </si>
  <si>
    <t>45391581787</t>
  </si>
  <si>
    <t>8499</t>
  </si>
  <si>
    <t>05-Aug-2026</t>
  </si>
  <si>
    <t>8500</t>
  </si>
  <si>
    <t>01-Jan-1990</t>
  </si>
  <si>
    <t>97012366075</t>
  </si>
  <si>
    <t>8501</t>
  </si>
  <si>
    <t>41865512919</t>
  </si>
  <si>
    <t>8503</t>
  </si>
  <si>
    <t>19-Jan-1990</t>
  </si>
  <si>
    <t>20171875127</t>
  </si>
  <si>
    <t>19-Aug-2026</t>
  </si>
  <si>
    <t>8545</t>
  </si>
  <si>
    <t>SUBHASH RAY MELAR</t>
  </si>
  <si>
    <t>01/01/1981</t>
  </si>
  <si>
    <t>HARI LAL MELAR</t>
  </si>
  <si>
    <t>NOK-PARMILA DEVI (WIFE)
S/O-HARI LAL MELAR
VILL-PHAJILPUR
P.O-PRATAPPUR
DIST-DUMKA
PS-KOTWALI RANISHWAR
STATE-JHARKHAND
PIN-814148</t>
  </si>
  <si>
    <t>3916 3210 8410</t>
  </si>
  <si>
    <t>7822 0559 2634</t>
  </si>
  <si>
    <t>97015746688</t>
  </si>
  <si>
    <t>252010</t>
  </si>
  <si>
    <t>24-Aug-2026</t>
  </si>
  <si>
    <t>598370</t>
  </si>
  <si>
    <t>MR No. 74 RCC/5/ SEP 2026, JOB No. MAINT CHK 2026-27 (KM 10.00 TO 75.50)</t>
  </si>
  <si>
    <t>5485</t>
  </si>
  <si>
    <t>97008627783</t>
  </si>
  <si>
    <t>6890</t>
  </si>
  <si>
    <t>97015511612</t>
  </si>
  <si>
    <t>06-May-2024</t>
  </si>
  <si>
    <t>6255</t>
  </si>
  <si>
    <t>S/O NUNDU TUDU_x000D_
Nok -Maroi (Wife)_x000D_
Vill- Near Prsbyterian Church, HHanlan_x000D_
Post-Hhanlan_x000D_
Dist -Khawzal_x000D_
PS- Champhai_x000D_
State- Mizoram _x000D_
Pin- 796321</t>
  </si>
  <si>
    <t>697084817115</t>
  </si>
  <si>
    <t>97011049046</t>
  </si>
  <si>
    <t>4490</t>
  </si>
  <si>
    <t>05-May-1995</t>
  </si>
  <si>
    <t>S/O HOPNA MURMU_x000D_
Nok - Nuni Soren (Wife)_x000D_
Vill- Bishundin_x000D_
Post-Jayharipur_x000D_
Dist -Dumka_x000D_
PS- Ranishwar_x000D_
State- Jharkhand_x000D_
Pin- 814148</t>
  </si>
  <si>
    <t>446721471412</t>
  </si>
  <si>
    <t>97012126102</t>
  </si>
  <si>
    <t>7420</t>
  </si>
  <si>
    <t>NOK-NILAM DEVI (WIFE)_x000D_
S/O-RAMBRIKSH RAY_x000D_
VILL-NAGBIL_x000D_
P.O-GUHIAJORI_x000D_
DIST-DUMKA_x000D_
PS-MASALIA_x000D_
STATE-JHARKHAND_x000D_
PIN-814158</t>
  </si>
  <si>
    <t>20127921521</t>
  </si>
  <si>
    <t>06-Aug-2025</t>
  </si>
  <si>
    <t>7188</t>
  </si>
  <si>
    <t>07-Jul-1996</t>
  </si>
  <si>
    <t>NOK-SOMI (WIFE)_x000D_
S/O-HOPNO MURMU,_x000D_
VILL-SANLIPUR_x000D_
P.O-SANLIPUR_x000D_
DIST-NALBARI_x000D_
PS-DHAMDHAMA_x000D_
STATE-ASSAM_x000D_
PIN-781349</t>
  </si>
  <si>
    <t>20200290656</t>
  </si>
  <si>
    <t>02-Nov-2024</t>
  </si>
  <si>
    <t>S/O KHUALKHANTHANGA_x000D_
Nok - Dimenliani (Wife)_x000D_
Vill- Vapar_x000D_
Post- Champhai_x000D_
Dist -Champhai_x000D_
PS- Champhai_x000D_
State- Mizoram_x000D_
Pin- 796321</t>
  </si>
  <si>
    <t>379610972945</t>
  </si>
  <si>
    <t>20172738463</t>
  </si>
  <si>
    <t>4518</t>
  </si>
  <si>
    <t>S/O SUJAN DEHRI_x000D_
Nok - Kalabati (Wife)_x000D_
Vill- Bijaypur_x000D_
Post-Sadipur_x000D_
Dist -Dumka_x000D_
PS- Sadipur_x000D_
State- Jharkhand_x000D_
Pin- 814101</t>
  </si>
  <si>
    <t>247270527408</t>
  </si>
  <si>
    <t>34329079385</t>
  </si>
  <si>
    <t>7113</t>
  </si>
  <si>
    <t>NOK-SUNIRAM MURMU (BROTHER)_x000D_
W/o-DHANESWAR TUDU,_x000D_
VILL-RAJBARI_x000D_
P.O-PAKURIA_x000D_
DIST-PAKUR_x000D_
PS-PAKURIA_x000D_
STATE-JHARKHAND_x000D_
PIN-816117</t>
  </si>
  <si>
    <t>97014032641</t>
  </si>
  <si>
    <t>09-Sep-2024</t>
  </si>
  <si>
    <t>7332</t>
  </si>
  <si>
    <t>07-Feb-1984</t>
  </si>
  <si>
    <t>NOK-CHABI DEVI (WIFE),_x000D_
S/O-HARADHAN RAI_x000D_
VILL-KATHALDIHA_x000D_
P.O-RANIBAHAL_x000D_
DIST-DUMKA_x000D_
STATE-JHARKHAND_x000D_
PS-MASANJORE_x000D_
PIN-814144</t>
  </si>
  <si>
    <t>97010488755</t>
  </si>
  <si>
    <t>7334</t>
  </si>
  <si>
    <t>NOK-MANJU DEVI (MOTHER),_x000D_
S/O-BASUDEV RAY_x000D_
VILL-ASANBANI_x000D_
P.O-CHAINPUR KERABANI_x000D_
DIST-DUMKA_x000D_
STATE-JHARKHAND_x000D_
PS-MUFFASIL_x000D_
PIN-814158</t>
  </si>
  <si>
    <t>97015108317</t>
  </si>
  <si>
    <t>7362</t>
  </si>
  <si>
    <t>07-Nov-1985</t>
  </si>
  <si>
    <t>97016730586</t>
  </si>
  <si>
    <t>05-Jul-2025</t>
  </si>
  <si>
    <t>7693</t>
  </si>
  <si>
    <t>NOK-RAMLAL RAY (FATHER)_x000D_
S/O-RAMLAL RAY_x000D_
Vill -HATHIMARA_x000D_
Post -BARKIYARI_x000D_
PS-MAHESHPUR_x000D_
Dist-PAKUR_x000D_
State-JHARKHAND_x000D_
Pin- 816106</t>
  </si>
  <si>
    <t>97016994629</t>
  </si>
  <si>
    <t>26</t>
  </si>
  <si>
    <t>21-Oct-2025</t>
  </si>
  <si>
    <t>5382</t>
  </si>
  <si>
    <t>15-Feb-1983</t>
  </si>
  <si>
    <t>S/O CHOTA SOREN_x000D_
Nok -Niangsuannuani (SON)_x000D_
Vill- Vapar_x000D_
Post-Champhai_x000D_
Dist -Champhai_x000D_
PS- Champhai_x000D_
State- Mizoram_x000D_
Pin- 796321</t>
  </si>
  <si>
    <t>423413361901</t>
  </si>
  <si>
    <t>35289460243</t>
  </si>
  <si>
    <t>13-Jan-1989</t>
  </si>
  <si>
    <t>97008323161</t>
  </si>
  <si>
    <t>2279</t>
  </si>
  <si>
    <t>07-Oct-1979</t>
  </si>
  <si>
    <t>S/O JIWAN RANA_x000D_
Nok -Lalrim ruafi (Son)_x000D_
Vill- Bhilagorh_x000D_
Post-Saraidaha_x000D_
Dist - Dumka_x000D_
PS- Dumka_x000D_
State- Jharkhand_x000D_
Pin- 814103</t>
  </si>
  <si>
    <t>366791316243</t>
  </si>
  <si>
    <t>20119710065</t>
  </si>
  <si>
    <t>7392</t>
  </si>
  <si>
    <t>01-Jan-1981</t>
  </si>
  <si>
    <t>NOK-LAKHA DEVI (WIFE)_x000D_
S/O-LALCHAND RAY_x000D_
VILL-PAKPAHDI_x000D_
P.O-BILKANDI_x000D_
DIST-DUMKA_x000D_
STATE-JHARKHAND_x000D_
PS-RANISHWAR_x000D_
PIN-814144</t>
  </si>
  <si>
    <t>97006953231</t>
  </si>
  <si>
    <t>05-Aug-2025</t>
  </si>
  <si>
    <t>7868</t>
  </si>
  <si>
    <t>NOK‑ LUKHI TUDU (WIFE)_x000D_
S/O‑ MOTI MARANDI_x000D_
VILL – JAMDALI PAHARPUR  _x000D_
P.O – NISCHINTPUR  _x000D_
P.S – JAMA  _x000D_
DIST – DUMKA  _x000D_
STATE – JHARKHAND  _x000D_
PIN – 814110</t>
  </si>
  <si>
    <t>97011046590</t>
  </si>
  <si>
    <t>27</t>
  </si>
  <si>
    <t>10-Jan-2026</t>
  </si>
  <si>
    <t>8065</t>
  </si>
  <si>
    <t>97015663621</t>
  </si>
  <si>
    <t>06-Feb-2026</t>
  </si>
  <si>
    <t>8021</t>
  </si>
  <si>
    <t>04-Mar-2003</t>
  </si>
  <si>
    <t>NOK   : NGAILAMNIANGI (MOTHER)_x000D_
S/O   : PAULIANA (L)_x000D_
Vill  : SELAM_x000D_
PO    : SELAM_x000D_
PS    : CHAMPHAI_x000D_
Dist  : CHAMPHAI_x000D_
State : MIZORAM_x000D_
Pin   : 796321</t>
  </si>
  <si>
    <t>44842999947</t>
  </si>
  <si>
    <t>327360</t>
  </si>
  <si>
    <t>8058</t>
  </si>
  <si>
    <t>NOK   : SANODI MURMU (MOTHER)_x000D_
S/O   : ALADHAN MARANDI_x000D_
Vill  : SITASAL_x000D_
PO    : KATHALIA_x000D_
PS    : MASALIA_x000D_
Dist  : DUMKA_x000D_
State : JHARKHAND_x000D_
Pin   : 814119</t>
  </si>
  <si>
    <t>97017265108</t>
  </si>
  <si>
    <t>8060</t>
  </si>
  <si>
    <t>01-Jan-1995</t>
  </si>
  <si>
    <t>NOK   : ANDRIYAS SOREN (SON)_x000D_
S/O   : RASIK SOREN_x000D_
Vill  : HARWA DANGAL_x000D_
PO    : MAHUBANA_x000D_
PS    : RAMGARH_x000D_
Dist  : DUMKA_x000D_
State : JHARKHAND_x000D_
Pin   : 814102</t>
  </si>
  <si>
    <t>97016082443</t>
  </si>
  <si>
    <t>8062</t>
  </si>
  <si>
    <t>14-Jul-1994</t>
  </si>
  <si>
    <t>NOK   : BAHAMUNI TUDU (WIFE)_x000D_
S/O   : RASIK MURMU_x000D_
Vill  : DHARAMPUR_x000D_
PO    : MAKRAMPUR_x000D_
PS    : MASALIA_x000D_
Dist  : DUMKA_x000D_
State : JHARKHAND_x000D_
Pin   : 814119</t>
  </si>
  <si>
    <t>97017265142</t>
  </si>
  <si>
    <t>8174</t>
  </si>
  <si>
    <t>NOK: BASANTI DEVI (WIFE)_x000D_
S/O : RATAN RAY_x000D_
VILL : AHARICHUWAN_x000D_
POST : KARUDIH_x000D_
DISTT: DUMKA_x000D_
STATE: JHARKHAND_x000D_
PIN : 816117_x000D_
PS : GOPIKANDAR</t>
  </si>
  <si>
    <t>97016108724</t>
  </si>
  <si>
    <t>25-Mar-2026</t>
  </si>
  <si>
    <t>8175</t>
  </si>
  <si>
    <t>17-Mar-2001</t>
  </si>
  <si>
    <t>NOK: BABY DEVI (MOTHER)_x000D_
S/O : BHUVNESHWAR RAY_x000D_
VILL : KATHALDIHA_x000D_
POST : RANIBAHAL_x000D_
DISTT: DUMKA_x000D_
STATE: JHARKHAND_x000D_
PIN : 814144_x000D_
PS : MASANJORE</t>
  </si>
  <si>
    <t>97015508734</t>
  </si>
  <si>
    <t>8202</t>
  </si>
  <si>
    <t>NOK: BASANTI RAY (WIFE)_x000D_
S/O : HARI RAY_x000D_
VILL : KATHALDIHA_x000D_
POST : RANIBAHAL_x000D_
DISTT: DUMKA_x000D_
STATE: JHARKHAND_x000D_
PIN : 814144_x000D_
PS : MASSANJORE</t>
  </si>
  <si>
    <t>97013321952</t>
  </si>
  <si>
    <t>8203</t>
  </si>
  <si>
    <t>21-Mar-1999</t>
  </si>
  <si>
    <t>NOK: RENUKUMARI (WIFE)_x000D_
S/O : SABU RAY_x000D_
VILL : KATHALDIHA_x000D_
POST : RANIBAHAL_x000D_
DISTT: DUMKA_x000D_
STATE: JHARKHAND_x000D_
PIN : 814144_x000D_
PS : MASSANJORE</t>
  </si>
  <si>
    <t>97010488857</t>
  </si>
  <si>
    <t>7687</t>
  </si>
  <si>
    <t>15-Feb-1980</t>
  </si>
  <si>
    <t>97012379925</t>
  </si>
  <si>
    <t>7689</t>
  </si>
  <si>
    <t>17-Sep-1996</t>
  </si>
  <si>
    <t>NOK-KIST RAY (FATHER)_x000D_
S/O-KIST RAY_x000D_
VILL-KATHALDIHA_x000D_
P.O-RANIBAHAL_x000D_
DIST-DUMKA_x000D_
STATE-JHARKHAND_x000D_
PS-MASSANJORE_x000D_
PIN-814144</t>
  </si>
  <si>
    <t>97016994460</t>
  </si>
  <si>
    <t>8239</t>
  </si>
  <si>
    <t>06-Mar-2007</t>
  </si>
  <si>
    <t>NOK- MINA DEVI (MOTHER)_x000D_
S/O- LATE SAHADEV RAY_x000D_
VILL- MURJORA_x000D_
PO- RANIBAHAL_x000D_
DIST- DUMKA_x000D_
STATE- JHARKHAND_x000D_
PS- MASANJOR_x000D_
PIN- 814144</t>
  </si>
  <si>
    <t>97017500051</t>
  </si>
  <si>
    <t>08-May-2026</t>
  </si>
  <si>
    <t>8240</t>
  </si>
  <si>
    <t>NOK- MINU DEVI (MOTHER)_x000D_
S/O- PARESH NATH RAY_x000D_
VILL- MURJORA_x000D_
PO- RANIBAHAL_x000D_
DIST- DUMKA_x000D_
STATE- JHARKHAND_x000D_
PS- MASSANJORE_x000D_
PIN- 814144</t>
  </si>
  <si>
    <t>97017500028</t>
  </si>
  <si>
    <t>8241</t>
  </si>
  <si>
    <t>05-Apr-2000</t>
  </si>
  <si>
    <t>NOK- BUMI HANSDA (MOTHER)_x000D_
S/O- SUSHIL SOREN_x000D_
VILL- MURJORA_x000D_
PO- RANIBAHAL_x000D_
DIST- DUMKA_x000D_
STATE- JHARKHAND_x000D_
PS- MASANJOR_x000D_
PIN- 814144</t>
  </si>
  <si>
    <t>97012218801</t>
  </si>
  <si>
    <t>8022</t>
  </si>
  <si>
    <t>04-Feb-1991</t>
  </si>
  <si>
    <t>NOK   : DALMUANTHANGA (HUSBAND)_x000D_
W/O   : DALMUANTHANGA_x000D_
Vill  : SELAM_x000D_
PO    : SELAM_x000D_
PS    : CHAMPHAI_x000D_
Dist  : CHAMPHAI_x000D_
State : MIZORAM_x000D_
Pin   : 796321</t>
  </si>
  <si>
    <t>20429723004</t>
  </si>
  <si>
    <t>8027</t>
  </si>
  <si>
    <t>97017245217</t>
  </si>
  <si>
    <t>8028</t>
  </si>
  <si>
    <t>03-Jan-1996</t>
  </si>
  <si>
    <t>NOK   : JOSINA RAY (WIFE)_x000D_
S/O   : SATYANARYAN RAY_x000D_
Vill  : KATHALDIHA_x000D_
PO    : RANIBAHAL_x000D_
PS    : MASANJOR_x000D_
Dist  : DUMKA_x000D_
State : JHARKHAND_x000D_
Pin   : 814144</t>
  </si>
  <si>
    <t>97017245228</t>
  </si>
  <si>
    <t>8030</t>
  </si>
  <si>
    <t>NOK   : JAGU HEMBROM (FATHER)_x000D_
S/O   :JAGU HEMBROM_x000D_
Vill  : MURJORA_x000D_
PO    : RANIBAHAL_x000D_
PS    : MASANJORE_x000D_
Dist  : DUMKA_x000D_
State : JHARKHAND_x000D_
Pin   : 814144</t>
  </si>
  <si>
    <t>97017245035</t>
  </si>
  <si>
    <t>8031</t>
  </si>
  <si>
    <t>15-Jun-1992</t>
  </si>
  <si>
    <t>NOK   : DEWANTI RAY (WIFE)_x000D_
S/O   : LATE ASHWANI RAY_x000D_
Vill  : KATHALDIHA_x000D_
PO    : RANIBAHAL_x000D_
PS    : MASANJORE_x000D_
Dist  : DUMKA_x000D_
State : JHARKHAND_x000D_
Pin   : 814144</t>
  </si>
  <si>
    <t>97017244950</t>
  </si>
  <si>
    <t>8032</t>
  </si>
  <si>
    <t>NOK   :SHAMTILATA KISKU (WIFE)_x000D_
S/O   : PAYKA MURMU_x000D_
Vill  : DEWANBARI_x000D_
PO    : RANIBAHAL_x000D_
PS    : MASSANJORE_x000D_
Dist  : DUMKA_x000D_
State : JHARKHAND_x000D_
Pin   : 814144</t>
  </si>
  <si>
    <t>97012379798</t>
  </si>
  <si>
    <t>8033</t>
  </si>
  <si>
    <t>22-Oct-1995</t>
  </si>
  <si>
    <t>NOK   : PARBATI ROI (MOTHER)_x000D_
S/O   : PATU RAY_x000D_
Vill  : MAHULA_x000D_
PO    : SAJINA_x000D_
PS    : SURI_x000D_
Dist  : BIRBHUM_x000D_
State : WEST BENGAL_x000D_
Pin   : 731126</t>
  </si>
  <si>
    <t>97012379685</t>
  </si>
  <si>
    <t>8035</t>
  </si>
  <si>
    <t>NOK   : DEVISHAR MARANDI (FATHER)_x000D_
S/O   :DEVISHAR MARANDI_x000D_
Vill  : MUHALGHATA_x000D_
PO    : MANIKDIH_x000D_
PS    : TONGRA_x000D_
Dist  : DUMKA_x000D_
State : JHARKHAND_x000D_
Pin   : 814144</t>
  </si>
  <si>
    <t>97017245239</t>
  </si>
  <si>
    <t>293700</t>
  </si>
  <si>
    <t>8038</t>
  </si>
  <si>
    <t>10-Feb-2002</t>
  </si>
  <si>
    <t>NOK   : MAMTA MARANDI (WIFE)_x000D_
S/O   : BABULAL TUDU_x000D_
Vill  : GULAMSULI_x000D_
PO    : PRATAPUR_x000D_
PS    : RANISHWAR_x000D_
Dist  : DUMKA_x000D_
State : JHARKHAND_x000D_
Pin   : 814148</t>
  </si>
  <si>
    <t>3056 9526 3826</t>
  </si>
  <si>
    <t>97011114267</t>
  </si>
  <si>
    <t>S/O BALA HASDA_x000D_
Nok -Kimsialdawn (Wife)_x000D_
Vill- Ngur_x000D_
Post-Champhai_x000D_
Dist - Champhai_x000D_
PS- Champhai_x000D_
State- Mizoram_x000D_
Pin- 796321</t>
  </si>
  <si>
    <t>35300577782</t>
  </si>
  <si>
    <t>4919</t>
  </si>
  <si>
    <t>10-Aug-1990</t>
  </si>
  <si>
    <t>S/O LALRAMTHANGA_x000D_
NoK -LALDINGNGETI (WIFE)_x000D_
Vill -ZOTE_x000D_
Post -CHAMPHAI_x000D_
Dist-CHAMPHAI_x000D_
PS-CHAMPHAI_x000D_
STATE- MIZORAM_x000D_
PIN No-796321</t>
  </si>
  <si>
    <t>20302933479</t>
  </si>
  <si>
    <t>2224</t>
  </si>
  <si>
    <t>12-Sep-1987</t>
  </si>
  <si>
    <t>S/O NGULKHANMUNGA_x000D_
NoK -MUNSIANMUANGA (SON) _x000D_
Vill -VAPAR_x000D_
Post -VAPAR_x000D_
Dist-CHAMPHAI_x000D_
PS-CHAMPHAI_x000D_
STATE- MIZORAM_x000D_
PIN No-796321</t>
  </si>
  <si>
    <t>33235169705</t>
  </si>
  <si>
    <t>5156</t>
  </si>
  <si>
    <t>23-Jan-1986</t>
  </si>
  <si>
    <t>S/O LALLAWMKIMA_x000D_
NoK -LALLAWMKIMA (HUSBAND)_x000D_
Vill -ZOTE _x000D_
Post -VAPAR_x000D_
Dist-CHAMPHAI_x000D_
PS-CHAMPHAI_x000D_
STATE- MIZORAM_x000D_
PIN No-796321</t>
  </si>
  <si>
    <t>97004446371</t>
  </si>
  <si>
    <t>7304</t>
  </si>
  <si>
    <t>14-May-2001</t>
  </si>
  <si>
    <t>NOK-ZOREMSANGI (WIFE),_x000D_
S/O-HMUNLIAN_x000D_
VILL-ZOTE_x000D_
P.O-CHAMPHAI_x000D_
DIST-CHAMPHAI_x000D_
STATE-MIZORAM_x000D_
PS-CHAMPHAI_x000D_
PIN-796321</t>
  </si>
  <si>
    <t>97004617917</t>
  </si>
  <si>
    <t>09-Apr-2025</t>
  </si>
  <si>
    <t>7705</t>
  </si>
  <si>
    <t>30-Jul-1997</t>
  </si>
  <si>
    <t>NOK-LALDUHAWMI CHAWNGTHU (WIFE)_x000D_
S/O-LANGLIANKAMA_x000D_
Vill -VAPAR_x000D_
Post -CHAMPHAI_x000D_
Dist-CHAMPHAI_x000D_
State-MIZORAM_x000D_
PS-CHAMPHAI_x000D_
Pin- 796321</t>
  </si>
  <si>
    <t>33952445841</t>
  </si>
  <si>
    <t>4917</t>
  </si>
  <si>
    <t>07-Oct-1989</t>
  </si>
  <si>
    <t>S/O LANGSIANA_x000D_
NoK -SANTHAN HANSDA (HUSBAND)_x000D_
Vill -NGUR_x000D_
Post -CHAMPHAI_x000D_
Dist-CHAMPHAI_x000D_
PS-CHAMPHAI_x000D_
STATE- MIZORAM_x000D_
PIN No-796321</t>
  </si>
  <si>
    <t>97004325469</t>
  </si>
  <si>
    <t>6673</t>
  </si>
  <si>
    <t>06-May-2001</t>
  </si>
  <si>
    <t>S/O LALTHANTLUANGA_x000D_
Nok -Ninenniangi Wife)_x000D_
Vill- Ngur_x000D_
Post-Ngur_x000D_
Dist -Champhai_x000D_
PS- Champhai_x000D_
State- Mizoram_x000D_
Pin- 796321</t>
  </si>
  <si>
    <t>241904363099</t>
  </si>
  <si>
    <t>97008101909</t>
  </si>
  <si>
    <t>6537</t>
  </si>
  <si>
    <t>06-May-1976</t>
  </si>
  <si>
    <t>S/O SUANGKHANKAPA_x000D_
NoK -NINGSUANTINGI (WIFE)_x000D_
Vill -NGUR_x000D_
Post -CHAMPHAI_x000D_
Dist-CHAMPHAI_x000D_
PS-CHAMPHAI_x000D_
STATE- MIZORAM_x000D_
PIN No-796321</t>
  </si>
  <si>
    <t>97004306423</t>
  </si>
  <si>
    <t>6538</t>
  </si>
  <si>
    <t>21-Aug-1991</t>
  </si>
  <si>
    <t>20371647490</t>
  </si>
  <si>
    <t>5376</t>
  </si>
  <si>
    <t>17-Feb-1982</t>
  </si>
  <si>
    <t>H/O H. Sianzamuana_x000D_
Nok -Thangdeihkhuala (Son)_x000D_
Vill- Ngur_x000D_
Post-Ngur_x000D_
Dist -Champhai_x000D_
PS- Champhai_x000D_
State- Mizoram_x000D_
Pin- 796321</t>
  </si>
  <si>
    <t>595192067142</t>
  </si>
  <si>
    <t>97007775936</t>
  </si>
  <si>
    <t>6494</t>
  </si>
  <si>
    <t>03-Feb-1993</t>
  </si>
  <si>
    <t>S/O ENDAWN_x000D_
NoK -TINGSIANNEM (SON)_x000D_
Vill -VAPAR_x000D_
Post -VAPR_x000D_
Dist-CHAMPHAI_x000D_
PS-CHAMPHAI_x000D_
STATE- MIZORAM_x000D_
PIN No-796321</t>
  </si>
  <si>
    <t>97004309741</t>
  </si>
  <si>
    <t>2222</t>
  </si>
  <si>
    <t>04-Aug-1991</t>
  </si>
  <si>
    <t>S/O NGULKHANMANGA_x000D_
NoK -VIALSAWMPIANG (HUSBAND)_x000D_
Vill -VAPAR_x000D_
Post -VAPR_x000D_
Dist-CHAMPHAI_x000D_
PS-CHAMPHAI_x000D_
STATE- MIZORAM_x000D_
PIN No-796321</t>
  </si>
  <si>
    <t>20335269906</t>
  </si>
  <si>
    <t>6837</t>
  </si>
  <si>
    <t>15-Sep-2005</t>
  </si>
  <si>
    <t>S/O DULAL RAY_x000D_
Nok - Dulal Ray (Father)_x000D_
Vill- Vapar_x000D_
Post-Champhai_x000D_
Dist -Champhai_x000D_
PS- Champhai_x000D_
State- Mizoram_x000D_
Pin- 796321</t>
  </si>
  <si>
    <t>36043643694</t>
  </si>
  <si>
    <t>21-Mar-2024</t>
  </si>
  <si>
    <t>8049</t>
  </si>
  <si>
    <t>01-Jan-1984</t>
  </si>
  <si>
    <t>NOK   : SUNITA HEMBROM (WIFE)_x000D_
S/O   :ANAND MARANDI_x000D_
Vill  : DEWANBARI_x000D_
PO    : RANIBAHAL_x000D_
PS    : MASANJORE_x000D_
Dist  : DUMKA_x000D_
State : JHARKHAND_x000D_
Pin   : 814144</t>
  </si>
  <si>
    <t>97011127492</t>
  </si>
  <si>
    <t>8378</t>
  </si>
  <si>
    <t>NOK: MINU TUDU (WIFE)_x000D_
S/O: SOM BASKI_x000D_
VILL: JHILUWA_x000D_
P-O: MASALIA_x000D_
DIST: DUMKA_x000D_
STATE: JHARKHAND_x000D_
P-S: MASALIA_x000D_
PIN: 814101</t>
  </si>
  <si>
    <t>41954167108</t>
  </si>
  <si>
    <t>01-Jul-2026</t>
  </si>
  <si>
    <t>8379</t>
  </si>
  <si>
    <t>25-Apr-2005</t>
  </si>
  <si>
    <t>45441096570</t>
  </si>
  <si>
    <t>8381</t>
  </si>
  <si>
    <t>NOK: GULAPI HEMBRAM (WIFE)_x000D_
S/O: GANPAT MURMU_x000D_
VILL: PALASVANI_x000D_
P-O: UPERBHAL_x000D_
DIST: DUMKA_x000D_
STATE: JHARKHAND_x000D_
P-S: JAMA_x000D_
PIN: 814101</t>
  </si>
  <si>
    <t>97016765735</t>
  </si>
  <si>
    <t>8057</t>
  </si>
  <si>
    <t>97017265073</t>
  </si>
  <si>
    <t>335720</t>
  </si>
  <si>
    <t>8043</t>
  </si>
  <si>
    <t>NOK   : BADAN MURMU (FATHER)_x000D_
S/O   : BADAN MURMU_x000D_
Vill  : JAYPAHARI_x000D_
PO    : SADIPUR_x000D_
PS    : RANISHWAR_x000D_
Dist  : DUMKA_x000D_
State : JHARKHAND_x000D_
Pin   : 814144</t>
  </si>
  <si>
    <t>97017245057</t>
  </si>
  <si>
    <t>8131</t>
  </si>
  <si>
    <t>09-Apr-1996</t>
  </si>
  <si>
    <t>NOK   : KAMDOHAUA (HUSBAND)_x000D_
S/O   : ZAMZAMUNG_x000D_
Vill  : VAPUR_x000D_
PO    : CHAMPHAI_x000D_
PS    : CHAMPHAI_x000D_
Dist   : MIZORAM_x000D_
Pin   : 796321</t>
  </si>
  <si>
    <t>97008687357</t>
  </si>
  <si>
    <t>6865</t>
  </si>
  <si>
    <t>NAME OF NOK-RUBIN MURMU (HUSBAND)_x000D_
S/O-RUBIN MURMU,_x000D_
VILL-HARIPUR_x000D_
P.O-JAI HARIPUR_x000D_
DIST-DUMKA_x000D_
PS-RANISHWAR _x000D_
STATE-JHARKHAND_x000D_
PIN-814148</t>
  </si>
  <si>
    <t>37945006878</t>
  </si>
  <si>
    <t>12-Apr-2024</t>
  </si>
  <si>
    <t>7338</t>
  </si>
  <si>
    <t>NOK-KAUSHALYA DEVI (WIFE),_x000D_
S/O-TULU RAY_x000D_
VILL-KENDBAD_x000D_
P.O-KUMRABAD_x000D_
DIST-DUMKA_x000D_
STATE-JHARKHAND_x000D_
PS-DUMKA_x000D_
PIN-814101</t>
  </si>
  <si>
    <t>97016559552</t>
  </si>
  <si>
    <t>8331</t>
  </si>
  <si>
    <t>NOK: SANCHARIYA DEVI (WIFE)_x000D_
S/O: BHOLA RAY_x000D_
VILL: ASANBANI_x000D_
P-O: GOWARI_x000D_
DIST: DUMKA_x000D_
STATE: JHARKHAND_x000D_
P-S: DUMKA MUFFASIL_x000D_
PIN: 814158</t>
  </si>
  <si>
    <t>97017525941</t>
  </si>
  <si>
    <t>83600</t>
  </si>
  <si>
    <t>01-Jun-2026</t>
  </si>
  <si>
    <t>1042030</t>
  </si>
  <si>
    <t>MR No. 74 RCC/6/ SEP 2026, JOB No. 710-A/50 REHAB CHK</t>
  </si>
  <si>
    <t>10-Jul-1983</t>
  </si>
  <si>
    <t>S/O GORI SANKAR RAI_x000D_
Nok -NIangkhawmkimi (WIFE)_x000D_
Vill- Vapar_x000D_
Post-Champhai_x000D_
Dist - Champhai_x000D_
PS- Champhai_x000D_
State- Mizoram_x000D_
Pin- 796321</t>
  </si>
  <si>
    <t>830522928140</t>
  </si>
  <si>
    <t>36539529195</t>
  </si>
  <si>
    <t>8054</t>
  </si>
  <si>
    <t>NOK   : SALONI SOREN (WIFE)_x000D_
S/O   : DHUMA MURMU_x000D_
Vill  : SITASAL_x000D_
PO    : KATHALIA_x000D_
PS    : MASALIA_x000D_
Dist  : DUMKA_x000D_
State : JHARKHAND_x000D_
Pin   : 814119</t>
  </si>
  <si>
    <t>97007501216</t>
  </si>
  <si>
    <t>7629</t>
  </si>
  <si>
    <t>01-Jan-1992</t>
  </si>
  <si>
    <t>NOK-SUNITA HEMBROM (WIFE)_x000D_
S/O-JIVAN HANSDAK_x000D_
VILL-AMRO_x000D_
P.O-AMARPUR_x000D_
DIST-DUMKA_x000D_
STATE-JHARKHAND_x000D_
PS-RAMGARH_x000D_
PIN-814145</t>
  </si>
  <si>
    <t>97008653076</t>
  </si>
  <si>
    <t>09-Sep-2025</t>
  </si>
  <si>
    <t>7710</t>
  </si>
  <si>
    <t>05-May-1997</t>
  </si>
  <si>
    <t>NOK-SATISH CHANDRA (FATHER)_x000D_
S/O-SATISH CHANDRA_x000D_
VILL-BUNGA MALLA_x000D_
PO-BUNGA MALLA_x000D_
DIST-PAURI GARHWAL_x000D_
STATE-UTTARAKHAND_x000D_
PS-Rikhnikhal_x000D_
PIN-246179</t>
  </si>
  <si>
    <t>38137629726</t>
  </si>
  <si>
    <t>12-Nov-2025</t>
  </si>
  <si>
    <t>8051</t>
  </si>
  <si>
    <t>24-Jan-1988</t>
  </si>
  <si>
    <t>NOK   : SUNITA DEVI (WIFE)_x000D_
S/O   : TH KUNGABABU SINGHA_x000D_
Vill  : MALUGRAM SHIBBARI_x000D_
PO    : MALUGRAM_x000D_
PS    : SILCHAR_x000D_
Dist  : CACHAR_x000D_
State : ASSAM_x000D_
Pin   : 788002</t>
  </si>
  <si>
    <t>8052</t>
  </si>
  <si>
    <t>07-Mar-1985</t>
  </si>
  <si>
    <t>NOK   : SOONI SOUREMBAM (WIFE)_x000D_
S/O   :K. JUGAL SINGHA_x000D_
Vill  : ITKHOLAGHAT_x000D_
PO    : SILCHAR_x000D_
PS    : SILCHAR_x000D_
Dist  : CACHAR_x000D_
State : ASSAM_x000D_
Pin   : 788002</t>
  </si>
  <si>
    <t>20148227254</t>
  </si>
  <si>
    <t>07-Apr-1987</t>
  </si>
  <si>
    <t>554389684829</t>
  </si>
  <si>
    <t>20302932487</t>
  </si>
  <si>
    <t>12-Oct-1971</t>
  </si>
  <si>
    <t>S/O BANDU MUNDA_x000D_
NoK -LALHRIATRENGA (SON)_x000D_
Vill -VAPAR_x000D_
Post -CHAMPHAI_x000D_
Dist-CHAMPHAI_x000D_
PS-CHAMPHAI_x000D_
STATE- MIZORAM_x000D_
PIN No-796321</t>
  </si>
  <si>
    <t>11467050368</t>
  </si>
  <si>
    <t>7335</t>
  </si>
  <si>
    <t>97012380001</t>
  </si>
  <si>
    <t>8044</t>
  </si>
  <si>
    <t>NOK   : AMITA DEVI (WIFE)_x000D_
S/O   : MADHU SUDHAN RAY_x000D_
Vill  : KATHALDIHA_x000D_
PO    : RANIBAHAL_x000D_
PS    : MASANJORE_x000D_
Dist  : DUMKA_x000D_
State : JHARKHAND_x000D_
Pin   : 814144</t>
  </si>
  <si>
    <t>97014472180</t>
  </si>
  <si>
    <t>7706</t>
  </si>
  <si>
    <t>03-Nov-2001</t>
  </si>
  <si>
    <t>NOK-LALHMINGHLUII (WIFE)_x000D_
S/O-DAVIDA_x000D_
Vill -KHUANGLENG_x000D_
Post -CHAMPHAI_x000D_
Dist-CHAMPHAI_x000D_
State-MIZORAM_x000D_
PS-CHAMPHAI_x000D_
Pin- 796321</t>
  </si>
  <si>
    <t>97008207225</t>
  </si>
  <si>
    <t>27-Oct-2025</t>
  </si>
  <si>
    <t>06-Jul-1981</t>
  </si>
  <si>
    <t>S/O BUDHAM TUDU_x000D_
NoK -DIMNGIAHNIANI (WIFE)_x000D_
Vill -VAPAR_x000D_
Post -CHAMPHAI_x000D_
Dist-CHAMPHAI_x000D_
PS-CHAMPHAI_x000D_
STATE- MIZORAM_x000D_
PIN No-796321</t>
  </si>
  <si>
    <t>20127916511</t>
  </si>
  <si>
    <t>6284</t>
  </si>
  <si>
    <t>S/O GOPAL MURMU_x000D_
NoK -SURU MONI MARANDI (WIFE)_x000D_
Vill -BAGJOBRA_x000D_
Post -AMJORA_x000D_
Dist-DUMKA_x000D_
PS-RANISHWAR_x000D_
STATE- JHARKHAND_x000D_
PIN No-814148</t>
  </si>
  <si>
    <t>39199464966</t>
  </si>
  <si>
    <t>7694</t>
  </si>
  <si>
    <t>NOK-LALITA DEVI (WIFE)_x000D_
S/O-MANGAL RAY_x000D_
Vill -ASANBANI _x000D_
Post -GOWARI_x000D_
Dist-DUMKA_x000D_
State-JHARKHAND_x000D_
PS-MUFFASIL_x000D_
Pin- 814158</t>
  </si>
  <si>
    <t>97016130793</t>
  </si>
  <si>
    <t>7363</t>
  </si>
  <si>
    <t>04-Jul-1980</t>
  </si>
  <si>
    <t>97004358531</t>
  </si>
  <si>
    <t>17-Jul-2025</t>
  </si>
  <si>
    <t>8334</t>
  </si>
  <si>
    <t>17-Jul-1980</t>
  </si>
  <si>
    <t>97017561219</t>
  </si>
  <si>
    <t>18-Sep-2026</t>
  </si>
  <si>
    <t>8335</t>
  </si>
  <si>
    <t>03-Apr-1998</t>
  </si>
  <si>
    <t>NOK: NAMITA DEVI (MOTHER)_x000D_
S/O: GOJEDAR RAY_x000D_
VILL: GOLBANDHA_x000D_
P-O: GOLBANDHA_x000D_
DIST: DUMKA_x000D_
STATE: JHARKHAND_x000D_
P-S: MASALIA_x000D_
PIN: 814146</t>
  </si>
  <si>
    <t>97017546698</t>
  </si>
  <si>
    <t>8336</t>
  </si>
  <si>
    <t>NOK: NIRA DEVI (WIFE)_x000D_
S/O: GANESH RAY_x000D_
VILL: GOLBANDHA_x000D_
P-O: GOLBANDHA_x000D_
DIST: DUMKA_x000D_
STATE: JHARKHAND_x000D_
P-S: MASALIA_x000D_
PIN: 814146</t>
  </si>
  <si>
    <t>97017546836</t>
  </si>
  <si>
    <t>8337</t>
  </si>
  <si>
    <t>NOK: SUSHMITA DEVI (WIFE)_x000D_
S/O: SATO RAY_x000D_
VILL: NONAMATI_x000D_
P-O: HARIPUR_x000D_
DIST: DUMKA_x000D_
STATE: JHARKHAND_x000D_
P-S: JARMUNDI_x000D_
PIN: 814118</t>
  </si>
  <si>
    <t>97017546701</t>
  </si>
  <si>
    <t>8338</t>
  </si>
  <si>
    <t>06-Jun-1992</t>
  </si>
  <si>
    <t>NOK: PAUNGAIH KIMAR (SON)_x000D_
S/O: NGEMMAN LIAN_x000D_
VILL: VAPAR_x000D_
P-O: CHAMPHAI_x000D_
DIST: CHAMPHAI_x000D_
STATE: MIZORAM_x000D_
P-S: CHAMPHAI_x000D_
PIN: 796321</t>
  </si>
  <si>
    <t>42288872834</t>
  </si>
  <si>
    <t>383630</t>
  </si>
  <si>
    <t>8342</t>
  </si>
  <si>
    <t>12-Aug-1995</t>
  </si>
  <si>
    <t>NOK: DOLI HANSDA (WIFE)_x000D_
S/O: SOBAN HEMBROM_x000D_
VILL: SARAIDAHA_x000D_
P-O: SARAIDAHA_x000D_
DIST: DUMKA_x000D_
STATE: JHARKHAND_x000D_
P-S: SHIKARIPARA_x000D_
PIN: 816118</t>
  </si>
  <si>
    <t>97017570041</t>
  </si>
  <si>
    <t>06-Jun-2026</t>
  </si>
  <si>
    <t>8344</t>
  </si>
  <si>
    <t>NOK: TALABETI HEMBROM (MOTHER)_x000D_
S/O: BATESHWAR MARANDI_x000D_
VILL: SITASAL_x000D_
P-O: KATHALIA_x000D_
DIST: DUMKA_x000D_
STATE: JHARKHAND_x000D_
P-S: MASALIA_x000D_
PIN: 814119</t>
  </si>
  <si>
    <t>97016047113</t>
  </si>
  <si>
    <t>8345</t>
  </si>
  <si>
    <t>01-Apr-1994</t>
  </si>
  <si>
    <t>NOK: SUMI MURMU (WIFE)_x000D_
S/O: RUPLAL HANSDA_x000D_
VILL: KUSPAHARI_x000D_
P-O: BARMASIA_x000D_
DIST: DUMKA_x000D_
STATE: JHARKHAND_x000D_
P-S: SHIKARIPARA_x000D_
PIN: 816118</t>
  </si>
  <si>
    <t>97014562501</t>
  </si>
  <si>
    <t>8346</t>
  </si>
  <si>
    <t>NOK: PANMUNI HEMBROM (WIFE)_x000D_
S/O: SHIV BESRA_x000D_
VILL: HARWADANGAL_x000D_
P-O: MAHUBANA_x000D_
DIST: DUMKA_x000D_
STATE: JHARKHAND_x000D_
P-S: RAMGAD_x000D_
PIN: 814102</t>
  </si>
  <si>
    <t>97017570085</t>
  </si>
  <si>
    <t>08-Jun-2026</t>
  </si>
  <si>
    <t>8347</t>
  </si>
  <si>
    <t>NOK: RUPALI MURMU (WIFE)_x000D_
S/O: RAM BASKI_x000D_
VILL: CHOULITANR_x000D_
P-O: KATHALIA_x000D_
DIST: DUMKA_x000D_
STATE: JHARKHAND_x000D_
P-S: MASALIA_x000D_
PIN: 814119</t>
  </si>
  <si>
    <t>97014868653</t>
  </si>
  <si>
    <t>8348</t>
  </si>
  <si>
    <t>NOK: STENSHILA HANSDA (WIFE)_x000D_
S/O: PASAND KISKU_x000D_
VILL: POCHAPANI_x000D_
P-O: KATHALIA_x000D_
DIST: DUMKA_x000D_
STATE: JHARKHAND_x000D_
P-S: MASALIA_x000D_
PIN: 814119</t>
  </si>
  <si>
    <t>97014643550</t>
  </si>
  <si>
    <t>8349</t>
  </si>
  <si>
    <t>NOK: BABLU HANSDA (BROTHER)_x000D_
S/O: NOREN HANSDA_x000D_
VILL: PATHRAD AHA_x000D_
P-O: KADMA_x000D_
DIST: DUMKA_x000D_
STATE: JHARKHAND_x000D_
P-S: SHIKARIPARA_x000D_
PIN: 816118</t>
  </si>
  <si>
    <t>97016081846</t>
  </si>
  <si>
    <t>6674</t>
  </si>
  <si>
    <t>14-Jan-2003</t>
  </si>
  <si>
    <t>S/O HOPNA MARANDI_x000D_
Nok - Clalenglaiani (Wife)_x000D_
Vill- Ngur_x000D_
Post-Ngur_x000D_
Dist -Champhai_x000D_
PS- Champhai_x000D_
State- Mizoram_x000D_
Pin- 796321</t>
  </si>
  <si>
    <t>602203773770</t>
  </si>
  <si>
    <t>97015156134</t>
  </si>
  <si>
    <t>8382</t>
  </si>
  <si>
    <t>26-Jul-2005</t>
  </si>
  <si>
    <t>NOK: TULUSI BESRA (MOTHER)_x000D_
S/O: SANATAN BESRA_x000D_
VILL: DIGHALGRAM_x000D_
P-O: DIGHALGRAM_x000D_
DIST: BIRBHUM_x000D_
STATE: WEST BENGAL_x000D_
P-S: MD BAZAR_x000D_
PIN: 731216</t>
  </si>
  <si>
    <t>97017612541</t>
  </si>
  <si>
    <t>8383</t>
  </si>
  <si>
    <t>10-Feb-1998</t>
  </si>
  <si>
    <t>97017612325</t>
  </si>
  <si>
    <t>15-Sep-2026</t>
  </si>
  <si>
    <t>8384</t>
  </si>
  <si>
    <t>30-Jan-1988</t>
  </si>
  <si>
    <t>97017612596</t>
  </si>
  <si>
    <t>8385</t>
  </si>
  <si>
    <t>NOK: KISNA RAY (SON)_x000D_
S/O: SANJAY RAY_x000D_
VILL: KATHALDIHA_x000D_
P-O: RANIBAHAL_x000D_
DIST: DUMKA_x000D_
STATE: JHARKHAND_x000D_
P-S: MASANJOR_x000D_
PIN: 814144</t>
  </si>
  <si>
    <t>97008652914</t>
  </si>
  <si>
    <t>8386</t>
  </si>
  <si>
    <t>05-Feb-2002</t>
  </si>
  <si>
    <t>NOK: MAKU SOREN (MOTHER)_x000D_
S/O: CHATUR TUDU_x000D_
VILL: GULAMSULI_x000D_
P-O: PRATAPPUR_x000D_
DIST: DUMKA_x000D_
STATE: JHARKHAND_x000D_
P-S: RANISHWAR_x000D_
PIN: 814148</t>
  </si>
  <si>
    <t>97017612530</t>
  </si>
  <si>
    <t>8387</t>
  </si>
  <si>
    <t>97017612234</t>
  </si>
  <si>
    <t>8388</t>
  </si>
  <si>
    <t>28-Jun-1998</t>
  </si>
  <si>
    <t>97017612303</t>
  </si>
  <si>
    <t>8389</t>
  </si>
  <si>
    <t>23-Jan-1980</t>
  </si>
  <si>
    <t>NOK: DOSAKI (SON)_x000D_
S/O: KATKI SINGH_x000D_
VILL: RAY DAHA_x000D_
P-O: PORAIYAHAT_x000D_
DIST: GODDA_x000D_
STATE: JHARKHAND_x000D_
P-S: PORAIYAHAT_x000D_
PIN: 814153</t>
  </si>
  <si>
    <t>20119709785</t>
  </si>
  <si>
    <t>8390</t>
  </si>
  <si>
    <t>01-Jan-1978</t>
  </si>
  <si>
    <t>NOK: SADDOSORI DEVI (WIFE)_x000D_
S/O: BIRBAL RAY_x000D_
VILL: RAKHAL PAHARI_x000D_
P-O: RANGLIYA_x000D_
DIST: DUMKA_x000D_
STATE: JHARKHAND_x000D_
P-S: RANESHWAR_x000D_
PIN: 814148</t>
  </si>
  <si>
    <t>97017612711</t>
  </si>
  <si>
    <t>8392</t>
  </si>
  <si>
    <t>10-Oct-1984</t>
  </si>
  <si>
    <t>97013480118</t>
  </si>
  <si>
    <t>09</t>
  </si>
  <si>
    <t>8393</t>
  </si>
  <si>
    <t>20-May-2005</t>
  </si>
  <si>
    <t>NOK: SABARI HEMRAM (MOTHER)_x000D_
S/O: GOVIND MURMU_x000D_
VILL: MOHANPURI_x000D_
P-O: KARIKADAR_x000D_
DIST: DUMKA_x000D_
STATE: JHARKHAND_x000D_
P-S: RANISHWAR_x000D_
PIN: 814144</t>
  </si>
  <si>
    <t>97016825323</t>
  </si>
  <si>
    <t>8394</t>
  </si>
  <si>
    <t>NOK: BABLU HANSDA (HUSBAND)_x000D_
S/O: RUBUN HEMBRAM_x000D_
VILL: PIPRA_x000D_
P-O: ASTAJORA_x000D_
DIST: DUMKA_x000D_
STATE: JHARKHAND_x000D_
P-S: KATHIKUND_x000D_
PIN: 814103</t>
  </si>
  <si>
    <t>36553040174</t>
  </si>
  <si>
    <t>282700</t>
  </si>
  <si>
    <t>8395</t>
  </si>
  <si>
    <t>NOK: AKSHEELA MARANDI (WIFE)_x000D_
S/O: MARDHU SOREN_x000D_
VILL: CHAKLATIPUR_x000D_
P-O: NISHCHITPUR_x000D_
DIST: DUMKA_x000D_
STATE: JHARKHAND_x000D_
P-S: NGOPA / JAMA_x000D_
PIN: 814110</t>
  </si>
  <si>
    <t>38872841938</t>
  </si>
  <si>
    <t>8396</t>
  </si>
  <si>
    <t>NOK: CHARI MURMU (WIFE)_x000D_
S/O: PRADHAN HEMBRAM_x000D_
VILL: KHANDAGRAM_x000D_
P-O: BAHIRI_x000D_
DIST: BIRBHUM_x000D_
STATE: WEST BENGAL_x000D_
P-S: BOLPUR_x000D_
PIN: 731240</t>
  </si>
  <si>
    <t>45425068418</t>
  </si>
  <si>
    <t>8397</t>
  </si>
  <si>
    <t>NOK: MANISHA HANSDA (WIFE)_x000D_
S/O: VISAL MURMU / VIJAL MURMU_x000D_
VILL: MEGHLGHATWALI_x000D_
P-O: BARAPALASI_x000D_
DIST: DUMKA_x000D_
STATE: JHARKHAND_x000D_
P-S: JAMA_x000D_
PIN: 814110</t>
  </si>
  <si>
    <t>39149277771</t>
  </si>
  <si>
    <t>8398</t>
  </si>
  <si>
    <t>NOK: MIRASI DEVI (MOTHER)_x000D_
S/O: RAMLAL RANA_x000D_
VILL: BHALIAGADH_x000D_
P-O: KADMA_x000D_
DIST: DUMKA_x000D_
STATE: JHARKHAND_x000D_
P-S: SHIKARIPARA_x000D_
PIN: 816118</t>
  </si>
  <si>
    <t>97015121699</t>
  </si>
  <si>
    <t>8409</t>
  </si>
  <si>
    <t>28-Feb-2008</t>
  </si>
  <si>
    <t>NOK: YOSHDA DEVI (MOTHER)_x000D_
S/O: LATE DIBAL RAY_x000D_
VILL: GULAMIBATHAN_x000D_
P-O: LATEBAR_x000D_
DIST: DUMKA_x000D_
STATE: JHARKHAND_x000D_
P-S: MASALIA_x000D_
PIN: 814167</t>
  </si>
  <si>
    <t>45231650167</t>
  </si>
  <si>
    <t>07-Jul-2026</t>
  </si>
  <si>
    <t>8410</t>
  </si>
  <si>
    <t>03-Sep-2004</t>
  </si>
  <si>
    <t>NOK: MAMPAR RAY (MOTHER)_x000D_
S/O: KISANDEV RAY_x000D_
VILL: KATHALDIHA_x000D_
P-O: RANIBAHAL_x000D_
DIST: DUMKA_x000D_
STATE: JHARKHAND_x000D_
P-S: MASANJORE_x000D_
PIN: 814144</t>
  </si>
  <si>
    <t>45430154399</t>
  </si>
  <si>
    <t>8411</t>
  </si>
  <si>
    <t>15-Apr-1985</t>
  </si>
  <si>
    <t>NOK: MITALI BEGAM LASKAR (WIFE)_x000D_
S/O: LT. FAJAL ALI LASKAR_x000D_
VILL: SAIDPUR PT-III_x000D_
P-O: SAIDPUR MUKAM_x000D_
DIST: CACHAR_x000D_
STATE: ASSAM_x000D_
P-S: SILCHAR_x000D_
PIN: 788013</t>
  </si>
  <si>
    <t>40461944402</t>
  </si>
  <si>
    <t>08-Jul-2026</t>
  </si>
  <si>
    <t>8132</t>
  </si>
  <si>
    <t>17-Apr-1995</t>
  </si>
  <si>
    <t>97013789760</t>
  </si>
  <si>
    <t>26-Feb-2026</t>
  </si>
  <si>
    <t>8133</t>
  </si>
  <si>
    <t>09-Sep-2006</t>
  </si>
  <si>
    <t>NOK   :  TING NAGAI UAPI (SISTER)_x000D_
S/O   : DALDEIHTHANGA       Vill  : VAPUR_x000D_
PO    : CHAMPHAI_x000D_
PS    : CHAMPHAI_x000D_
Dist   : MIZORAM_x000D_
Pin   : 796321</t>
  </si>
  <si>
    <t>97009765358</t>
  </si>
  <si>
    <t>8020</t>
  </si>
  <si>
    <t>05-Aug-2001</t>
  </si>
  <si>
    <t>NOK   :KHAMLAMENGA (HUSBAND)_x000D_
W/O   :KHAMLAMENGA_x000D_
Vill  : VAPAR_x000D_
PO    : VAPAR_x000D_
PS    : CHAMPHAI_x000D_
Dist  : CHAMPHAI_x000D_
State : MIZORAM_x000D_
Pin   : 796321</t>
  </si>
  <si>
    <t>97006870241</t>
  </si>
  <si>
    <t>8332</t>
  </si>
  <si>
    <t>NOK: HIRIYA DEVI (WIFE)_x000D_
S/O: RAMESHWAR RAY_x000D_
VILL: ASANBANI_x000D_
P-O: CHAINPUR KAIRABANI_x000D_
DIST: DUMKA_x000D_
STATE: JHARKHAND_x000D_
P-S: DUMKA MUFFASIL_x000D_
PIN: 814158</t>
  </si>
  <si>
    <t>97017526058</t>
  </si>
  <si>
    <t>8412</t>
  </si>
  <si>
    <t>15-Jun-2002</t>
  </si>
  <si>
    <t>NOK: FULKUMARI DEVI (MOTHER)_x000D_
S/O: MADHUSUDAN RAY_x000D_
VILL: KATHALDIHA_x000D_
P-O: RANIBAHAL_x000D_
DIST: DUMKA_x000D_
STATE: JHARKHAND_x000D_
P-S: MASANJORE / MASAN JORE_x000D_
PIN: 814144</t>
  </si>
  <si>
    <t>35227501342</t>
  </si>
  <si>
    <t>8242</t>
  </si>
  <si>
    <t>02-Oct-1991</t>
  </si>
  <si>
    <t>NOK- ZENSAWHNIANG (WIFE)_x000D_
S/O- DONG KHAN THANG_x000D_
VILL- VAPAR_x000D_
PO- CHAMPHAI_x000D_
DIST- CHAMPHAI_x000D_
STATE- MIZORAM_x000D_
PS- CHAMPHAI_x000D_
PIN- 796821</t>
  </si>
  <si>
    <t>97003928377</t>
  </si>
  <si>
    <t>8243</t>
  </si>
  <si>
    <t>21-Mar-2003</t>
  </si>
  <si>
    <t>NOK- PAU SUANKHUPA (HUSBAND)_x000D_
S/O- T PAUSIAMA_x000D_
VILL- VAPAR_x000D_
PO- CHAMPHAI_x000D_
DIST- CHAMPHAI_x000D_
STATE- MIZORAM_x000D_
PS- CHAMPHAI_x000D_
PIN- 796321</t>
  </si>
  <si>
    <t>97015666305</t>
  </si>
  <si>
    <t>8244</t>
  </si>
  <si>
    <t>08-Dec-1998</t>
  </si>
  <si>
    <t>NOK- AWINGAWHDIM (MOTHER)_x000D_
S/O- DAWNGKHANTHANGA_x000D_
VILL- VAPAR_x000D_
PO- CHAMPHAI_x000D_
DIST- CHAMPHAI_x000D_
STATE- MIZORAM_x000D_
PS- CHAMPHAI_x000D_
PIN- 796321</t>
  </si>
  <si>
    <t>41578600641</t>
  </si>
  <si>
    <t>8245</t>
  </si>
  <si>
    <t>26-Jan-2004</t>
  </si>
  <si>
    <t>NOK- ZENNGAIHLIANI (SISTER)_x000D_
S/O- KHAIKHENKAPA_x000D_
VILL- VAPAR_x000D_
PO- CHAMPHAI_x000D_
DIST- CHAMPHAI_x000D_
STATE- MIZORAM_x000D_
PS- CHAMPHAI_x000D_
PIN- 796321</t>
  </si>
  <si>
    <t>97006924084</t>
  </si>
  <si>
    <t>8246</t>
  </si>
  <si>
    <t>NOK- CHINGLAMLUNI (DAUGHTER)_x000D_
S/O- TINLIANPAUA_x000D_
VILL- VAPAR_x000D_
PO- CHAMPHAI_x000D_
DIST- CHAMPHAI_x000D_
STATE- MIZORAM_x000D_
PS- CHAMPHAI_x000D_
PIN- 796321</t>
  </si>
  <si>
    <t>97008057380</t>
  </si>
  <si>
    <t>8247</t>
  </si>
  <si>
    <t>28-Feb-2002</t>
  </si>
  <si>
    <t>NOK- ZENSAWHNIANG (SISTER)_x000D_
S/O- NGULKHANMUNGA_x000D_
VILL- VAPAR_x000D_
PO- CHAMPHAI_x000D_
DIST- CHAMPHAI_x000D_
STATE- MIZORAM_x000D_
PS- CHAMPHAI_x000D_
PIN- 796321</t>
  </si>
  <si>
    <t>35311996746</t>
  </si>
  <si>
    <t>8248</t>
  </si>
  <si>
    <t>28-Dec-1996</t>
  </si>
  <si>
    <t>NOK- LIANREMZOA (BROTHER)_x000D_
S/O- GINKHANLALA_x000D_
VILL- VAPAR_x000D_
PO- CHAMPHAI_x000D_
DIST- CHAMPHAI_x000D_
STATE- MIZORAM_x000D_
PS- CHAMPHAI_x000D_
PIN- 796321</t>
  </si>
  <si>
    <t>43001743355</t>
  </si>
  <si>
    <t>8249</t>
  </si>
  <si>
    <t>06-Jul-1997</t>
  </si>
  <si>
    <t>NOK- THANGMANNIANGI (MOTHER)_x000D_
S/O- ENDAWNGA_x000D_
VILL- VAPAR_x000D_
PO- CHAMPHAI_x000D_
DIST- CHAMPHAI_x000D_
STATE- MIZORAM_x000D_
PS- CHAMPHAI_x000D_
PIN- 796321</t>
  </si>
  <si>
    <t>20302932410</t>
  </si>
  <si>
    <t>339570</t>
  </si>
  <si>
    <t>8250</t>
  </si>
  <si>
    <t>07-Feb-2000</t>
  </si>
  <si>
    <t>NOK- DIMDEIHSANGI (SISTER)_x000D_
S/O- PIANGZALIANA_x000D_
VILL- VAPAR_x000D_
PO- CHAMPHAI_x000D_
DIST- CHAMPHAI_x000D_
STATE- MIZORAM_x000D_
PS- CHAMPHAI_x000D_
PIN- 796321</t>
  </si>
  <si>
    <t>97013181334</t>
  </si>
  <si>
    <t>8251</t>
  </si>
  <si>
    <t>NOK- DIMDEIHSANGI (SISTER)_x000D_
S/O- ENZADAWNGA_x000D_
VILL- VAPAR_x000D_
PO- CHAMPHAI_x000D_
DIST- CHAMPHAI_x000D_
STATE- MIZORAM_x000D_
PS- CHAMPHAI_x000D_
PIN- 796321</t>
  </si>
  <si>
    <t>45129772569</t>
  </si>
  <si>
    <t>8252</t>
  </si>
  <si>
    <t>97016192547</t>
  </si>
  <si>
    <t>10</t>
  </si>
  <si>
    <t>11-May-2026</t>
  </si>
  <si>
    <t>8253</t>
  </si>
  <si>
    <t>97014069150</t>
  </si>
  <si>
    <t>8254</t>
  </si>
  <si>
    <t>17-May-2004</t>
  </si>
  <si>
    <t>NOK- LAKHI SOREN (MOTHER)_x000D_
S/O- SUKAL SAREN_x000D_
VILL- DIGHAIGRAM_x000D_
PO-DIGHAIGRAM_x000D_
DIST- BIRBHUM_x000D_
STATE- WEST BENGAL_x000D_
PS- BIRBHUM_x000D_
PIN- 731216</t>
  </si>
  <si>
    <t>97015491117</t>
  </si>
  <si>
    <t>8046</t>
  </si>
  <si>
    <t>NOK   : PURAN RAY (FATHER)_x000D_
S/O   : PURAN RAY_x000D_
Vill  : BANKALTI_x000D_
PO    : SINGHNI_x000D_
PS    : JARMUNDI_x000D_
Dist  : DUMKA_x000D_
State : JHARKHAND_x000D_
Pin   : 814118</t>
  </si>
  <si>
    <t>97015557602</t>
  </si>
  <si>
    <t>8048</t>
  </si>
  <si>
    <t>NOK   : FULMANI RAY (MOTHER)_x000D_
S/O   : SHIVCHARAN RAY_x000D_
Vill  : KATHALDIHA_x000D_
PO    : RANIBAHAL_x000D_
PS    : MASANJORE_x000D_
Dist  : DUMKA_x000D_
State : JHARKHAND_x000D_
Pin   : 814144</t>
  </si>
  <si>
    <t>97017245364</t>
  </si>
  <si>
    <t>8023</t>
  </si>
  <si>
    <t>20-Jan-2001</t>
  </si>
  <si>
    <t>NOK   : THANGSIANLALA (HUSBAND)_x000D_
S/O   :PAUL HAULANGKAPA_x000D_
Vill  : BETHEL NORTH_x000D_
PO    : CHAMPHAI_x000D_
PS    : CHAMPHAI_x000D_
Dist  : CHAMPHAI_x000D_
State : MIZORAM_x000D_
Pin   : 796321</t>
  </si>
  <si>
    <t>97007301863</t>
  </si>
  <si>
    <t>8024</t>
  </si>
  <si>
    <t>05-Feb-1992</t>
  </si>
  <si>
    <t>NOK   : T.K. SUANO (HUSBAND)_x000D_
S/O   :VUNGKHANNGOA_x000D_
Vill  : VAPAR_x000D_
PO    : CHAMPHAI_x000D_
PS    : CHAMPHAI_x000D_
Dist  : CHAMPHAI_x000D_
State : MIZORAM_x000D_
Pin   : 796321</t>
  </si>
  <si>
    <t>20300103030</t>
  </si>
  <si>
    <t>8025</t>
  </si>
  <si>
    <t>NOK   :LALHRIATRENAGA (BROTHER)_x000D_
S/O   : DIPRU MUNDA_x000D_
Vill  : VAPAR_x000D_
PO    : CHAMPHAI_x000D_
PS    : CHAMPHAI_x000D_
Dist  : CHAMPHAI_x000D_
State : MIZORAM_x000D_
Pin   : 796321</t>
  </si>
  <si>
    <t>97009086285</t>
  </si>
  <si>
    <t>8026</t>
  </si>
  <si>
    <t>15-Feb-1982</t>
  </si>
  <si>
    <t>NOK   :REMRUATPUII (WIFE)_x000D_
S/O   :DAWNGKHANHANGA_x000D_
Vill  : VAPAR_x000D_
PO    : CHAMPHAI_x000D_
PS    : CHAMPHAI_x000D_
Dist  : CHAMPHAI_x000D_
State : MIZORAM_x000D_
Pin   : 796321</t>
  </si>
  <si>
    <t>36076655454</t>
  </si>
  <si>
    <t>8339</t>
  </si>
  <si>
    <t>23-May-1999</t>
  </si>
  <si>
    <t>8340</t>
  </si>
  <si>
    <t>12-May-2000</t>
  </si>
  <si>
    <t>NOK: BADAL (BROTHER)_x000D_
S/O: MR RAJBIR SINGH_x000D_
VILL: V.P.O SUI_x000D_
P-O: V.P.O SUI_x000D_
DIST: BHIWANI_x000D_
STATE: HARYANA_x000D_
P-S: BAWANI KHERA_x000D_
PIN: 127031</t>
  </si>
  <si>
    <t>8350</t>
  </si>
  <si>
    <t>24-Jun-1980</t>
  </si>
  <si>
    <t>NOK: DIMNGAIHNING (SISTER)_x000D_
S/O: KHANSUTA_x000D_
VILL: NGUR_x000D_
P-O: CHAMPHAI_x000D_
DIST: CHAMPHAI_x000D_
STATE: MIZORAM_x000D_
P-S: CHAMPHAI_x000D_
PIN: 796321</t>
  </si>
  <si>
    <t>97000321762</t>
  </si>
  <si>
    <t>11-Jun-2026</t>
  </si>
  <si>
    <t>8351</t>
  </si>
  <si>
    <t>20-Feb-1978</t>
  </si>
  <si>
    <t>NOK: MANSIANMAWII (DAUGHTER)_x000D_
W/O: SUANGKHENMUNGA_x000D_
VILL: NGUR_x000D_
P-O: CHAMPHAI_x000D_
DIST: CHAMPHAI_x000D_
STATE: MIZORAM_x000D_
P-S: CHAMPHAI_x000D_
PIN: 796321</t>
  </si>
  <si>
    <t>97007352808</t>
  </si>
  <si>
    <t>8352</t>
  </si>
  <si>
    <t>24-Dec-1975</t>
  </si>
  <si>
    <t>NOK: LUNSIANMUANI (DAUGHTER)_x000D_
W/O: KHAMZANGINA_x000D_
VILL: NGUR_x000D_
P-O: CHAMPHAI_x000D_
DIST: CHAMPHAI_x000D_
STATE: MIZORAM_x000D_
P-S: CHAMPHAI_x000D_
PIN: 796321</t>
  </si>
  <si>
    <t>97003666206</t>
  </si>
  <si>
    <t>8413</t>
  </si>
  <si>
    <t>19-Jun-1992</t>
  </si>
  <si>
    <t>NOK: KHUPSAWM SINGA (HUSBAND)_x000D_
W/O: KHUPSAWMSINGA_x000D_
VILL: TUITHING VENG_x000D_
P-O: CHAMPHAI_x000D_
DIST: CHAMPHAI_x000D_
STATE: MIZORAM_x000D_
P-S: CHAMPHAI_x000D_
PIN: 796321</t>
  </si>
  <si>
    <t>97008633843</t>
  </si>
  <si>
    <t>8414</t>
  </si>
  <si>
    <t>17-Nov-2002</t>
  </si>
  <si>
    <t>NOK: KHAMLAMENG (BROTHER)_x000D_
S/O: PIAN THANGA_x000D_
VILL: VAPAR_x000D_
P-O: CHAMPHAI_x000D_
DIST: CHAMPHAI_x000D_
STATE: MIZORAM_x000D_
P-S: CHAMPHAI_x000D_
PIN: 796321</t>
  </si>
  <si>
    <t>44874287537</t>
  </si>
  <si>
    <t>8415</t>
  </si>
  <si>
    <t>25-Dec-1998</t>
  </si>
  <si>
    <t>NOK: THANG MUAN KHAI (BROTHER)_x000D_
S/O: DOKHAN KHUALA_x000D_
VILL: VAPAR_x000D_
P-O: CHAMPHAI_x000D_
DIST: CHAMPHAI_x000D_
STATE: MIZORAM_x000D_
P-S: CHAMPHAI_x000D_
PIN: 796321</t>
  </si>
  <si>
    <t>35298658017</t>
  </si>
  <si>
    <t>8416</t>
  </si>
  <si>
    <t>05-Mar-1995</t>
  </si>
  <si>
    <t>97012117416</t>
  </si>
  <si>
    <t>321090</t>
  </si>
  <si>
    <t>8417</t>
  </si>
  <si>
    <t>MARY TINGLAMLUNI</t>
  </si>
  <si>
    <t>05-Apr-2008</t>
  </si>
  <si>
    <t>NOK: H. TINLIANPAU (FATHER)_x000D_
S/O: H. TINLIAN PAUA_x000D_
VILL: VAPAR_x000D_
P-O: CHAMPHAI_x000D_
DIST: CHAMPHAI_x000D_
STATE: MIZORAM_x000D_
P-S: CHAMPHAI_x000D_
PIN: 796321</t>
  </si>
  <si>
    <t>45123401931</t>
  </si>
  <si>
    <t>8418</t>
  </si>
  <si>
    <t>29-Jul-1995</t>
  </si>
  <si>
    <t>NOK: CHINGITMANGI (WIFE)_x000D_
S/O: TUANDO THANGA_x000D_
VILL: VAPAR_x000D_
P-O: VAPAR_x000D_
DIST: CHAMPHAI_x000D_
STATE: MIZORAM_x000D_
P-S: CHAMPHAI_x000D_
PIN: 796321</t>
  </si>
  <si>
    <t>41857235148</t>
  </si>
  <si>
    <t>8419</t>
  </si>
  <si>
    <t>13-Nov-1988</t>
  </si>
  <si>
    <t>33238463318</t>
  </si>
  <si>
    <t>8420</t>
  </si>
  <si>
    <t>NOK: THENIANG DAWN SUNG (WIFE)_x000D_
S/O: THANG KHAN KHUP_x000D_
VILL: VAPAR_x000D_
P-O: VAPAR_x000D_
DIST: CHAMPHAI_x000D_
STATE: MIZORAM_x000D_
P-S: CHAMPHAI_x000D_
PIN: 796321</t>
  </si>
  <si>
    <t>32534668167</t>
  </si>
  <si>
    <t>8421</t>
  </si>
  <si>
    <t>24-Apr-1996</t>
  </si>
  <si>
    <t>NOK: NANG SAWM TUANGA (HUSBAND)_x000D_
S/O: NANG SAWM TUANGA_x000D_
VILL: VAPAR_x000D_
P-O: VAPAR_x000D_
DIST: CHAMPHAI_x000D_
STATE: MIZORAM_x000D_
P-S: CHAMPHAI_x000D_
PIN: 796321</t>
  </si>
  <si>
    <t>35296815198</t>
  </si>
  <si>
    <t>8422</t>
  </si>
  <si>
    <t>08-Jun-1997</t>
  </si>
  <si>
    <t>NOK: SIANLIANCHINA (HUSBAND)_x000D_
W/O: SIANLIANCHINA_x000D_
VILL: VAPAR_x000D_
P-O: VAPAR_x000D_
DIST: CHAMPHAI_x000D_
STATE: MIZORAM_x000D_
P-S: VAPAR / CHAMPHAI_x000D_
PIN: 796321</t>
  </si>
  <si>
    <t>41857155829</t>
  </si>
  <si>
    <t>08-Feb-1981</t>
  </si>
  <si>
    <t>S/O ARJUN SOREN_x000D_
Nok -Niangsianhawih (Wife)_x000D_
Vill- Damga_x000D_
Post-Godda_x000D_
Dist - Godda_x000D_
PS-Godda_x000D_
State- Jharkhand_x000D_
Pin- 788113</t>
  </si>
  <si>
    <t>568230780363</t>
  </si>
  <si>
    <t>34328430532</t>
  </si>
  <si>
    <t>6534</t>
  </si>
  <si>
    <t>13-Aug-1987</t>
  </si>
  <si>
    <t>S/O GINLALMUANA_x000D_
NoK -_x000D_
Vill -VAPAR_x000D_
Post -CHAMPHAI _x000D_
Dist-CHAMPHAI_x000D_
PS-CHAMPHAI_x000D_
STATE- MIZORAM_x000D_
PIN No-796321</t>
  </si>
  <si>
    <t>97011927181</t>
  </si>
  <si>
    <t>8504</t>
  </si>
  <si>
    <t>02-May-1978</t>
  </si>
  <si>
    <t>33307322353</t>
  </si>
  <si>
    <t>21-Jul-2026</t>
  </si>
  <si>
    <t>4106</t>
  </si>
  <si>
    <t>02-Dec-1980</t>
  </si>
  <si>
    <t>S/O GINZADOU_x000D_
Nok -Dosiansanga (Son)_x000D_
Vill- Kawlbem_x000D_
Post-Ngopa_x000D_
Dist - Champhai_x000D_
PS- Ngopa_x000D_
State- Mizoram_x000D_
Pin- 796290</t>
  </si>
  <si>
    <t>755165800980</t>
  </si>
  <si>
    <t>20300964545</t>
  </si>
  <si>
    <t>8059</t>
  </si>
  <si>
    <t>08-Mar-1999</t>
  </si>
  <si>
    <t>NOK   : BUNI PUJHAR (WIFE)_x000D_
S/O   : SONWA DEHRI_x000D_
Vill  : BHILAIHOR_x000D_
PO    : SARAIDAHA_x000D_
PS    : SHIKARIPARA_x000D_
Dist  : DUMKA_x000D_
State : JHARKHAND_x000D_
Pin   : 816118</t>
  </si>
  <si>
    <t>97016081813</t>
  </si>
  <si>
    <t>8050</t>
  </si>
  <si>
    <t>NOK   : PANMUNI KISKU (WIFE)_x000D_
S/O   : SHIV THAKUR TUDU_x000D_
Vill  : KOLARKONDA_x000D_
PO    : MASANJOR_x000D_
PS    : TONGRA_x000D_
Dist  : DUMKA_x000D_
State : JHARKHAND_x000D_
Pin   : 814144</t>
  </si>
  <si>
    <t>97017256998</t>
  </si>
  <si>
    <t>8055</t>
  </si>
  <si>
    <t>NOK   : SHARMILA TUDU (WIFE)_x000D_
S/O   :SOMLAL MURMU_x000D_
Vill  : SITASAL_x000D_
PO    : KATHALIA_x000D_
PS    : MASALIA_x000D_
Dist  : DUMKA_x000D_
State : JHARKHAND_x000D_
Pin   : 814119</t>
  </si>
  <si>
    <t>97017265040</t>
  </si>
  <si>
    <t>8056</t>
  </si>
  <si>
    <t>97017265131</t>
  </si>
  <si>
    <t>8391</t>
  </si>
  <si>
    <t>NOK: LEKHYA DEVI (MOTHER)_x000D_
S/O: BOLOMALIK RAY_x000D_
VILL: ALIGANJ_x000D_
P-O: TANGDAHA_x000D_
DIST: DUMKA_x000D_
STATE: JHARKHAND_x000D_
P-S: RANISHWAR_x000D_
PIN: 814148</t>
  </si>
  <si>
    <t>97009905240</t>
  </si>
  <si>
    <t>8546</t>
  </si>
  <si>
    <t>22-Apr-1985</t>
  </si>
  <si>
    <t>NOK: PUJA PAUL (WIFE)
S/O KAJAL PAUL
VILL: 2ND LINK ROAD, LANE 6A
P-O: LINK ROAD
DIST: CACHAR
STATE: ASSAM
P-S: SILCHAR
PIN: 788006</t>
  </si>
  <si>
    <t>9180 6969 9234</t>
  </si>
  <si>
    <t>785157876847</t>
  </si>
  <si>
    <t>30913031304</t>
  </si>
  <si>
    <t>8547</t>
  </si>
  <si>
    <t>14-Oct-1987</t>
  </si>
  <si>
    <t>NOK: VISHAL PAUL (BROTHER)
S/O: LATE SAMIR KUMAR PAUL
VILL: PANCHGHORI ROAD, NEW DEVELOPMENT LANE
P-O: MEHERPUR
DIST: CACHAR
STATE: ASSAM
P-S: RANGIRKHARI
PIN: 788015</t>
  </si>
  <si>
    <t>6818 1920 0857</t>
  </si>
  <si>
    <t>785142397743</t>
  </si>
  <si>
    <t>20142857714</t>
  </si>
  <si>
    <t>264620</t>
  </si>
  <si>
    <t>1591610</t>
  </si>
  <si>
    <t>MR No. 74 RCC/7/ SEP 2026, JOB No. 710-A/52</t>
  </si>
  <si>
    <t>5154</t>
  </si>
  <si>
    <t>20-Feb-1982</t>
  </si>
  <si>
    <t>S/O VUNGKHANTHANGA_x000D_
NoK -DEICHLUNI (WIFE)_x000D_
Vill -NGUR_x000D_
Post -CHAMPHAI_x000D_
Dist-CHAMPHAI_x000D_
PS-CHAMPHAI_x000D_
STATE- MIZORAM_x000D_
PIN No-796321</t>
  </si>
  <si>
    <t>20335269893</t>
  </si>
  <si>
    <t>S/O DARBAR DAS_x000D_
Nok -Nuni (Wife)_x000D_
Vill- Paschimpatapur_x000D_
Post-Pratappur_x000D_
Dist - Cachar_x000D_
PS- Dawrwa_x000D_
State- Assam_x000D_
Pin- 788113</t>
  </si>
  <si>
    <t>34217556710</t>
  </si>
  <si>
    <t>3996</t>
  </si>
  <si>
    <t>12-Dec-1989</t>
  </si>
  <si>
    <t>S/O Ngulkhanmunga_x000D_
Nok -Zelngaihluani (Mother)_x000D_
Vill- Vapar _x000D_
Post-Champhai_x000D_
Dist -Champhai_x000D_
PS- Champhai_x000D_
State- Mizoram_x000D_
Pin- 796321</t>
  </si>
  <si>
    <t>888370464643</t>
  </si>
  <si>
    <t>33238467618</t>
  </si>
  <si>
    <t>6533</t>
  </si>
  <si>
    <t>S/O PAUDOTHANGA_x000D_
NoK -PAUDOTHANGA (FATHER)_x000D_
Vill -VAPAR_x000D_
Post -CHAMPHAI _x000D_
Dist-CHAMPHAI_x000D_
PS-CHAMPHAI_x000D_
STATE- MIZORAM_x000D_
PIN No-796321</t>
  </si>
  <si>
    <t>RE-MIDICAL AUG 2025_x000D_
A.C CHANGED</t>
  </si>
  <si>
    <t>43421354464</t>
  </si>
  <si>
    <t>5282</t>
  </si>
  <si>
    <t>27-Mar-1977</t>
  </si>
  <si>
    <t>S/O TUANDOTHANG_x000D_
NoK -PAUPIANSIAM (SON)_x000D_
Vill -VAPAR_x000D_
Post -VAPAR_x000D_
Dist-CHAMPHAI_x000D_
PS-CHAMPHAI_x000D_
STATE- MIZORAM_x000D_
PIN No-796321</t>
  </si>
  <si>
    <t>20302932454</t>
  </si>
  <si>
    <t>3995</t>
  </si>
  <si>
    <t>07-Nov-2001</t>
  </si>
  <si>
    <t>S/O T Ngulsianlanga_x000D_
Nok -T Ngulsianlanga (Father)_x000D_
Vill- Vapar _x000D_
Post-Champhai_x000D_
Dist -Champhai_x000D_
PS- Champhai_x000D_
State- Mizoram_x000D_
Pin- 796321</t>
  </si>
  <si>
    <t>254392963776</t>
  </si>
  <si>
    <t>97008985681</t>
  </si>
  <si>
    <t>5375</t>
  </si>
  <si>
    <t>12-Dec-1973</t>
  </si>
  <si>
    <t>S/O Thanglamsuana_x000D_
Nok -Dawngsiansanga (Son)_x000D_
Vill- Ngur_x000D_
Post-Ngur_x000D_
Dist -Champhai_x000D_
PS- Champhai_x000D_
State- Mizoram_x000D_
Pin- 796321</t>
  </si>
  <si>
    <t>344164697495</t>
  </si>
  <si>
    <t>35320073678</t>
  </si>
  <si>
    <t>3905</t>
  </si>
  <si>
    <t>10-May-1989</t>
  </si>
  <si>
    <t>S/O NANGDOPAUA_x000D_
NoK -NANDU TUDU (HUSBAND)_x000D_
Vill -VAPAR_x000D_
Post -VAPR_x000D_
Dist-CHAMPHAI_x000D_
PS-CHAMPHAI_x000D_
STATE- MIZORAM_x000D_
PIN No-796321</t>
  </si>
  <si>
    <t>20371648461</t>
  </si>
  <si>
    <t>6836</t>
  </si>
  <si>
    <t>W/O KHAWKHANTHANG_x000D_
Nok - Dosiansanga (Son)_x000D_
Vill- Kawlbem_x000D_
Post-ngopa_x000D_
Dist -Champhai_x000D_
PS- Champhai_x000D_
State- Mizoram_x000D_
Pin- 796321</t>
  </si>
  <si>
    <t>40127477108</t>
  </si>
  <si>
    <t>5507</t>
  </si>
  <si>
    <t>07-Aug-1990</t>
  </si>
  <si>
    <t>S/O LIANKHANKHUPA_x000D_
NoK -LIANKHANKHUP (HUSBAND)_x000D_
Vill -VAPAR_x000D_
Post -VAPAR_x000D_
Dist-CHAMPHAI_x000D_
PS-CHAMPHAI_x000D_
STATE- MIZORAM_x000D_
PIN No-796321</t>
  </si>
  <si>
    <t>40058921709</t>
  </si>
  <si>
    <t>6575</t>
  </si>
  <si>
    <t>S/O GAJALAL RAY_x000D_
NoK -JIYAINATI DEVI (WIFE)_x000D_
Vill -ASANBANI_x000D_
Post -GOWARI_x000D_
Dist-DUMKA_x000D_
PS-MUFFASIL_x000D_
STATE- JHARKHAND_x000D_
PIN No-814158</t>
  </si>
  <si>
    <t>97011280745</t>
  </si>
  <si>
    <t>8341</t>
  </si>
  <si>
    <t>13-Sep-1984</t>
  </si>
  <si>
    <t>NOK: MANGAL LEIMA SINGHA (WIFE)_x000D_
S/O: RABINDRA SINGHA_x000D_
VILL: ITKHOLA MANIPURI PARA SILCHAR_x000D_
P-O: SILCHAR_x000D_
DIST: CACHAR_x000D_
STATE: ASSAM_x000D_
P-S: SILCHAR_x000D_
PIN: 788001</t>
  </si>
  <si>
    <t>188980</t>
  </si>
  <si>
    <t>MR No. 74 RCC/10/ SEP 2026, JOB No. MAINT KVK ROAD 2026-27</t>
  </si>
  <si>
    <t>06-Jun-1978</t>
  </si>
  <si>
    <t>S/O Ruphi Harda_x000D_
Nok - P. Cvanlalzuali (Wife)_x000D_
Vill- Jharhand (Kend Pahari)_x000D_
Post- Bijaypur (Patabari)_x000D_
Dist -Dumka_x000D_
PS- Sikaripada_x000D_
State- Jharkhand_x000D_
Pin- 814101</t>
  </si>
  <si>
    <t>492831130660</t>
  </si>
  <si>
    <t>97008854455</t>
  </si>
  <si>
    <t>01-Oct-1983</t>
  </si>
  <si>
    <t>230086327674</t>
  </si>
  <si>
    <t>34324118367</t>
  </si>
  <si>
    <t>24-Jul-1989</t>
  </si>
  <si>
    <t>S/O ZAMSIANPAUA (L)_x000D_
NoK -TUANNGAIHTHANGA (BROTHER)_x000D_
Vill -VAIKHAWTLANG_x000D_
Post -CHAMPHAI_x000D_
Dist-CHAMPHAI_x000D_
PS-CHAMPHAI_x000D_
STATE- MIZORAM_x000D_
PIN No-796321</t>
  </si>
  <si>
    <t>20172739126</t>
  </si>
  <si>
    <t>4973</t>
  </si>
  <si>
    <t>25-May-1999</t>
  </si>
  <si>
    <t>S/O KHUALKHANPAUA_x000D_
Nok -LALCHHANHIMI (WIFE)_x000D_
Vill- VAWIKHAWTLANG_x000D_
Post- CHAMPHAI_x000D_
Dist -CHAMPHAI_x000D_
PS- CHAMPHAI_x000D_
State- MIZORAM_x000D_
Pin- 796321</t>
  </si>
  <si>
    <t>97007311805</t>
  </si>
  <si>
    <t>S/O KALIPADA RAY_x000D_
Nok - CHHAYA DEVI RAY (WIFE)_x000D_
Vill- KITURI_x000D_
Post-PATJOR_x000D_
Dist -DUMKA_x000D_
PS- RANISHWAR_x000D_
State- JHARKHAND_x000D_
Pin- 814148</t>
  </si>
  <si>
    <t>97006993490</t>
  </si>
  <si>
    <t>5178</t>
  </si>
  <si>
    <t>10-Sep-1984</t>
  </si>
  <si>
    <t>W/O DAWNGKHANKHUALA_x000D_
Nok - Nangsuanliana (Son)_x000D_
Vill- Vaikhawtlang_x000D_
Post-Champhai_x000D_
Dist -Champhai_x000D_
PS- Champhai_x000D_
State- Mizoram_x000D_
Pin- 796321</t>
  </si>
  <si>
    <t>535695750500</t>
  </si>
  <si>
    <t>97001303731</t>
  </si>
  <si>
    <t>6310</t>
  </si>
  <si>
    <t>18-Jun-2000</t>
  </si>
  <si>
    <t>S/O V.LALKRISTONA_x000D_
Nok - V. LALKRISTONA (Father)_x000D_
Vill- Vaikhatlang _x000D_
Post- Champhai_x000D_
Dist -Champhai_x000D_
PS- Champhai_x000D_
State- Mizoram_x000D_
Pin- 796321</t>
  </si>
  <si>
    <t>473145447406</t>
  </si>
  <si>
    <t>NEWLY RECRUITED_x000D_
SEP</t>
  </si>
  <si>
    <t>97004599214</t>
  </si>
  <si>
    <t>6495</t>
  </si>
  <si>
    <t>28-Apr-1989</t>
  </si>
  <si>
    <t>S/O THANGNGAIHPAUVA_x000D_
NoK -HATNEUI_x000D_
Vill -VAIKHAWTLANG_x000D_
Post -CHAMPHAI_x000D_
Dist-CHAMPHAI_x000D_
PS-CHAMPHAI_x000D_
STATE- MIZORAM_x000D_
PIN No-796321</t>
  </si>
  <si>
    <t>97007325681</t>
  </si>
  <si>
    <t>24</t>
  </si>
  <si>
    <t>4000</t>
  </si>
  <si>
    <t>27-Aug-1979</t>
  </si>
  <si>
    <t>S/O Thangkhenpaua_x000D_
Nok - Thangkhenpaua (Father)_x000D_
Vill- Vaikhatlang _x000D_
Post- Champhai_x000D_
Dist -Champhai_x000D_
PS- Champhai_x000D_
State- Mizoram_x000D_
Pin- 796321</t>
  </si>
  <si>
    <t>459892688494</t>
  </si>
  <si>
    <t>97007321915</t>
  </si>
  <si>
    <t>6681</t>
  </si>
  <si>
    <t>01-Dec-1997</t>
  </si>
  <si>
    <t>S/O PAUCHINSUANA_x000D_
NoK -PAUNGAIHSANGA (SON)_x000D_
Vill -VAIKHAWTLANG_x000D_
Post -CHAMPHAI_x000D_
Dist-CHAMPHAI_x000D_
PS-CHAMPHAI_x000D_
STATE- MIZORAM_x000D_
PIN No-796321</t>
  </si>
  <si>
    <t>97004859355</t>
  </si>
  <si>
    <t>6866</t>
  </si>
  <si>
    <t>NAME OF NOK-KAMLUANNIANGI (WIFE), _x000D_
S/O-GINLIANPAUA_x000D_
VILL-VAIKHAWTLANG, POST- CHAMPHAI,_x000D_
PS-CHAMPHAI,_x000D_
DIST-CHAMPHAI_x000D_
STATE-MIZORAM,_x000D_
PIN-796321</t>
  </si>
  <si>
    <t>97012798551</t>
  </si>
  <si>
    <t>6867</t>
  </si>
  <si>
    <t>NAME OF NOK-NIANGSIANGCHING (WIFE), _x000D_
S/O-THANGDOKHAMA,_x000D_
VILL-VAIKHAWTLANG, POST- CHAMPHAI,_x000D_
PS-CHAMPHAI,_x000D_
DIST-CHAMPHAI_x000D_
STATE-MIZORAM,_x000D_
PIN-796321</t>
  </si>
  <si>
    <t>97007316439</t>
  </si>
  <si>
    <t>15-Apr-2024</t>
  </si>
  <si>
    <t>13-Jun-1981</t>
  </si>
  <si>
    <t>D/O GIN KAP THANGA_x000D_
Nok -TUANGNGAIHTHANGA (HUSBAND)_x000D_
Vill- Vaikhawtlang_x000D_
Post-Champhai_x000D_
Dist -Champhai_x000D_
PS- Champhai_x000D_
State- Mizoram_x000D_
Pin- 796321</t>
  </si>
  <si>
    <t>34317082836</t>
  </si>
  <si>
    <t>6017</t>
  </si>
  <si>
    <t>16-Jul-2004</t>
  </si>
  <si>
    <t>S/O DAIKHANKAPA_x000D_
NoK -DAIKHANKAPA (FATHER)_x000D_
Vill -VAIKHAWTLANG_x000D_
Post -CHAMPHAI_x000D_
Dist-CHAMPHAI_x000D_
PS-CHAMPHAI_x000D_
STATE- MIZORAM_x000D_
PIN No-796321</t>
  </si>
  <si>
    <t>97011871920</t>
  </si>
  <si>
    <t>4920</t>
  </si>
  <si>
    <t>W/O TUANNGAIHTHANGA_x000D_
Nok - TUANNGAIHTHANGA (Wife)_x000D_
Vill- Vaikhawtlang_x000D_
Post-Champhai_x000D_
Dist -Champhai_x000D_
PS- Champhai_x000D_
State- Mizoram_x000D_
Pin- 796321</t>
  </si>
  <si>
    <t>97002036489</t>
  </si>
  <si>
    <t>5165</t>
  </si>
  <si>
    <t>S/O Dalngaihliana_x000D_
Nok - Zenkhanniangi (wife)_x000D_
Vill- Vaikhawtlang_x000D_
Post-Champhai_x000D_
Dist -Champhai_x000D_
PS- Champhai_x000D_
State- Mizoram_x000D_
Pin- 796321</t>
  </si>
  <si>
    <t>631330443005</t>
  </si>
  <si>
    <t>97008343053</t>
  </si>
  <si>
    <t>5173</t>
  </si>
  <si>
    <t>S/O DAWNGKHANENA_x000D_
Nok - DAWNGKHANENA (Father)_x000D_
Vill- Vaikhawtlang_x000D_
Post-Champhai_x000D_
Dist -Champhai_x000D_
PS- Champhai_x000D_
State- Mizoram_x000D_
Pin- 796321</t>
  </si>
  <si>
    <t>755613451874</t>
  </si>
  <si>
    <t>97011944946</t>
  </si>
  <si>
    <t>2230</t>
  </si>
  <si>
    <t>17-Oct-1995</t>
  </si>
  <si>
    <t>D/O ZAMSIANPAU_x000D_
Nok -NIANGLAMCHINGI (WIFE)_x000D_
Vill- Vaikhawtlang_x000D_
Post-Champhai_x000D_
Dist -Champhai_x000D_
PS- Champhai_x000D_
State- Mizoram_x000D_
Pin- 796321</t>
  </si>
  <si>
    <t>97002372046</t>
  </si>
  <si>
    <t>7237</t>
  </si>
  <si>
    <t>NOK -LAMNEIHCHING(WIFE)_x000D_
S/O-ZAZAWNA_x000D_
VILL-VAIKHAWTLANG_x000D_
P.O-CHAMPHAI_x000D_
DIST-CHAMPHAI_x000D_
PS-CHAMPHAI_x000D_
STATE-MIZORAM_x000D_
PIN-796321</t>
  </si>
  <si>
    <t>25017017386</t>
  </si>
  <si>
    <t>21-Nov-2024</t>
  </si>
  <si>
    <t>7238</t>
  </si>
  <si>
    <t>NOK-MANLIANCHINI (DAUGHTER_x000D_
S/O-PAUKHUPA_x000D_
VILL-VAIKHAWTLANG_x000D_
P.O-CHAMPHAI_x000D_
DIST-CHAMPHAI_x000D_
PS-CHAMPHAI_x000D_
STATE-MIZORAM_x000D_
PIN-796321</t>
  </si>
  <si>
    <t>42949071958</t>
  </si>
  <si>
    <t>324280</t>
  </si>
  <si>
    <t>3999</t>
  </si>
  <si>
    <t>03-Feb-1995</t>
  </si>
  <si>
    <t>S/O Zamsiampauva_x000D_
Nok -Gabriel Paurintluanga (Son) _x000D_
Vill- Vaikhawtlang_x000D_
Post-Champhai_x000D_
Dist -Champhai_x000D_
PS- Champhai_x000D_
State- Mizoram_x000D_
Pin- 796321</t>
  </si>
  <si>
    <t>807073825550</t>
  </si>
  <si>
    <t>97007264886</t>
  </si>
  <si>
    <t>5174</t>
  </si>
  <si>
    <t>10-Aug-1986</t>
  </si>
  <si>
    <t>S/O NENGKHANPAUA_x000D_
NoK -BIAKMUANKIMA (SON)_x000D_
Vill -KHUANGPHAH_x000D_
Post -KHUANGPHAH_x000D_
Dist-CHAMPHAI_x000D_
PS-CHAMPHAI_x000D_
STATE- MIZORAM_x000D_
PIN No-796321</t>
  </si>
  <si>
    <t>97007470898</t>
  </si>
  <si>
    <t>6053</t>
  </si>
  <si>
    <t>07-Apr-2001</t>
  </si>
  <si>
    <t>S/O KHAMBIAKTLUANGA_x000D_
NoK -KHAMBIAKTLUANGA (FATHER)_x000D_
Vill -KHUANGPHAH_x000D_
Post -KHUANGPHAH_x000D_
Dist-CHAMPHAI_x000D_
PS-CHAMPHAI_x000D_
STATE- MIZORAM_x000D_
PIN No-796321</t>
  </si>
  <si>
    <t>97012104155</t>
  </si>
  <si>
    <t>3908</t>
  </si>
  <si>
    <t>08-Aug-1988</t>
  </si>
  <si>
    <t>S/O HK KHAMA_x000D_
Nok - Thangsianmuana (Brother)_x000D_
Vill- Khuangphah _x000D_
Post- Champhai_x000D_
Dist -Champhai_x000D_
PS- Champhai_x000D_
State- Mizoram_x000D_
Pin- 796321</t>
  </si>
  <si>
    <t>784839900371</t>
  </si>
  <si>
    <t>97007299069</t>
  </si>
  <si>
    <t>7632</t>
  </si>
  <si>
    <t>11-Feb-1993</t>
  </si>
  <si>
    <t>NOK-ROBERT LALMALSAWMA (SON)_x000D_
S/O-GINKAPTHANGA_x000D_
VILL-VAIKHAWTLANG_x000D_
P.O-VAIKHAWTLANG_x000D_
DIST-CHAMPHAI_x000D_
PS-CHAMPHAI_x000D_
STATE-MIZORAM_x000D_
PIN-796321</t>
  </si>
  <si>
    <t>97004281306</t>
  </si>
  <si>
    <t>26-Aug-2025</t>
  </si>
  <si>
    <t>3910</t>
  </si>
  <si>
    <t>10-Aug-1984</t>
  </si>
  <si>
    <t>S/O KHAWSIAMA_x000D_
Nok - Sangthiangi (Wife)_x000D_
Vill- Khuangphah _x000D_
Post- Champhai_x000D_
Dist -Champhai_x000D_
PS- Champhai_x000D_
State- Mizoram_x000D_
Pin- 796321</t>
  </si>
  <si>
    <t>300247473651</t>
  </si>
  <si>
    <t>97002555371</t>
  </si>
  <si>
    <t>6698</t>
  </si>
  <si>
    <t>17-Jul-2000</t>
  </si>
  <si>
    <t>S/o LAIKIMA (L)_x000D_
Nok - Vanlalhnuni (Self)_x000D_
Vill- Khuangphah_x000D_
Post- Champhai_x000D_
Dist -Champhai_x000D_
PS- Champhai_x000D_
State- Mizoram_x000D_
Pin- 796321</t>
  </si>
  <si>
    <t>621743571079</t>
  </si>
  <si>
    <t>97014987987</t>
  </si>
  <si>
    <t>7404</t>
  </si>
  <si>
    <t>12-Jan-1994</t>
  </si>
  <si>
    <t>NOK-BENJAMINTHUANVUNGA (SON)_x000D_
S/O-TLANCHUNGA_x000D_
VILL-VAWIKHAWTLANG_x000D_
P.O-CHAMPHAI_x000D_
DIST-CHAMPHAI_x000D_
STATE-MIZORAM_x000D_
PS-CHAMPHAI_x000D_
PIN-796290</t>
  </si>
  <si>
    <t>97007985252</t>
  </si>
  <si>
    <t>18-Aug-2025</t>
  </si>
  <si>
    <t>7406</t>
  </si>
  <si>
    <t>27-Aug-2002</t>
  </si>
  <si>
    <t>NOK-LALFAKAWMA (BROTHER)_x000D_
S/O-THANGKHANMANGA_x000D_
VILL-VAWIKHAWTLANG_x000D_
P.O-CHAMPHAI_x000D_
DIST-CHAMPHAI_x000D_
STATE-MIZORAM_x000D_
PS-CHAMPHAI_x000D_
PIN-796290</t>
  </si>
  <si>
    <t>97007269103</t>
  </si>
  <si>
    <t>6015</t>
  </si>
  <si>
    <t>10-Jun-1988</t>
  </si>
  <si>
    <t>S/O LANGKHANKHUPA_x000D_
NoK-DAMKHAWLNIANGI (WIFE)_x000D_
Vill -HNAHLAN_x000D_
Post -CHAMPHAI_x000D_
Dist-CHAMPHAI_x000D_
PS-CHAMPHAI_x000D_
STATE- MIZORAM_x000D_
PIN No-796301</t>
  </si>
  <si>
    <t>97003430327</t>
  </si>
  <si>
    <t>3912</t>
  </si>
  <si>
    <t>06-Jun-1985</t>
  </si>
  <si>
    <t>S/O THANGKHENPAUA_x000D_
NoK -LIANLALCHHUANGI (WIFE)_x000D_
Vill -HNAHLAN_x000D_
Post -CHAMPHAI_x000D_
Dist-CHAMPHAI_x000D_
PS-CHAMPHAI_x000D_
STATE- MIZORAM_x000D_
PIN No-796301</t>
  </si>
  <si>
    <t>REMEDICAL_x000D_
A/C Changed</t>
  </si>
  <si>
    <t>41323328134</t>
  </si>
  <si>
    <t>6676</t>
  </si>
  <si>
    <t>07-Jun-1992</t>
  </si>
  <si>
    <t>S/O KHUALKHANPAUA_x000D_
NoK -JENNY LALFAKZUALI (WIFE)_x000D_
Vill -VAIKHAWTLAGN_x000D_
Post -VAIKHAWTLANG_x000D_
Dist-CHAMPHAI_x000D_
PS-CHAMPHAI_x000D_
STATE- MIZORAM_x000D_
PIN No-796321</t>
  </si>
  <si>
    <t>97005873390</t>
  </si>
  <si>
    <t>6054</t>
  </si>
  <si>
    <t>18-Jun-2005</t>
  </si>
  <si>
    <t>S/O THANGHLUNMAWIA_x000D_
NoK -THANGLUNMAWIA (FATHER)_x000D_
Vill -KHUANGPHAH_x000D_
Post -KHUANGPHAH_x000D_
Dist-CHAMPHAI_x000D_
PS-CHAMPHAI_x000D_
STATE- MIZORAM_x000D_
PIN No-796321</t>
  </si>
  <si>
    <t>97009622387</t>
  </si>
  <si>
    <t>7349</t>
  </si>
  <si>
    <t>07-Aug-1984</t>
  </si>
  <si>
    <t>NOK -NGINSANKIMI (WIFE)_x000D_
S/O-HANGDOTHANGA (L)_x000D_
VILL-HNAHLAN_x000D_
P.O-CHAMPHAI_x000D_
DIST-CHAMPHAI_x000D_
PS-CHAMPHAI_x000D_
STATE-MIZORAM_x000D_
PIN-796321</t>
  </si>
  <si>
    <t>97013504991</t>
  </si>
  <si>
    <t>21-May-2025</t>
  </si>
  <si>
    <t>7631</t>
  </si>
  <si>
    <t>21-Nov-2001</t>
  </si>
  <si>
    <t>NOK -PAUSIALTHANGA (FATHER)_x000D_
S/O-PAUSIALTHANGA_x000D_
VILL-VAWIKHAWTLANG_x000D_
P.O-VAIKHAWTLANG_x000D_
DIST-CHAMPHAI_x000D_
PS-CHAMPHAI_x000D_
STATE-MIZORAM_x000D_
PIN-796321</t>
  </si>
  <si>
    <t>97015116420</t>
  </si>
  <si>
    <t>7306</t>
  </si>
  <si>
    <t>12-Jun-1981</t>
  </si>
  <si>
    <t>NOK-LIANDINGMUANA (SON)_x000D_
S/O-V LIANHNUNA_x000D_
VILL-KAWLBEM_x000D_
P.O-KAWLBEM_x000D_
DIST-CHAMPHAI_x000D_
STATE-MIZORAM_x000D_
PS-NGOPA_x000D_
PIN-796290</t>
  </si>
  <si>
    <t>34979300077</t>
  </si>
  <si>
    <t>21-Mar-2025</t>
  </si>
  <si>
    <t>18-May-1990</t>
  </si>
  <si>
    <t>S/O C. Hrangthuama_x000D_
Nok -K lalnunpuii (WIFE)_x000D_
Vill- Khuangphah_x000D_
Post-Champhai_x000D_
Dist - Champhai_x000D_
PS-Champhai_x000D_
State- Mizoram_x000D_
Pin- 796321</t>
  </si>
  <si>
    <t>97003219178</t>
  </si>
  <si>
    <t>6509</t>
  </si>
  <si>
    <t>15-Jul-1983</t>
  </si>
  <si>
    <t>97002115793</t>
  </si>
  <si>
    <t>8505</t>
  </si>
  <si>
    <t>25-Oct-1985</t>
  </si>
  <si>
    <t>NOK - V.S TUANNGATHTHANG (BROTHER, 49 YRS), _x000D_
S/O ZS PAUVA,_x000D_
VILL- VAIKHAW TLANG, POST- CHAMPHAI, DIST - CHAMPHAI, PS- CHAMPHAI, STATE- MIZORAM, PIN- 796321</t>
  </si>
  <si>
    <t>97001449513</t>
  </si>
  <si>
    <t>321420</t>
  </si>
  <si>
    <t>645700</t>
  </si>
  <si>
    <t>MR No. 74 RCC/11/ SEP 2026, JOB No. MAINT DVF ROAD 2026-27</t>
  </si>
  <si>
    <t>09-Sep-1973</t>
  </si>
  <si>
    <t>Name of NoK -Ngurthang Tlungi (Wife)_x000D_
S/O - C Vanlalringa_x000D_
House No-64 , Vanapa Section Samthang ,Samthang (old),Champhai,Samthang , Mizoram , 796320</t>
  </si>
  <si>
    <t>97001232124</t>
  </si>
  <si>
    <t>4462</t>
  </si>
  <si>
    <t>15-Jun-1977</t>
  </si>
  <si>
    <t>Name of NoK -Haikipsung(Wife)_x000D_
S/O - Zatawna B Section Farkawn,Champhai Farkawn, Mizoram  , 796320</t>
  </si>
  <si>
    <t>97001363032</t>
  </si>
  <si>
    <t>6314</t>
  </si>
  <si>
    <t>01-Apr-1999</t>
  </si>
  <si>
    <t>S/O LALLAWTA_x000D_
Nok - LALLAWTA (SON)_x000D_
Vill- FARKAWN_x000D_
Post-CHAMPHAI_x000D_
Dist -CHAMPHAI_x000D_
PS- CHAMPHAI_x000D_
State- MIZORAM_x000D_
Pin- 796321</t>
  </si>
  <si>
    <t>97004855339</t>
  </si>
  <si>
    <t>7142</t>
  </si>
  <si>
    <t>03-Mar-1992</t>
  </si>
  <si>
    <t>NOK-C PARMAWII (WIFE)_x000D_
S/O-NEIHHNEMI (MOTHER)_x000D_
VILL-FARKAWN_x000D_
PS-DUNGTLANG_x000D_
PO-DUNGTLANG_x000D_
DIST-CHAMPHAI_x000D_
STATE-MIZORAM_x000D_
PIN-796320</t>
  </si>
  <si>
    <t>97004357231</t>
  </si>
  <si>
    <t>30-Sep-2024</t>
  </si>
  <si>
    <t>7143</t>
  </si>
  <si>
    <t>11-Jun-1989</t>
  </si>
  <si>
    <t>NOK-LALMUNKIMI (WIFE)_x000D_
S/O-RAMCHUNGA_x000D_
VILL-FARKAWN_x000D_
PS-DUNGTLANG_x000D_
PO-DUNGTLANG_x000D_
DIST-CHAMPHAI_x000D_
STATE-MIZORAM_x000D_
PIN-796320</t>
  </si>
  <si>
    <t>RE-MEDICAL AUG 2025_x000D_
RE-MEDICAL JUL 2026</t>
  </si>
  <si>
    <t>97001297308</t>
  </si>
  <si>
    <t>2802</t>
  </si>
  <si>
    <t>09-Sep-1979</t>
  </si>
  <si>
    <t>S/O Rajendra Nath_x000D_
Nok - Shibani Nath (Wife)_x000D_
Vill- Panibhora_x000D_
Post- Panibhora_x000D_
Dist - Cachar_x000D_
PS-  Dholai_x000D_
State- Assam_x000D_
Pin- 788123</t>
  </si>
  <si>
    <t>7810 9780 5256</t>
  </si>
  <si>
    <t>20095058814</t>
  </si>
  <si>
    <t>7339</t>
  </si>
  <si>
    <t>15-Nov-2004</t>
  </si>
  <si>
    <t>NOK-T.LALZAULIANA (FATHER)_x000D_
S/O-T.LALZAULIANA,_x000D_
VILL-SAMTHANG,_x000D_
PS-CHAMPHAI,_x000D_
DIST-CHAMPHAI,_x000D_
STATE-MIZORAM,_x000D_
PIN-796321</t>
  </si>
  <si>
    <t>97006331899</t>
  </si>
  <si>
    <t>12-May-2025</t>
  </si>
  <si>
    <t>7352</t>
  </si>
  <si>
    <t>NOK-PARMILA HANSDA (WIFE)_x000D_
S/O-SIMON SOREN_x000D_
VILL-DEWAN BARI_x000D_
PO-RANI BAHAL_x000D_
DIST-DUMKA_x000D_
STATE-JHARKHAND_x000D_
PS-MASSANJOR_x000D_
PIN-814144</t>
  </si>
  <si>
    <t>97015537663</t>
  </si>
  <si>
    <t>07</t>
  </si>
  <si>
    <t>11-Jun-2025</t>
  </si>
  <si>
    <t>28-May-1984</t>
  </si>
  <si>
    <t>Name of NoK -Lalrochhari (Wife)_x000D_
S/O - Vanlalhuma_x000D_
House No-89 Near Anganwadi Khuangleng,Khuangleng,Champhai,Khuangleng , Mizoram , 796321</t>
  </si>
  <si>
    <t>97001218847</t>
  </si>
  <si>
    <t>2847</t>
  </si>
  <si>
    <t>Name of NoK -Mumila Marandi (Mother)_x000D_
D/O - Munsi Tudu ,bichpahari ,Chaukisala , Chowkisal ,Pakur ,Pakuria , Jharkhand , 816117</t>
  </si>
  <si>
    <t>97012350269</t>
  </si>
  <si>
    <t>6256</t>
  </si>
  <si>
    <t>08-Aug-2000</t>
  </si>
  <si>
    <t>Name of NoK -Hranghmingthanga(Father)_x000D_
C/O - -Hranghmingthanga, Samthang , Samthang(old),Champhai ,Mizoram ,796320</t>
  </si>
  <si>
    <t>97010740691</t>
  </si>
  <si>
    <t>7365</t>
  </si>
  <si>
    <t>12-May-2005</t>
  </si>
  <si>
    <t>NOK-HELEN BASKI (MOTHER)_x000D_
S/O-SUTILAL SOREN_x000D_
VILL-DEWAN BARI_x000D_
PO-RANI BAHAL_x000D_
DIST-DUMKA_x000D_
STATE-JHARKHAND_x000D_
PS-MASANJOR_x000D_
PIN-814144</t>
  </si>
  <si>
    <t>97015538690</t>
  </si>
  <si>
    <t>26-Jun-2025</t>
  </si>
  <si>
    <t>8070</t>
  </si>
  <si>
    <t>15-Dec-2006</t>
  </si>
  <si>
    <t>97015535587</t>
  </si>
  <si>
    <t>8</t>
  </si>
  <si>
    <t>8134</t>
  </si>
  <si>
    <t>26-Sep-1994</t>
  </si>
  <si>
    <t>NOK- LALSAND KHUMA SAILO (HUSBAND)_x000D_
S/O-BUANKUNGA_x000D_
VILL-FARKAWNI_x000D_
PO-CHAMPHAI_x000D_
DIST-CHAMPHAI_x000D_
STATE-MIZORAM_x000D_
PS-DUNGTLANG_x000D_
PIN-796320</t>
  </si>
  <si>
    <t>97008462322</t>
  </si>
  <si>
    <t>8135</t>
  </si>
  <si>
    <t>AGASTEN HEMBROM</t>
  </si>
  <si>
    <t>03-Aug-2006</t>
  </si>
  <si>
    <t>NOK- SUBAS HEMBROM (FATHER)_x000D_
S/O- SUBAS HEMBROM_x000D_
VILL- DIWANBAR_x000D_
PO- RANIBAHAL_x000D_
DIST-DUMKA_x000D_
STATE-JHARKHAND_x000D_
PS- MASSANJOR_x000D_
PIN-814144</t>
  </si>
  <si>
    <t>97017348109</t>
  </si>
  <si>
    <t>07-Mar-2026</t>
  </si>
  <si>
    <t>8230</t>
  </si>
  <si>
    <t>16-Apr-1997</t>
  </si>
  <si>
    <t>NOK- LALLAWMKIMI (WIFE)_x000D_
S/O- M.C ROSANGA_x000D_
VILL- FARKAWN_x000D_
PO- CHAMPHAI_x000D_
DIST- CHAMPHAI_x000D_
STATE- MIZORAM_x000D_
PS- DUNGTLANG_x000D_
PIN- 796321</t>
  </si>
  <si>
    <t>97008870170</t>
  </si>
  <si>
    <t>27-Apr-2026</t>
  </si>
  <si>
    <t>8353</t>
  </si>
  <si>
    <t>05-Apr-2005</t>
  </si>
  <si>
    <t>97015539172</t>
  </si>
  <si>
    <t>25-May-2026</t>
  </si>
  <si>
    <t>8354</t>
  </si>
  <si>
    <t>02-Jan-2026</t>
  </si>
  <si>
    <t>97017524108</t>
  </si>
  <si>
    <t>8355</t>
  </si>
  <si>
    <t>NOK: SHAKUNTALA SOREN (WIFE)_x000D_
S/O: FUDAN MARANDI_x000D_
VILL: CHOTA BHUIBHANGA_x000D_
P-O: BARA NARGANJ_x000D_
DIST: DUMKA_x000D_
STATE: JHARKHAND_x000D_
P-S: KATHIKUND_x000D_
PIN: 814103</t>
  </si>
  <si>
    <t>97017529344</t>
  </si>
  <si>
    <t>8356</t>
  </si>
  <si>
    <t>13-Jun-1995</t>
  </si>
  <si>
    <t>NOK: RASMUNI MURMU (MOTHER)_x000D_
S/O: BUDHAN HEMBROM_x000D_
VILL: DEWAN BARI_x000D_
P-O: RANI BAHAL_x000D_
DIST: DUMKA_x000D_
STATE: JHARKHAND_x000D_
P-S: MASANJORE_x000D_
PIN: 814144</t>
  </si>
  <si>
    <t>97013081736</t>
  </si>
  <si>
    <t>298430</t>
  </si>
  <si>
    <t>8357</t>
  </si>
  <si>
    <t>15-Dec-2005</t>
  </si>
  <si>
    <t>97015535757</t>
  </si>
  <si>
    <t>7</t>
  </si>
  <si>
    <t>8423</t>
  </si>
  <si>
    <t>04-Sep-2002</t>
  </si>
  <si>
    <t>NOK: REBECA LALRUATHLUII (SISTER)_x000D_
S/O: LALRAMENGA_x000D_
VILL: VAPHAI_x000D_
P-O: VAPHAI_x000D_
DIST: CHAMPHAI_x000D_
STATE: MIZORAM_x000D_
P-S: DUNGTIANG_x000D_
PIN: 796320</t>
  </si>
  <si>
    <t>97010950483</t>
  </si>
  <si>
    <t>06-Jul-2026</t>
  </si>
  <si>
    <t>8405</t>
  </si>
  <si>
    <t>09-Jun-2003</t>
  </si>
  <si>
    <t>97013464516</t>
  </si>
  <si>
    <t>3</t>
  </si>
  <si>
    <t>02-Jul-2026</t>
  </si>
  <si>
    <t>8406</t>
  </si>
  <si>
    <t>09-Mar-2001</t>
  </si>
  <si>
    <t>97014054698</t>
  </si>
  <si>
    <t>8407</t>
  </si>
  <si>
    <t>NP ZIONA</t>
  </si>
  <si>
    <t>17-Sep-2001</t>
  </si>
  <si>
    <t>97017633821</t>
  </si>
  <si>
    <t>8408</t>
  </si>
  <si>
    <t>12-Aug-1997</t>
  </si>
  <si>
    <t>20343310694</t>
  </si>
  <si>
    <t>8426</t>
  </si>
  <si>
    <t>22-Jan-1999</t>
  </si>
  <si>
    <t>NOK: EDENTHANGI (MOTHER)_x000D_
S/O: LALDAIA_x000D_
VILL: FARKAWN_x000D_
P-O: CHAMPHAI_x000D_
DIST: CHAMPHAI_x000D_
STATE: MIZORAM_x000D_
P-S: DUNGTLANG_x000D_
PIN: 796321</t>
  </si>
  <si>
    <t>97006457880</t>
  </si>
  <si>
    <t>8427</t>
  </si>
  <si>
    <t>23-Mar-1998</t>
  </si>
  <si>
    <t>NOK: LALCHHINCHHIAHI (WIFE)_x000D_
S/O: SANGTHUAMA_x000D_
VILL: FARKAWN_x000D_
P-O: CHAMPHAI_x000D_
DIST: CHAMPHAI_x000D_
STATE: MIZORAM_x000D_
P-S: DUNGTLANG_x000D_
PIN: 796321</t>
  </si>
  <si>
    <t>97011726789</t>
  </si>
  <si>
    <t>8428</t>
  </si>
  <si>
    <t>01-Dec-1982</t>
  </si>
  <si>
    <t>NOK: LALREMPUII (WIFE)_x000D_
S/O: LAINAWLA_x000D_
VILL: FARKAWN_x000D_
P-O: CHAMPHAI_x000D_
DIST: CHAMPHAI_x000D_
STATE: MIZORAM_x000D_
P-S: DUNGTLANG_x000D_
PIN: 796321</t>
  </si>
  <si>
    <t>25044025882</t>
  </si>
  <si>
    <t>8429</t>
  </si>
  <si>
    <t>28-Apr-2004</t>
  </si>
  <si>
    <t>NOK: LALREMTLUANGI (SISTER)_x000D_
S/O: SANGHNUNA_x000D_
VILL: VAPHAI_x000D_
P-O: VAPHAI_x000D_
DIST: CHAMPHAI_x000D_
STATE: MIZORAM_x000D_
P-S: DUNGTLANG_x000D_
PIN: 796320</t>
  </si>
  <si>
    <t>97015787794</t>
  </si>
  <si>
    <t>8430</t>
  </si>
  <si>
    <t>11-Mar-2002</t>
  </si>
  <si>
    <t>97015462663</t>
  </si>
  <si>
    <t>8431</t>
  </si>
  <si>
    <t>21-Jan-1986</t>
  </si>
  <si>
    <t>NOK: ZABUANGI (MOTHER)_x000D_
S/O: LALHMINGTHANGA_x000D_
VILL: FARKAWN_x000D_
P-O: CHAMPHAI_x000D_
DIST: CHAMPHAI_x000D_
STATE: MIZORAM_x000D_
P-S: DUNGTLANG_x000D_
PIN: 796321</t>
  </si>
  <si>
    <t>97011400927</t>
  </si>
  <si>
    <t>8432</t>
  </si>
  <si>
    <t>97002328188</t>
  </si>
  <si>
    <t>112750</t>
  </si>
  <si>
    <t>411180</t>
  </si>
  <si>
    <t>MR No. 74 RCC/12/ SEP 2026, JOB No. MAINT FT ROAD 2026-27</t>
  </si>
  <si>
    <t>2822</t>
  </si>
  <si>
    <t>12-Jun-1979</t>
  </si>
  <si>
    <t>Name of NoK -Lalnun Sanga (Son)_x000D_
S/O - Rawlkhang_x000D_
N.Vanlaiphai , Near field Bawktlang,Serchhip, Mizoram , 796181</t>
  </si>
  <si>
    <t>97004551760</t>
  </si>
  <si>
    <t>6148</t>
  </si>
  <si>
    <t>15-Jan-1977</t>
  </si>
  <si>
    <t>Name of NoK -Sangchuaii(Wife)_x000D_
S/O - S. Ngunmanga,_x000D_
House No-18 ,Field Veng ,Thekte,Champhai,Muallung , Mizoram , 796320</t>
  </si>
  <si>
    <t>97006158450</t>
  </si>
  <si>
    <t>7144</t>
  </si>
  <si>
    <t>NOK-LALROHLUA (FATHER)_x000D_
S/O-LALROHLUA_x000D_
VILL-FARKAWN_x000D_
PS-DUNGTLANG_x000D_
PO-DUNGTLANG_x000D_
DIST-CHAMPHAI_x000D_
STATE-MIZORAM_x000D_
PIN-796320</t>
  </si>
  <si>
    <t>97006803751</t>
  </si>
  <si>
    <t>7145</t>
  </si>
  <si>
    <t>NOK-ZOHERSANGI (WIFE)_x000D_
S/O-LALCHHUANSANGA_x000D_
VILL-FARKAWN_x000D_
PS-DUNGTLANG_x000D_
PO-DUNGTLANG_x000D_
DIST-CHAMPHAI_x000D_
STATE-MIZORAM_x000D_
PIN-796320</t>
  </si>
  <si>
    <t>97006842464</t>
  </si>
  <si>
    <t>6149</t>
  </si>
  <si>
    <t>19-Jul-1989</t>
  </si>
  <si>
    <t>Name of NoK -Lal Lawmsangi (Wife)_x000D_
S/O - Sennawla_x000D_
House No-218 Damdawiin Veng , Farkawn ,Champhai,S. Khawbung, Mizoram , 796320</t>
  </si>
  <si>
    <t>97012363879</t>
  </si>
  <si>
    <t>6150</t>
  </si>
  <si>
    <t>09-May-1967</t>
  </si>
  <si>
    <t>Name of NoK -Hawithluaii (Wife)_x000D_
S/O - Thangvea ,Farkawn , V Section ,Farkawn_x000D_
,Champhai,Farkawn , Mizoram , 796320</t>
  </si>
  <si>
    <t>97001296654</t>
  </si>
  <si>
    <t>6232</t>
  </si>
  <si>
    <t>29-Nov-1999</t>
  </si>
  <si>
    <t>Name of NoK -K.Zaithantluanga (Father)_x000D_
Farkawn South, Vill-Farkawn I-796320</t>
  </si>
  <si>
    <t>97006422675</t>
  </si>
  <si>
    <t>8071</t>
  </si>
  <si>
    <t>20-Feb-1991</t>
  </si>
  <si>
    <t>NOK   : LALNUNZIRI (WIFE)_x000D_
S/O   : VANLALHRUAII (MOTHER)_x000D_
Vill  : FARKAWN_x000D_
PO    : CHAMPHAI_x000D_
PS    : DUNGTIANG_x000D_
Dist  : CHAMPHAI_x000D_
State : MIZORAM_x000D_
Pin   : 796321</t>
  </si>
  <si>
    <t>97011824164</t>
  </si>
  <si>
    <t>8424</t>
  </si>
  <si>
    <t>LAKHAN BASKEY</t>
  </si>
  <si>
    <t>05-Jun-1995</t>
  </si>
  <si>
    <t>NOK: NITA ASHA SOREN (WIFE)_x000D_
S/O: ABILAS BASKEY_x000D_
VILL: DEWAN BARI_x000D_
P-O: RANIBAHAL_x000D_
DIST: DUMKA_x000D_
STATE: JHARKHAND_x000D_
P-S: MASAN JOR_x000D_
PIN: 814144</t>
  </si>
  <si>
    <t>97016908221</t>
  </si>
  <si>
    <t>8425</t>
  </si>
  <si>
    <t>NOK: SARMILA MARANDI (WIFE)_x000D_
S/O: LAKHIRAM MURMU_x000D_
VILL: DEWAN BARI_x000D_
P-O: RANIBAHAL_x000D_
DIST: DUMKA_x000D_
STATE: JHARKHAND_x000D_
P-S: MASAN JOR_x000D_
PIN: 814144</t>
  </si>
  <si>
    <t>97017639233</t>
  </si>
  <si>
    <t>8399</t>
  </si>
  <si>
    <t>15-Jan-2003</t>
  </si>
  <si>
    <t>97009820729</t>
  </si>
  <si>
    <t>8400</t>
  </si>
  <si>
    <t>01-Oct-2004</t>
  </si>
  <si>
    <t>97011586999</t>
  </si>
  <si>
    <t>8401</t>
  </si>
  <si>
    <t>05-Aug-1998</t>
  </si>
  <si>
    <t>97016631905</t>
  </si>
  <si>
    <t>8402</t>
  </si>
  <si>
    <t>07-Aug-1999</t>
  </si>
  <si>
    <t>97012821479</t>
  </si>
  <si>
    <t>8403</t>
  </si>
  <si>
    <t>14-Dec-2000</t>
  </si>
  <si>
    <t>97016636039</t>
  </si>
  <si>
    <t>8404</t>
  </si>
  <si>
    <t>31-Dec-2004</t>
  </si>
  <si>
    <t>SUANLUNPIANGA (L)</t>
  </si>
  <si>
    <t>97014763127</t>
  </si>
  <si>
    <t>174970</t>
  </si>
  <si>
    <t>MR No. 74 RCC/13/ SEP 2026, JOB No. MAINT NVT ROAD 2026-27</t>
  </si>
  <si>
    <t>7259</t>
  </si>
  <si>
    <t>S/O MASIDI MADHAIYA_x000D_
NoK - Sonamuni Devi (Wife)_x000D_
Vill - Baghmara_x000D_
Post -Baghmara_x000D_
Dist- Godda_x000D_
PS - Deodand_x000D_
STATE- Jharkhand_x000D_
Pin No.- 814153</t>
  </si>
  <si>
    <t>97010674252</t>
  </si>
  <si>
    <t>7256</t>
  </si>
  <si>
    <t>97012904457</t>
  </si>
  <si>
    <t>7257</t>
  </si>
  <si>
    <t>S/O RAMKISHUN MARAIYA_x000D_
NoK - Rangila Devi(Wife)_x000D_
Vill - Jamua_x000D_
Post -Godda_x000D_
Dist- Godda_x000D_
PS - Godda_x000D_
STATE- Jharkhand_x000D_
Pin No.- 814133</t>
  </si>
  <si>
    <t>97012904480</t>
  </si>
  <si>
    <t>7258</t>
  </si>
  <si>
    <t>01-Jan-1973</t>
  </si>
  <si>
    <t>S/O SUKUL KISKU_x000D_
NoK - Biti Murmu(Wife)_x000D_
Vill - Baghmara_x000D_
Post -Baghmara_x000D_
Dist- Godda_x000D_
PS - Deodand_x000D_
STATE- Jharkhand_x000D_
Pin No.- 814153</t>
  </si>
  <si>
    <t>97016217155</t>
  </si>
  <si>
    <t>05-Nov-1978</t>
  </si>
  <si>
    <t>S/O DOMAN SOREN_x000D_
NoK -FRANCIS SOREN_x000D_
Vill -AGIA BANDH_x000D_
Post -DEODAND_x000D_
Dist-GODDA_x000D_
PS-DEODAND_x000D_
STATE- MIZORAM_x000D_
PIN No-814153</t>
  </si>
  <si>
    <t>97003552164</t>
  </si>
  <si>
    <t>5040</t>
  </si>
  <si>
    <t>S/O RASIK MARAIYA_x000D_
NoK -SUNITA DEVI (WIFE)_x000D_
Vill -SIYARKATIYA_x000D_
Post -BUDHIKURA_x000D_
Dist-GODDA_x000D_
PS-DEODAND_x000D_
STATE- JHARKHAND_x000D_
PIN No-814153</t>
  </si>
  <si>
    <t>97013738001</t>
  </si>
  <si>
    <t>5017</t>
  </si>
  <si>
    <t>S/O SUKOL SOREN_x000D_
NoK -ALBINA HEMBRAM (WIFE)_x000D_
Vill -BAGHMARA_x000D_
Post -THARIHAT_x000D_
Dist-DUMKA_x000D_
PS-RAMGARH_x000D_
STATE- JHARKHAND_x000D_
PIN No-814158</t>
  </si>
  <si>
    <t>97013656967</t>
  </si>
  <si>
    <t>1328</t>
  </si>
  <si>
    <t>S/O PRADHAN MURMU_x000D_
NoK -FULMUNI (BROTHER)_x000D_
Vill -PATO BANDH_x000D_
Post -RAMNGARH_x000D_
Dist-DUMKA_x000D_
PS-RANGARH_x000D_
STATE- JHARKHAND_x000D_
PIN No-814102</t>
  </si>
  <si>
    <t>97010952389</t>
  </si>
  <si>
    <t>6620</t>
  </si>
  <si>
    <t>S/O SUKDEV MURDHA_x000D_
NoK- SUKDEV MIRDHA (FATHER)_x000D_
Vill -DAHRI_x000D_
Post -DAMA_x000D_
Dist-GODDA_x000D_
PS-DEODAND_x000D_
STATE- JHARKHAND_x000D_
PIN No-814153</t>
  </si>
  <si>
    <t>20127921928</t>
  </si>
  <si>
    <t>1690</t>
  </si>
  <si>
    <t>12-Apr-1997</t>
  </si>
  <si>
    <t>S/O S LALBIAKVELA (L)_x000D_
NoK -LALREMTLUANGI (WIFE)_x000D_
Vill -N VANLAIPHAI_x000D_
Post -N VANLAIPHAI_x000D_
Dist-SERCHHIP_x000D_
PS-N VANLAIPHAI_x000D_
STATE- MIZORAM_x000D_
PIN No-796184</t>
  </si>
  <si>
    <t>25036010648</t>
  </si>
  <si>
    <t>7340</t>
  </si>
  <si>
    <t>NoK - Pushpa (Wife)_x000D_
S/o - Anant Mdaiya_x000D_
Village - Baghmara_x000D_
Post - Baghmara_x000D_
P.S-Deodand_x000D_
District - Godda_x000D_
State- Jharkhand_x000D_
Pin - 814153</t>
  </si>
  <si>
    <t>97014942367</t>
  </si>
  <si>
    <t>15-May-2025</t>
  </si>
  <si>
    <t>7341</t>
  </si>
  <si>
    <t>NoK - Gulabi Devi (Wife)_x000D_
S/o - Rasik Maraiya_x000D_
Village - Baghmara_x000D_
Post - Baghmara_x000D_
P.S-Deodand_x000D_
District - Godda_x000D_
State- Jharkhand_x000D_
Pin - 814153</t>
  </si>
  <si>
    <t>97012904479</t>
  </si>
  <si>
    <t>7711</t>
  </si>
  <si>
    <t>15-Jul-1991</t>
  </si>
  <si>
    <t>NOK-NEHA KISKU (DAUGHTER)_x000D_
S/O-GANESH KISKU_x000D_
VILL-GULAMSULI_x000D_
POST-PRATAPPUR_x000D_
DISTRICT-DUMKA_x000D_
STATE-JHARKHAND_x000D_
P.S-RANISHWAR_x000D_
PIN-814101</t>
  </si>
  <si>
    <t>20362655887</t>
  </si>
  <si>
    <t>SUBMITTED_x000D_
20 NOV 2025</t>
  </si>
  <si>
    <t>24-Oct-2025</t>
  </si>
  <si>
    <t>7770</t>
  </si>
  <si>
    <t>NOK-LALITA DEVI (WIFE)_x000D_
S/O-RAMCHANDRA MARAIYA_x000D_
VILL-BAGHMARA_x000D_
POST-BAGHMARA_x000D_
DISTRICT-DUMKA_x000D_
STATE-JHARKHAND_x000D_
P.S-DEODAND_x000D_
PIN-814153</t>
  </si>
  <si>
    <t>97016217177</t>
  </si>
  <si>
    <t>SUBMITTED_x000D_
20 DEC 2025</t>
  </si>
  <si>
    <t>S/O RATHINDRA CHAKRABORTY_x000D_
NoK -Shopna Chakraborty (Wife)_x000D_
Vill -Silchar_x000D_
Post -Silchar_x000D_
Dist-Cachar_x000D_
PS-Silchar_x000D_
STATE- Assam_x000D_
PIN No-788001</t>
  </si>
  <si>
    <t>213061733035</t>
  </si>
  <si>
    <t>38025701994</t>
  </si>
  <si>
    <t>5231</t>
  </si>
  <si>
    <t>S/O ANGAD REE_x000D_
NOK- Sumita REE (Wife)_x000D_
Vill- Srikona_x000D_
Post- Srikona_x000D_
Distt-Cachar_x000D_
PS- Tarapur_x000D_
State- Assam_x000D_
Pin- 788026</t>
  </si>
  <si>
    <t>689715881376</t>
  </si>
  <si>
    <t>41443945502</t>
  </si>
  <si>
    <t>6868</t>
  </si>
  <si>
    <t>02-Jan-1982</t>
  </si>
  <si>
    <t>S/O - MOIBUR RAHMAN BARBHUIYA_x000D_
Name of NoK - HUSSAIN AHMD (BROTHER)_x000D_
Village - DURGAPUR_x000D_
Post -  DURGAPUR_x000D_
PS-BARJATPUR_x000D_
Dist - CACHAR_x000D_
State - ASSAM_x000D_
Pin - 788110</t>
  </si>
  <si>
    <t>38940950950</t>
  </si>
  <si>
    <t>01-Apr-2024</t>
  </si>
  <si>
    <t>6869</t>
  </si>
  <si>
    <t>10-Dec-1985</t>
  </si>
  <si>
    <t>S/O - AZIR UDDIN LASKAR_x000D_
Name of NoK -  NOORRUZAMAN LASKAR (BROTHER)_x000D_
Village - GHAGRAPAR_x000D_
Post -  GHAGRAPAR_x000D_
PS-SALCHARRA_x000D_
Dist - CACHAR_x000D_
State - ASSAM_x000D_
Pin - 788801</t>
  </si>
  <si>
    <t>40077254674</t>
  </si>
  <si>
    <t>6988</t>
  </si>
  <si>
    <t>42892737057</t>
  </si>
  <si>
    <t>21-May-2024</t>
  </si>
  <si>
    <t>7408</t>
  </si>
  <si>
    <t>14-Feb-1990</t>
  </si>
  <si>
    <t>NOK-LALZARMAWII (WIFE)_x000D_
S/O-LALNUNSANGA_x000D_
VILL-N.VANLAIPHAI_x000D_
POST-N.VANLAIPHAI_x000D_
DISTRICT-SERCHHIP_x000D_
STATE-MIZORAM_x000D_
P.S-N.VANLAIPHAI_x000D_
PIN-796181</t>
  </si>
  <si>
    <t>97013995762</t>
  </si>
  <si>
    <t>329190</t>
  </si>
  <si>
    <t>22-Jul-2025</t>
  </si>
  <si>
    <t>7409</t>
  </si>
  <si>
    <t>03-Dec-1999</t>
  </si>
  <si>
    <t>NOK-LALCHHANDAMI (WIFE)_x000D_
S/O-PC.LALHRUAITLUANGA_x000D_
VILL-N.VANLAIPHAI_x000D_
POST-N.VANLAIPHAI_x000D_
DISTRICT-SERCHHIP_x000D_
STATE-MIZORAM_x000D_
P.S-N.VANLAIPHAI_x000D_
PIN-796181</t>
  </si>
  <si>
    <t>97009018894</t>
  </si>
  <si>
    <t>5019</t>
  </si>
  <si>
    <t>S/O ZAIREMTHANGA_x000D_
NoK -LALKHUMI (WIFE)_x000D_
Vill -N.VANLAIPHAI_x000D_
Post -N.VANLAIPHAI_x000D_
Dist-SERCHHIP_x000D_
PS-N.VANLAIPHAI_x000D_
STATE- MIZORAM_x000D_
PIN No-796184</t>
  </si>
  <si>
    <t>PMSBY, _x000D_
PMJJBY</t>
  </si>
  <si>
    <t>97005354046</t>
  </si>
  <si>
    <t>4646</t>
  </si>
  <si>
    <t>28-Dec-1978</t>
  </si>
  <si>
    <t>S/O CHHUNKIMA_x000D_
NoK -LALHRIATPUII (WIFE)_x000D_
Vill -CHERHLUN_x000D_
Post -CHERHLUN_x000D_
Dist-HNAHTHIAL_x000D_
PS-THINGSAI_x000D_
STATE- MIZORAM_x000D_
PIN No-796571</t>
  </si>
  <si>
    <t>35643438411</t>
  </si>
  <si>
    <t>6289</t>
  </si>
  <si>
    <t>14-Feb-1993</t>
  </si>
  <si>
    <t>S/O FJ DINGLUAIA_x000D_
NoK -FJ DINGLUAIA (FATHER)_x000D_
Vill -CHERHLUN_x000D_
Post -CHERHLUN_x000D_
Dist-HANHTHIAL_x000D_
PS-THINGSAI_x000D_
STATE- MIZORAM_x000D_
PIN No-796571</t>
  </si>
  <si>
    <t>newly _x000D_
recruited</t>
  </si>
  <si>
    <t>40066653503</t>
  </si>
  <si>
    <t>3973</t>
  </si>
  <si>
    <t>S/O TC LALDAWLA_x000D_
NoK - Lalchhanhimi (wife)_x000D_
Village - Thingsai_x000D_
Post -  Thingsai_x000D_
Dist -Hnathial_x000D_
PS- Thingsai_x000D_
STATE-  Mizoram_x000D_
PIN No- 796581</t>
  </si>
  <si>
    <t>97003604839</t>
  </si>
  <si>
    <t>4465</t>
  </si>
  <si>
    <t>18-Feb-1996</t>
  </si>
  <si>
    <t>S/O DAWNGLIANA_x000D_
NoK -PC. LALRINTLUANGI (WIFE)_x000D_
Vill -THINGSAI_x000D_
Post -THINGSAI_x000D_
Dist-HNAHTHIAL_x000D_
PS-THINGSAI_x000D_
STATE- MIZORAM_x000D_
PIN No-796581</t>
  </si>
  <si>
    <t>40069756367</t>
  </si>
  <si>
    <t>4473</t>
  </si>
  <si>
    <t>25-Sep-1992</t>
  </si>
  <si>
    <t>S/O R.LALVULLIANA_x000D_
NoK -LALAWMPUII (WIFE)_x000D_
Vill -THINGSAI_x000D_
Post -THINGSAI_x000D_
Dist-HNAHTHIAL_x000D_
PS-THINGSAI_x000D_
STATE- MIZORAM_x000D_
PIN No-796581</t>
  </si>
  <si>
    <t>40184749802</t>
  </si>
  <si>
    <t>3966</t>
  </si>
  <si>
    <t>S/O K LALROHLUA_x000D_
NoK -C LALREMRUATI (WIFE)_x000D_
Vill -THINGSAI_x000D_
Post -THINGSAI_x000D_
Dist-HNAHTHIAL_x000D_
PS-THINGSAI_x000D_
STATE- MIZORAM_x000D_
PIN No-796581</t>
  </si>
  <si>
    <t>37120387180</t>
  </si>
  <si>
    <t>6694</t>
  </si>
  <si>
    <t>09-Mar-1996</t>
  </si>
  <si>
    <t>S/O K.LALSANGLURA_x000D_
Nok - Cghwnsagi (Mother)_x000D_
Vill- Thingsi_x000D_
Post-Thingsai_x000D_
Dist -Hnahthial_x000D_
PS- Thingsai_x000D_
State- Mizoram_x000D_
Pin- 796581</t>
  </si>
  <si>
    <t>902506288583</t>
  </si>
  <si>
    <t>39996112339</t>
  </si>
  <si>
    <t>23-Mar-1979</t>
  </si>
  <si>
    <t>S/O VANKUNGA_x000D_
NoK -V.L HMANGAIHZUALI (WIFE)_x000D_
Vill -CHERHLUN_x000D_
Post -CHERHLUN_x000D_
Dist-HNAHTHIAL_x000D_
PS-THINGSAI_x000D_
STATE- MIZORAM_x000D_
PIN No-796571</t>
  </si>
  <si>
    <t>97007494752</t>
  </si>
  <si>
    <t>2920</t>
  </si>
  <si>
    <t>15-Jan-1993</t>
  </si>
  <si>
    <t>S/O TAPAAN_x000D_
NoK -S.LALRINDIKA (BROTHER)_x000D_
Vill -S VANLAIPHAI_x000D_
Post -S VANLAIPHAI_x000D_
Dist-HNAHTHIAL_x000D_
PS-S VANLAIPHAI_x000D_
STATE- MIZORAM_x000D_
PIN No-796571</t>
  </si>
  <si>
    <t>97003531664</t>
  </si>
  <si>
    <t>7869</t>
  </si>
  <si>
    <t>NOK-MANJU DEVI (WIFE)_x000D_
S/O-RAM MARAIYA_x000D_
VILL-RAMPUR_x000D_
POST-LAKHANPUR_x000D_
DISTRICT-DUMKA_x000D_
STATE-JHARKHAND_x000D_
P.S-RAMGARH_x000D_
PIN-817102</t>
  </si>
  <si>
    <t>41949199818</t>
  </si>
  <si>
    <t>22-Dec-2025</t>
  </si>
  <si>
    <t>8138</t>
  </si>
  <si>
    <t>S/o- BABUJI HEMBRAM _x000D_
NoK - MARANGMAI(WIFE)_x000D_
Vill - MOHANPUR_x000D_
Post - SIMLONG_x000D_
Dist- PAKUR_x000D_
PS- LITIPARA_x000D_
STATE- JHARKHAND_x000D_
PIN No- 816102</t>
  </si>
  <si>
    <t>97009969770</t>
  </si>
  <si>
    <t>8144</t>
  </si>
  <si>
    <t>09-Dec-1989</t>
  </si>
  <si>
    <t>NOK- ROMA DEVI  (WIFE)_x000D_
S/O- CHANDRIKA PRASAD SINGH_x000D_
VILL- MOHAN KUNDI_x000D_
POST- PACHAM_x000D_
DISTRICT- LAKHI SARAI_x000D_
STATE-BIHAR_x000D_
P.S-KIUL_x000D_
PIN-811311</t>
  </si>
  <si>
    <t>20464720249</t>
  </si>
  <si>
    <t>10-Mar-2026</t>
  </si>
  <si>
    <t>7152</t>
  </si>
  <si>
    <t>NoK - ZORAMTHANGA (FATHER)_x000D_
S/O - ZORAMTHANGA_x000D_
Village - N.VANLAIPHAI_x000D_
Post -  N.VANLAIPHAI_x000D_
PS - N.VANLAIPHAI_x000D_
District - SERCHHIP_x000D_
State - MIZORAM_x000D_
Pin - 796181</t>
  </si>
  <si>
    <t>97006855542</t>
  </si>
  <si>
    <t>28-Sep-2024</t>
  </si>
  <si>
    <t>7153</t>
  </si>
  <si>
    <t>NoK - LALMUANA (FATHER)_x000D_
S/O - LALMUANA_x000D_
Village - VENGTHLANG_x000D_
Post -  AIZAWL_x000D_
PS - AIZAWL_x000D_
District - AIZAWL_x000D_
State - MIZORAM_x000D_
Pin - 796001</t>
  </si>
  <si>
    <t>97011509991</t>
  </si>
  <si>
    <t>7155</t>
  </si>
  <si>
    <t>11-Jan-2004</t>
  </si>
  <si>
    <t>97006855440</t>
  </si>
  <si>
    <t>7156</t>
  </si>
  <si>
    <t>97008382650</t>
  </si>
  <si>
    <t>7157</t>
  </si>
  <si>
    <t>04-Jan-1997</t>
  </si>
  <si>
    <t>NoK - K.VANNEIA (FATHER)_x000D_
S/O - K.VANNERIA_x000D_
Village - N.VANLAIPHAI_x000D_
Post -  N.VANLAIPHAI_x000D_
PS - N.VANLAIPHAI_x000D_
District - SERCHHIP_x000D_
State - MIZORAM_x000D_
Pin - 796370</t>
  </si>
  <si>
    <t>97003434402</t>
  </si>
  <si>
    <t>2001</t>
  </si>
  <si>
    <t>02-May-1979</t>
  </si>
  <si>
    <t>S/O THURTHANGA_x000D_
NoK -LALHMINGLIANI (SISTER)_x000D_
Vill -BUALPUI_x000D_
Post -THINGSAI_x000D_
Dist-HNAHTHIAL_x000D_
PS-THINGSAI_x000D_
STATE- MIZORAM_x000D_
PIN No-796581</t>
  </si>
  <si>
    <t>781871292085</t>
  </si>
  <si>
    <t>97006041123</t>
  </si>
  <si>
    <t>341840</t>
  </si>
  <si>
    <t>12-Feb-2022</t>
  </si>
  <si>
    <t>6077</t>
  </si>
  <si>
    <t>03-May-1999</t>
  </si>
  <si>
    <t>S/O M C LALSANGBERA_x000D_
NoK -VANLALZAMI (MOTHER)_x000D_
Vill -BUALPUI H_x000D_
Post -THINGSAI_x000D_
Dist-LUNGLEI_x000D_
PS-THINGSAI_x000D_
STATE- MIZORAM_x000D_
PIN No-796581</t>
  </si>
  <si>
    <t>781870655015</t>
  </si>
  <si>
    <t>97011279864</t>
  </si>
  <si>
    <t>22</t>
  </si>
  <si>
    <t>2111</t>
  </si>
  <si>
    <t>15-May-1986</t>
  </si>
  <si>
    <t>D/O LALAWMLIANA_x000D_
NoK -HMANGAIHTLUANGA (SON)_x000D_
Vill -BUALPUI H_x000D_
Post -THINGSAI_x000D_
Dist-LUNGLEI_x000D_
PS-THINGSAI_x000D_
STATE- MIZORAM_x000D_
PIN No-796581</t>
  </si>
  <si>
    <t>38628735953</t>
  </si>
  <si>
    <t>3389</t>
  </si>
  <si>
    <t>20-Sep-1992</t>
  </si>
  <si>
    <t>S/O LALAWMLIANA_x000D_
NoK -SILLIAM ZOTHANSANGA (SON)_x000D_
Vill -BUALPUI H_x000D_
Post -THINGSAI_x000D_
Dist-LUNGLEI_x000D_
PS-THINGSAI_x000D_
STATE- MIZORAM_x000D_
PIN No-796581</t>
  </si>
  <si>
    <t>40617477996</t>
  </si>
  <si>
    <t>25-Jun-1996</t>
  </si>
  <si>
    <t>S/O LALAWMLIANA_x000D_
NoK - RAMNGAIHZUALA (BROTHER)_x000D_
Vill -BUALPUI H_x000D_
Post -THINGSAI_x000D_
Dist-LUNGLEI_x000D_
PS-THINGSAI_x000D_
STATE- MIZORAM_x000D_
PIN No-796581</t>
  </si>
  <si>
    <t>97006041203</t>
  </si>
  <si>
    <t>3390</t>
  </si>
  <si>
    <t>06-Jan-1974</t>
  </si>
  <si>
    <t>S/O CHEUHLEIA_x000D_
NoK - LALRINZUALI (DAUGHTER)_x000D_
Vill -BUALPUI H_x000D_
Post -THINGSAI_x000D_
Dist-LUNGLEI_x000D_
PS-THINGSAI_x000D_
STATE- MIZORAM_x000D_
PIN No-796581</t>
  </si>
  <si>
    <t>97012343070</t>
  </si>
  <si>
    <t>4276</t>
  </si>
  <si>
    <t>22-Jul-2000</t>
  </si>
  <si>
    <t>S/O VANTLUANGA_x000D_
NoK -VANTLUANGA (FATHER)_x000D_
Vill -BUALPUI H_x000D_
Post -THINGSAI_x000D_
Dist-LUNGLEI_x000D_
PS-THINGSAI_x000D_
STATE- MIZORAM_x000D_
PIN No-796581</t>
  </si>
  <si>
    <t>97011321513</t>
  </si>
  <si>
    <t>7448</t>
  </si>
  <si>
    <t>09-May-1998</t>
  </si>
  <si>
    <t>NOK-TIALKUNGA (FATHER)_x000D_
S/O-TIALKINGA_x000D_
VILL-BUALPUI H_x000D_
POST-THINGSAI_x000D_
DISTRICT-HNAHTHIAL_x000D_
STATE-MIZORAM_x000D_
P.S-THINGSAI_x000D_
PIN-796581</t>
  </si>
  <si>
    <t>44070503516</t>
  </si>
  <si>
    <t>04-Sep-2025</t>
  </si>
  <si>
    <t>7455</t>
  </si>
  <si>
    <t>08-Sep-1988</t>
  </si>
  <si>
    <t>NOK-RODY RAMDINTHARA (WIFE)_x000D_
S/O-LALDUHA_x000D_
VILL-BUALPUI H_x000D_
POST-THINGSAI_x000D_
DISTRICT-HNAHTHIAL_x000D_
STATE-MIZORAM_x000D_
P.S-THINGSAI_x000D_
PIN-796581</t>
  </si>
  <si>
    <t>43897837902</t>
  </si>
  <si>
    <t>7772</t>
  </si>
  <si>
    <t>23-Mar-1999</t>
  </si>
  <si>
    <t>NOK-LALTLUANGLIANA (FATHER)_x000D_
S/O-LALTLUANGLIANA_x000D_
VILL-BUALPUI 'H'_x000D_
POST-THINGSAI_x000D_
DISTRICT-HNAHTHIAL_x000D_
STATE-MIZORAM_x000D_
P.S-THINGSAI_x000D_
PIN-796581</t>
  </si>
  <si>
    <t>45069257147</t>
  </si>
  <si>
    <t>NOK- SUKUR MUNI KISKU (MOTHER)_x000D_
S/O- RAMESHWAR HEMBRAM_x000D_
VILL- BHAGA BAND_x000D_
PO- GODDA_x000D_
DIST- GODDA_x000D_
STATE- JHARKHAND_x000D_
PS- GODDA_x000D_
PIN- 814133</t>
  </si>
  <si>
    <t>34615624792</t>
  </si>
  <si>
    <t>8433</t>
  </si>
  <si>
    <t>NOK: SUNITA KUMARI (WIFE)_x000D_
S/O: BABUCHAND MARAIYA_x000D_
VILL: BAGHMARA_x000D_
P-O: BAGHMARA_x000D_
DIST: GODDA_x000D_
STATE: JHARKHAND_x000D_
P-S: DEODANR_x000D_
PIN: 814153</t>
  </si>
  <si>
    <t>38627077302</t>
  </si>
  <si>
    <t>8434</t>
  </si>
  <si>
    <t>NOK: KARTIK MARAIYA (SON)_x000D_
S/O: JITU MARAIYA_x000D_
VILL: JAMUA_x000D_
P-O: GODDA COLLEGE_x000D_
DIST: GODDA_x000D_
STATE: JHARKHAND_x000D_
P-S: GODDA_x000D_
PIN: 814133</t>
  </si>
  <si>
    <t>97017603761</t>
  </si>
  <si>
    <t>8435</t>
  </si>
  <si>
    <t>NOK: PUNAM DEVI (WIFE)_x000D_
S/O: ANANT MARAIYA_x000D_
VILL: BAGHMARA_x000D_
P-O: BAGHMARA_x000D_
DIST: GODDA_x000D_
STATE: JHARKHAND_x000D_
P-S: DEODANR_x000D_
PIN: 814153</t>
  </si>
  <si>
    <t>34967905497</t>
  </si>
  <si>
    <t>8506</t>
  </si>
  <si>
    <t>25-Oct-1998</t>
  </si>
  <si>
    <t>NOK - T.LALNGHAKA (FATHER, 59 YRS), D/O T.LALNGHAKA, _x000D_
VILL- BUALPUI 'H', _x000D_
PO- THINGSAI, _x000D_
DIST- HNAHTHIAL,_x000D_
 PS- THINGSAI, _x000D_
STATE- MIZORAM, _x000D_
PIN- 796581</t>
  </si>
  <si>
    <t>97008602655</t>
  </si>
  <si>
    <t>8507</t>
  </si>
  <si>
    <t>02-Jan-1986</t>
  </si>
  <si>
    <t>NOK - K GOALHMINGTHANGA (FATHER, 74 YRS), _x000D_
S/O K.GOALHMINGTHANGA, _x000D_
VILL- VENGTHAR, CHERHLUN, _x000D_
PO- CHERHLUN, _x000D_
DIST- HNAHTHIAL,_x000D_
PS- THINGSAI, _x000D_
STATE- MIZORAM, _x000D_
PIN- 796571</t>
  </si>
  <si>
    <t>97004090116</t>
  </si>
  <si>
    <t>8508</t>
  </si>
  <si>
    <t>19-Dec-1993</t>
  </si>
  <si>
    <t>NOK - ELSIE LALHLUNCHHUNGI (WIFE, 28 YRS), _x000D_
S/O MC HRANGTAWNA, _x000D_
32, SECTION N, VENGCHHAK,_x000D_
VILL- CHERHLUN, _x000D_
PO- CHERHLUN, _x000D_
DIST- HNAHTHIAL, _x000D_
PS- THINGSAI, _x000D_
STATE- MIZORAM, _x000D_
PIN- 796571</t>
  </si>
  <si>
    <t>97012130561</t>
  </si>
  <si>
    <t>8509</t>
  </si>
  <si>
    <t>23-Dec-1999</t>
  </si>
  <si>
    <t>NOK - THANGKUNGA (FATHER, 83 YRS), _x000D_
S/O THANGKUNGA, VENGLAI, _x000D_
VILL- CHERHLUN, _x000D_
PO- CHERHLUN, _x000D_
DIST- HNAHTHIAL, _x000D_
PS- THINGSAI, _x000D_
STATE- MIZORAM, _x000D_
PIN- 796571</t>
  </si>
  <si>
    <t>97004837874</t>
  </si>
  <si>
    <t>8510</t>
  </si>
  <si>
    <t>20-Oct-1998</t>
  </si>
  <si>
    <t>NOK - ROTLUANGPUII (MOTHER, 60 YRS), _x000D_
S/O BAWICHHUNGA, _x000D_
H/NO 299 V/C, LALVENG, CHERHLUN, _x000D_
PO- CHERHLUN, _x000D_
DIST- HNAHTHIAL, _x000D_
PS- THINGSAI, _x000D_
STATE- MIZORAM, _x000D_
PIN- 796571</t>
  </si>
  <si>
    <t>97012144983</t>
  </si>
  <si>
    <t>8511</t>
  </si>
  <si>
    <t>25-Mar-1997</t>
  </si>
  <si>
    <t>NOK - F.LALNUNGZIRI (MOTHER, 48 YRS), _x000D_
S/O B.LALDINGLIANA, LAL VENG, VILL- CHERHLUN, _x000D_
PO- CHERHLUN, _x000D_
DIST- HNAHTHIAL, _x000D_
PS- THINGSAI, _x000D_
STATE- MIZORAM, _x000D_
PIN- 796571</t>
  </si>
  <si>
    <t>97012156455</t>
  </si>
  <si>
    <t>8548</t>
  </si>
  <si>
    <t>RAHUL MARAIYA</t>
  </si>
  <si>
    <t>CHHOTU MARAIYA</t>
  </si>
  <si>
    <t>NOK - PUSHPA MURMU (MOTHER)
S/O CHHOTU MARAIYA
VILL- BAGHMARA
PO- BAGHMARA
DIST- GODDA
PS- DEVGARH 
STATE- JHARKHAND
PIN- 814153</t>
  </si>
  <si>
    <t>5067 4727 7215</t>
  </si>
  <si>
    <t>7851 5508 6138</t>
  </si>
  <si>
    <t>97017772140</t>
  </si>
  <si>
    <t>8549</t>
  </si>
  <si>
    <t>SHIKAR HANSDA</t>
  </si>
  <si>
    <t>HARI HANSDA</t>
  </si>
  <si>
    <t>NOK - FULMUNI (WIFE)
S/O HARI HANSDA, 
VILL- HATI BATHAN
PO- BARA GHAGRI
DIST- PAKUR
PS- LITIPARA, 
STATE- JHARKHAND
PIN- 816102</t>
  </si>
  <si>
    <t>5431 7677 9175</t>
  </si>
  <si>
    <t>7829 9178 8210</t>
  </si>
  <si>
    <t>97003737473</t>
  </si>
  <si>
    <t>13</t>
  </si>
  <si>
    <t>328350</t>
  </si>
  <si>
    <t>999380</t>
  </si>
  <si>
    <t>MR No. 74 RCC/14/ SEP 2026, JOB No. L-3307/07 PMT TBSPS ROAD</t>
  </si>
  <si>
    <t>8143</t>
  </si>
  <si>
    <t>01-Jan-2008</t>
  </si>
  <si>
    <t>NOK- SUKDEV RAY  (FATHER)_x000D_
S/O- SUKDEV RAY _x000D_
VILL- CHICHRO_x000D_
POST- SALDAHA_x000D_
DISTRICT-DUMKA_x000D_
STATE-JHARKHAND_x000D_
P.S-KATHIKUND_x000D_
PIN-814103</t>
  </si>
  <si>
    <t>97017359358</t>
  </si>
  <si>
    <t>8450</t>
  </si>
  <si>
    <t>01-May-2005</t>
  </si>
  <si>
    <t>97013119581</t>
  </si>
  <si>
    <t>8451</t>
  </si>
  <si>
    <t>NOK: PANO RAY (FATHER)_x000D_
S/O: PANO RAY_x000D_
VILL: PAKPAHADI / PAKPAHARI_x000D_
P-O: BILKANDI_x000D_
DIST: DUMKA_x000D_
STATE: JHARKHAND_x000D_
P-S: RANISHWAR_x000D_
PIN: 814144</t>
  </si>
  <si>
    <t>97017652969</t>
  </si>
  <si>
    <t>8452</t>
  </si>
  <si>
    <t>20-Oct-2008</t>
  </si>
  <si>
    <t>97017652629</t>
  </si>
  <si>
    <t>8453</t>
  </si>
  <si>
    <t>15-Apr-2006</t>
  </si>
  <si>
    <t>NOK: MOTI TUDU (FATHER)_x000D_
S/O: MOTI TUDU_x000D_
VILL: PAKPAHADI_x000D_
P-O: BILKANDI_x000D_
DIST: DUMKA_x000D_
STATE: JHARKHAND_x000D_
P-S: TONGRA_x000D_
PIN: 814144</t>
  </si>
  <si>
    <t>97017653327</t>
  </si>
  <si>
    <t>8454</t>
  </si>
  <si>
    <t>NOK: UTTAM RAY (FATHER)_x000D_
S/O: UTTAM RAY_x000D_
VILL: BANWARI_x000D_
P-O: RAGHUNATHPUR_x000D_
DIST: DUMKA_x000D_
STATE: JHARKHAND_x000D_
P-S: RAMISHWAR / RANISHWAR_x000D_
PIN: 814148</t>
  </si>
  <si>
    <t>97014961924</t>
  </si>
  <si>
    <t>8455</t>
  </si>
  <si>
    <t>NOK: MANIK RAY (FATHER)_x000D_
S/O: MANIK RAY_x000D_
VILL: PAKPAHARI_x000D_
P-O: BILKANDI_x000D_
DIST: DUMKA_x000D_
STATE: JHARKHAND_x000D_
P-S: RANISHWAR_x000D_
PIN: 814144</t>
  </si>
  <si>
    <t>97017653101</t>
  </si>
  <si>
    <t>8456</t>
  </si>
  <si>
    <t>97010848845</t>
  </si>
  <si>
    <t>8514</t>
  </si>
  <si>
    <t>03-Jan-1982</t>
  </si>
  <si>
    <t>01-Aug-2026</t>
  </si>
  <si>
    <t>8515</t>
  </si>
  <si>
    <t>10-Sep-1997</t>
  </si>
  <si>
    <t>NOK - LALNUNZIRI (MOTHER, 46 YRS), _x000D_
S/O LALTLUANGLIANA, VILL- 58, BUALPUI H, NEAR PRESBYTERIAN CHURCH, VENGCHHAK, _x000D_
PO- THINGSAI, _x000D_
DIST- HNAHTHIAL, _x000D_
PS- THINGSAI, _x000D_
STATE- MIZORAM, _x000D_
PIN- 796581</t>
  </si>
  <si>
    <t>97010706490</t>
  </si>
  <si>
    <t>12-Aug-2026</t>
  </si>
  <si>
    <t>8440</t>
  </si>
  <si>
    <t>34328121331</t>
  </si>
  <si>
    <t>18-Jul-2026</t>
  </si>
  <si>
    <t>8441</t>
  </si>
  <si>
    <t>NOK: LIL MUNI HEMBROM (WIFE)_x000D_
S/O: RAJA HANSDA_x000D_
VILL: BARAI_x000D_
P-O: GUHIYAJORI_x000D_
DIST: DUMKA_x000D_
STATE: JHARKHAND_x000D_
P-S: DUMKA MUFFSIL_x000D_
PIN: 814158</t>
  </si>
  <si>
    <t>97017645918</t>
  </si>
  <si>
    <t>8442</t>
  </si>
  <si>
    <t>NOK: KOMOLI TUDU (WIFE)_x000D_
S/O: LUKHIRAM SOREN_x000D_
VILL: BARAI_x000D_
P-O: GUHIYAJORI_x000D_
DIST: DUMKA_x000D_
STATE: JHARKHAND_x000D_
P-S: DUMKA MUFFSIL_x000D_
PIN: 814158</t>
  </si>
  <si>
    <t>97009488689</t>
  </si>
  <si>
    <t>8443</t>
  </si>
  <si>
    <t>08-Apr-1994</t>
  </si>
  <si>
    <t>NOK: BAHA KISKU (WIFE)_x000D_
S/O: GUPIN MURMU_x000D_
VILL: BARAI_x000D_
P-O: GUHIYAJORI_x000D_
DIST: DUMKA_x000D_
STATE: JHARKHAND_x000D_
P-S: DUMKA MUFFSIL_x000D_
PIN: 814158</t>
  </si>
  <si>
    <t>97014049316</t>
  </si>
  <si>
    <t>8444</t>
  </si>
  <si>
    <t>NOK: JAPNIA DEVI (WIFE)_x000D_
S/O: AKLU DEHRI_x000D_
VILL: GARDI-3_x000D_
P-O: THARIHAT_x000D_
DIST: DUMKA_x000D_
STATE: JHARKHAND_x000D_
P-S: RAMGARH_x000D_
PIN: 814158</t>
  </si>
  <si>
    <t>97017646069</t>
  </si>
  <si>
    <t>8445</t>
  </si>
  <si>
    <t>97017646070</t>
  </si>
  <si>
    <t>8446</t>
  </si>
  <si>
    <t>NOK: DAHAPHUL MURMU (WIFE)_x000D_
S/O: BADHKA KISKU_x000D_
VILL: GHARTI_x000D_
P-O: THARIHAT_x000D_
DIST: DUMKA_x000D_
STATE: JHARKHAND_x000D_
P-S: RAMGARH_x000D_
PIN: 814158</t>
  </si>
  <si>
    <t>97008653054</t>
  </si>
  <si>
    <t>8447</t>
  </si>
  <si>
    <t>NOK: SITARAM HEMBRO (FATHER)_x000D_
S/O: SITARAM HEMBRUM_x000D_
VILL: THENGAPAHARI_x000D_
P-O: THARIHAT_x000D_
DIST: DUMKA_x000D_
STATE: JHARKHAND_x000D_
P-S: RAMGARH_x000D_
PIN: 814110</t>
  </si>
  <si>
    <t>97017645894</t>
  </si>
  <si>
    <t>8448</t>
  </si>
  <si>
    <t>NOK: GOMASH TUDU (FATHER)_x000D_
S/O: GOMASH TUDU_x000D_
VILL: RANIDIH_x000D_
P-O: LAKHANPUR_x000D_
DIST: DUMKA_x000D_
STATE: JHARKHAND_x000D_
P-S: RAMGARH_x000D_
PIN: 814102</t>
  </si>
  <si>
    <t>97017645907</t>
  </si>
  <si>
    <t>8449</t>
  </si>
  <si>
    <t>NOK: SHIBU SOREN (MAMA)_x000D_
S/O: SONALAL HEMBROM_x000D_
VILL: THENGA PAHRI_x000D_
P-O: THARIHAT_x000D_
DIST: DUMKA_x000D_
STATE: JHARKHAND_x000D_
P-S: RAMGARH_x000D_
PIN: 814158</t>
  </si>
  <si>
    <t>97017646116</t>
  </si>
  <si>
    <t>351790</t>
  </si>
  <si>
    <t>6081</t>
  </si>
  <si>
    <t>18-Feb-1998</t>
  </si>
  <si>
    <t>40062378006</t>
  </si>
  <si>
    <t>4254</t>
  </si>
  <si>
    <t>18-Sep-1987</t>
  </si>
  <si>
    <t>S/O SIAMKUNGA_x000D_
NoK -CHAWNGLIANKIMI (WIFE)_x000D_
Vill -BUALPUI H_x000D_
Post -THINGSAI_x000D_
Dist-LUNGLEI_x000D_
PS-THINGSAI_x000D_
STATE- MIZORAM_x000D_
PIN No-796581</t>
  </si>
  <si>
    <t>97009916706</t>
  </si>
  <si>
    <t>7447</t>
  </si>
  <si>
    <t>21-Mar-1978</t>
  </si>
  <si>
    <t>35226289643</t>
  </si>
  <si>
    <t>4175</t>
  </si>
  <si>
    <t>11-Sep-2000</t>
  </si>
  <si>
    <t>S/O BIAKNAWLA_x000D_
NoK -LALRINTLUANGA (BROTHER)_x000D_
Vill -BUALPUI H_x000D_
Post -THINGSAI_x000D_
Dist-LUNGLEI_x000D_
PS-THINGSAI_x000D_
STATE- MIZORAM_x000D_
PIN No-796581</t>
  </si>
  <si>
    <t>781880701144</t>
  </si>
  <si>
    <t>97011262250</t>
  </si>
  <si>
    <t>4191</t>
  </si>
  <si>
    <t>09-Nov-2000</t>
  </si>
  <si>
    <t>S/O THAWNGZALIANA_x000D_
NoK -THAWNGZALIANA (FATHER)_x000D_
Vill -BUALPUI H_x000D_
Post -THINGSAI_x000D_
Dist-LUNGLEI_x000D_
PS-THINGSAI_x000D_
STATE- MIZORAM_x000D_
PIN No-796581</t>
  </si>
  <si>
    <t>781871208242</t>
  </si>
  <si>
    <t>REMEDICAL_x000D_
A/C No changed wef OCT 2024</t>
  </si>
  <si>
    <t>97009652356</t>
  </si>
  <si>
    <t>4193</t>
  </si>
  <si>
    <t>09-Jun-1998</t>
  </si>
  <si>
    <t>S/O SIANGLINGA_x000D_
NoK -LALTHLAMUANI (WIFE)_x000D_
Vill -BUALPUI H_x000D_
Post -THINGSAI_x000D_
Dist-LUNGLEI_x000D_
PS-THINGSAI_x000D_
STATE- MIZORAM_x000D_
PIN No-796581</t>
  </si>
  <si>
    <t>REMEDICAL_x000D_
A/C changed wef 21 feb 2025_x000D_
A/C CHANGED JULY 2026</t>
  </si>
  <si>
    <t>45237320143</t>
  </si>
  <si>
    <t>4167</t>
  </si>
  <si>
    <t>19-Mar-1979</t>
  </si>
  <si>
    <t>S/O K.LALTHLAMUANA_x000D_
NoK -LALHMANGAIHSANGI (WIFE)_x000D_
Vill -BUALPUI_x000D_
Post -THINGSAI_x000D_
Dist-HNAHTHIAL_x000D_
PS-THINGSAI_x000D_
STATE- MIZORAM_x000D_
PIN No-796581</t>
  </si>
  <si>
    <t>781876253825</t>
  </si>
  <si>
    <t>REMEDICAL_x000D_
A/C No changed wef sep 2024</t>
  </si>
  <si>
    <t>41844637658</t>
  </si>
  <si>
    <t>4195</t>
  </si>
  <si>
    <t>17-Jul-1994</t>
  </si>
  <si>
    <t>S/O NOLINGA_x000D_
NoK -LALHMANGAIHCHHUNGI (WIFE)_x000D_
Vill -BUALPUI H_x000D_
Post -THINGSAI_x000D_
Dist-LUNGLEI_x000D_
PS-THINGSAI_x000D_
STATE- MIZORAM_x000D_
PIN No-796581</t>
  </si>
  <si>
    <t>781880679066</t>
  </si>
  <si>
    <t>97002446055</t>
  </si>
  <si>
    <t>4251</t>
  </si>
  <si>
    <t>18-Jan-1984</t>
  </si>
  <si>
    <t>S/O K.HMUNLALA_x000D_
NoK -LALZARZOVI (WIFE)_x000D_
Vill -BUALPUI H_x000D_
Post -THINGSAI_x000D_
Dist-LUNGLEI_x000D_
PS-THINGSAI_x000D_
STATE- MIZORAM_x000D_
PIN No-796581</t>
  </si>
  <si>
    <t>97010352927</t>
  </si>
  <si>
    <t>4261</t>
  </si>
  <si>
    <t>27-Jun-1977</t>
  </si>
  <si>
    <t>S/O PABUANGA_x000D_
NoK -SUNGKILI (MOTHER)_x000D_
Vill -BUALPUI H_x000D_
Post -THINGSAI_x000D_
Dist-LUNGLEI_x000D_
PS-THINGSAI_x000D_
STATE- MIZORAM_x000D_
PIN No-796581</t>
  </si>
  <si>
    <t>781876041375</t>
  </si>
  <si>
    <t>35637904866</t>
  </si>
  <si>
    <t>4264</t>
  </si>
  <si>
    <t>20-Jul-1983</t>
  </si>
  <si>
    <t>781876735884</t>
  </si>
  <si>
    <t>REMEDICALA/C No changed wef OCT 2024, A/C changed mar 2026</t>
  </si>
  <si>
    <t>20193872674</t>
  </si>
  <si>
    <t>4265</t>
  </si>
  <si>
    <t>05-Oct-1979</t>
  </si>
  <si>
    <t>S/O THANUKA_x000D_
NoK -LALSAWMLINAI (WIFE)_x000D_
Vill -BUALPUI H_x000D_
Post -THINGSAI_x000D_
Dist-LUNGLEI_x000D_
PS-THINGSAI_x000D_
STATE- MIZORAM_x000D_
PIN No-796581</t>
  </si>
  <si>
    <t>781880607450</t>
  </si>
  <si>
    <t>97001478522</t>
  </si>
  <si>
    <t>4281</t>
  </si>
  <si>
    <t>14-Apr-1987</t>
  </si>
  <si>
    <t>S/O KIAUBILA_x000D_
NoK -LALRAMFAWNI (WIFE)_x000D_
Vill -BUALPUI H_x000D_
Post -THINGSAI_x000D_
Dist-LUNGLEI_x000D_
PS-THINGSAI_x000D_
STATE- MIZORAM_x000D_
PIN No-796581</t>
  </si>
  <si>
    <t>97010451826</t>
  </si>
  <si>
    <t>7129</t>
  </si>
  <si>
    <t>01-Aug-2001</t>
  </si>
  <si>
    <t>NOK -  JIMMY RASANGLIANA (SON)_x000D_
S/O - LALBIAKSANGA_x000D_
VILLAGE - BUALPUI 'H'_x000D_
PO -  BUALPUIA 'H'_x000D_
PS- THINGSAI_x000D_
DISTRICT - LUNGLEI_x000D_
STATE - MIZORAM_x000D_
PIN - 796571</t>
  </si>
  <si>
    <t>97013510086</t>
  </si>
  <si>
    <t>22-Aug-2024</t>
  </si>
  <si>
    <t>7130</t>
  </si>
  <si>
    <t>NOK - VANINMAWIA (BROTHER)_x000D_
S/O - KHENZAMUNGA_x000D_
VILLAGE - BUALPUI 'H'_x000D_
PO -  BUALPUIA 'H'_x000D_
PS- THINGSAI_x000D_
DISTRICT - LUNGLEI_x000D_
STATE - MIZORAM_x000D_
PIN - 796571</t>
  </si>
  <si>
    <t>97011386491</t>
  </si>
  <si>
    <t>7444</t>
  </si>
  <si>
    <t>10-Jun-2005</t>
  </si>
  <si>
    <t>NOK-LALLIANPUII (WIFE)_x000D_
S/O-F.LALLIANNGURA_x000D_
VILL-BUALPUI H_x000D_
POST-THINGSAI_x000D_
DISTRICT-HNAHTHIAL_x000D_
STATE-MIZORAM_x000D_
P.S-THINGSAI_x000D_
PIN-796581</t>
  </si>
  <si>
    <t>97016886830</t>
  </si>
  <si>
    <t>7465</t>
  </si>
  <si>
    <t>13-May-1996</t>
  </si>
  <si>
    <t>NOK-LALCHHANCHHUAHI (WIFE)_x000D_
S/O-VANTLUANGA_x000D_
VILL-BUALPUI H_x000D_
POST-THINGSAI_x000D_
DISTRICT-HNAHTHIAL_x000D_
STATE-MIZORAM_x000D_
P.S-THINGSAI_x000D_
PIN-796581</t>
  </si>
  <si>
    <t>97011426185</t>
  </si>
  <si>
    <t>8326</t>
  </si>
  <si>
    <t>01-Jun-1999</t>
  </si>
  <si>
    <t>NOK: TUANCHUNGNUNGA (FATHER)_x000D_
S/O: TUANCHUNGNUNGA_x000D_
VILL: PANGKHUA_x000D_
P-O: SANGAU_x000D_
DIST: LAWNGTLAI_x000D_
STATE: MIZORAM_x000D_
P-S: SANGAU_x000D_
PIN: 796810</t>
  </si>
  <si>
    <t>97004816729</t>
  </si>
  <si>
    <t>8512</t>
  </si>
  <si>
    <t>09-May-1995</t>
  </si>
  <si>
    <t>NOK - MALSAWMTLUANGI (WIFE, 37 YRS), _x000D_
C/O DAWTHMUNGA, _x000D_
VILL- BUALPUI H, TAITESENA SECTION, _x000D_
PO- BUALPUI H, _x000D_
DIST- HNATHIAL, _x000D_
PS- THINGSAI, _x000D_
STATE- MIZORAM, _x000D_
PIN- 796581</t>
  </si>
  <si>
    <t>97012431626</t>
  </si>
  <si>
    <t>4171</t>
  </si>
  <si>
    <t>01-May-1994</t>
  </si>
  <si>
    <t>S/O ZOLAWMA_x000D_
NoK -LALMUANAWMI (WIFE)_x000D_
Vill -BUALPUI H_x000D_
Post -THINGSAI_x000D_
Dist-HNAHTHIAL_x000D_
PS-THINGSAI_x000D_
STATE- MIZORAM_x000D_
PIN No-796581</t>
  </si>
  <si>
    <t>781880667793</t>
  </si>
  <si>
    <t>38774314663</t>
  </si>
  <si>
    <t>317710</t>
  </si>
  <si>
    <t>669500</t>
  </si>
  <si>
    <t>MR No. 74 RCC/15/ SEP 2026, JOB No. L-3307/07 SURF TBSPS ROAD</t>
  </si>
  <si>
    <t>7445</t>
  </si>
  <si>
    <t>03-Jan-2000</t>
  </si>
  <si>
    <t>NOK-LALZUIMAWII (WIFE)_x000D_
S/O-ZOLAWMA_x000D_
VILL-BUALPUI H_x000D_
POST-THINGSAI_x000D_
DISTRICT-HNAHTHIAL_x000D_
STATE-MIZORAM_x000D_
P.S-THINGSAI_x000D_
PIN-796581</t>
  </si>
  <si>
    <t>97016881548</t>
  </si>
  <si>
    <t>7446</t>
  </si>
  <si>
    <t>10-Sep-1995</t>
  </si>
  <si>
    <t>NOK-MALSAWMSAKI (WIFE)_x000D_
S/O-LALRINAWMA (L)_x000D_
VILL-BUALPUI H_x000D_
POST-THINGSAI_x000D_
DISTRICT-HNAHTHIAL_x000D_
STATE-MIZORAM_x000D_
P.S-THINGSAI_x000D_
PIN-796581</t>
  </si>
  <si>
    <t>38568119157</t>
  </si>
  <si>
    <t>7449</t>
  </si>
  <si>
    <t>26-Jun-1992</t>
  </si>
  <si>
    <t>NOK-RAMNGHAHMAWII (WIFE)_x000D_
S/O-CHEULINGA_x000D_
VILL-BUALPUI H_x000D_
POST-THINGSAI_x000D_
DISTRICT-HNAHTHIAL_x000D_
STATE-MIZORAM_x000D_
P.S-THINGSAI_x000D_
PIN-796581</t>
  </si>
  <si>
    <t>44430105462</t>
  </si>
  <si>
    <t>7453</t>
  </si>
  <si>
    <t>02-Dec-1992</t>
  </si>
  <si>
    <t>NOK-LALRINPUII (WIFE)_x000D_
S/O-THAWNGZALIANA_x000D_
VILL-BUALPUI H_x000D_
POST-THINGSAI_x000D_
DISTRICT-HNAHTHIAL_x000D_
STATE-MIZORAM_x000D_
P.S-THINGSAI_x000D_
PIN-796581</t>
  </si>
  <si>
    <t>37133995717</t>
  </si>
  <si>
    <t>7456</t>
  </si>
  <si>
    <t>14-Oct-2004</t>
  </si>
  <si>
    <t>NOK-VANLALKULHPUII (SISTER)_x000D_
S/O-H LALFAKLIANA_x000D_
VILL-BUALPUI H_x000D_
POST-THINGSAI_x000D_
DISTRICT-HNAHTHIAL_x000D_
STATE-MIZORAM_x000D_
P.S-THINGSAI_x000D_
PIN-796581</t>
  </si>
  <si>
    <t>97016886126</t>
  </si>
  <si>
    <t>7457</t>
  </si>
  <si>
    <t>13-Aug-1997</t>
  </si>
  <si>
    <t>NOK-VANLALKIMI (WIFE)_x000D_
S/O-LALNUNZAMA_x000D_
VILL-BUALPUI H_x000D_
POST-THINGSAI_x000D_
DISTRICT-HNAHTHIAL_x000D_
STATE-MIZORAM_x000D_
P.S-THINGSAI_x000D_
PIN-796581</t>
  </si>
  <si>
    <t>97007413397</t>
  </si>
  <si>
    <t>7458</t>
  </si>
  <si>
    <t>17-Mar-1998</t>
  </si>
  <si>
    <t>NOK-PARLENSUNGI (WIFE)_x000D_
S/O-VANRONGHAKA_x000D_
VILL-BUALPUI H_x000D_
POST-THINGSAI_x000D_
DISTRICT-HNAHTHIAL_x000D_
STATE-MIZORAM_x000D_
P.S-THINGSAI_x000D_
PIN-796581</t>
  </si>
  <si>
    <t>97012075575</t>
  </si>
  <si>
    <t>7459</t>
  </si>
  <si>
    <t>22-Jun-1987</t>
  </si>
  <si>
    <t>NOK-ZOTHANGZUALI (WIFE)_x000D_
S/O-MANGUKA_x000D_
VILL-BUALPUI H_x000D_
POST-THINGSAI_x000D_
DISTRICT-HNAHTHIAL_x000D_
STATE-MIZORAM_x000D_
P.S-THINGSAI_x000D_
PIN-796581</t>
  </si>
  <si>
    <t>97001478758</t>
  </si>
  <si>
    <t>7460</t>
  </si>
  <si>
    <t>NOK-VANLALNGAIHSAKI (SISTER)_x000D_
S/O-LALDUNA_x000D_
VILL-BUALPUI H_x000D_
POST-THINGSAI_x000D_
DISTRICT-HNAHTHIAL_x000D_
STATE-MIZORAM_x000D_
P.S-THINGSAI_x000D_
PIN-796581</t>
  </si>
  <si>
    <t>97012502666</t>
  </si>
  <si>
    <t>7461</t>
  </si>
  <si>
    <t>04-Jan-1992</t>
  </si>
  <si>
    <t>NOK-LALTHANGLIANI (WIFE)_x000D_
S/O-HMUNLIANA_x000D_
VILL-BUALPUI H_x000D_
POST-THINGSAI_x000D_
DISTRICT-HNAHTHIAL_x000D_
STATE-MIZORAM_x000D_
P.S-THINGSAI_x000D_
PIN-796581</t>
  </si>
  <si>
    <t>97011409646</t>
  </si>
  <si>
    <t>7462</t>
  </si>
  <si>
    <t>15-Mar-1983</t>
  </si>
  <si>
    <t>NOK-TIALIANGI (MOTHER)_x000D_
S/O-LALZAUA_x000D_
VILL-BUALPUI H_x000D_
POST-THINGSAI_x000D_
DISTRICT-HNAHTHIAL_x000D_
STATE-MIZORAM_x000D_
P.S-THINGSAI_x000D_
PIN-796581</t>
  </si>
  <si>
    <t>97013655760</t>
  </si>
  <si>
    <t>7463</t>
  </si>
  <si>
    <t>23-Feb-1997</t>
  </si>
  <si>
    <t>NOK-C MALSAWMTLUANGI (WIFE)_x000D_
S/O-NOLINGA_x000D_
VILL-BUALPUI H_x000D_
POST-THINGSAI_x000D_
DISTRICT-HNAHTHIAL_x000D_
STATE-MIZORAM_x000D_
P.S-THINGSAI_x000D_
PIN-796581</t>
  </si>
  <si>
    <t>44429651438</t>
  </si>
  <si>
    <t>7464</t>
  </si>
  <si>
    <t>10-Jul-2006</t>
  </si>
  <si>
    <t>NOK-ZAMLOVA (FATHER)_x000D_
S/O-ZAMLOVA_x000D_
VILL-BUALPUI H_x000D_
POST-THINGSAI_x000D_
DISTRICT-HNAHTHIAL_x000D_
STATE-MIZORAM_x000D_
P.S-THINGSAI_x000D_
PIN-796581</t>
  </si>
  <si>
    <t>43483005340</t>
  </si>
  <si>
    <t>8436</t>
  </si>
  <si>
    <t>08-Jun-1999</t>
  </si>
  <si>
    <t>NOK: ROSANGZUALI (DAUGHTER)_x000D_
S/O: K. LALSAWMZUALA_x000D_
VILL: BUALPUI 'H'_x000D_
P-O: HNAHTHIAL_x000D_
DIST: HNAHTHIAL_x000D_
STATE: MIZORAM_x000D_
P-S: THINGSAI_x000D_
PIN: 796571</t>
  </si>
  <si>
    <t>44369624944</t>
  </si>
  <si>
    <t>8437</t>
  </si>
  <si>
    <t>23-Mar-2001</t>
  </si>
  <si>
    <t>NOK: RINSANGPUIA (SON)_x000D_
S/O: LALNGHAKMAWIA_x000D_
VILL: BUALPUI 'H'_x000D_
P-O: HNAHTHIAL_x000D_
DIST: HNAHTHIAL_x000D_
STATE: MIZORAM_x000D_
P-S: THINGSAI_x000D_
PIN: 796571</t>
  </si>
  <si>
    <t>97008514292</t>
  </si>
  <si>
    <t>8438</t>
  </si>
  <si>
    <t>NOK: DULAR SOREN (WIFE)_x000D_
S/O: MAHILAL TUDU_x000D_
VILL: GULAMSULI_x000D_
P-O: PRATAPPUR_x000D_
DIST: DUMKA_x000D_
STATE: JHARKHAND_x000D_
P-S: RANISHWAR_x000D_
PIN: 814148</t>
  </si>
  <si>
    <t>97008627998</t>
  </si>
  <si>
    <t>8439</t>
  </si>
  <si>
    <t>11-Jan-1979</t>
  </si>
  <si>
    <t>NOK: TRISHA CHETRI (DAUGHTER)_x000D_
S/O: DURGA BAHADUR CHETRI_x000D_
VILL: NAGICHARA_x000D_
P-O: NAGICHARA_x000D_
DIST: WEST TRIPURA_x000D_
STATE: TRIPURA_x000D_
P-S: SHRINAGAR_x000D_
PIN: 799004</t>
  </si>
  <si>
    <t>33447960468</t>
  </si>
  <si>
    <t>24-Apr-1993</t>
  </si>
  <si>
    <t>781876696326</t>
  </si>
  <si>
    <t>REMEDICALA/C No changed wef feb 2025</t>
  </si>
  <si>
    <t>43806392209</t>
  </si>
  <si>
    <t>7466</t>
  </si>
  <si>
    <t>27-Jun-1999</t>
  </si>
  <si>
    <t>NOK-LALCHHANDAMI (WIFE)_x000D_
S/O-C.LALHNEHKIMA_x000D_
VILL-BUALPUI H_x000D_
POST-THINGSAI_x000D_
DISTRICT-HNAHTHIAL_x000D_
STATE-MIZORAM_x000D_
P.S-THINGSAI_x000D_
PIN-796581</t>
  </si>
  <si>
    <t>44017781793</t>
  </si>
  <si>
    <t>7467</t>
  </si>
  <si>
    <t>30-May-1988</t>
  </si>
  <si>
    <t>NOK-LALLAWMTHANGI (WIFE)_x000D_
S/O-LUNGHNEMI_x000D_
VILL-BUALPUI H_x000D_
POST-THINGSAI_x000D_
DISTRICT-HNAHTHIAL_x000D_
STATE-MIZORAM_x000D_
P.S-THINGSAI_x000D_
PIN-796581</t>
  </si>
  <si>
    <t>35640568872</t>
  </si>
  <si>
    <t>313500</t>
  </si>
  <si>
    <t>7468</t>
  </si>
  <si>
    <t>03-Oct-2005</t>
  </si>
  <si>
    <t>NOK-LALFELKIMA (BROTHER)_x000D_
S/O-VANLALA_x000D_
VILL-BUALPUI H_x000D_
POST-THINGSAI_x000D_
DISTRICT-HNAHTHIAL_x000D_
STATE-MIZORAM_x000D_
P.S-THINGSAI_x000D_
PIN-796581</t>
  </si>
  <si>
    <t>97016917633</t>
  </si>
  <si>
    <t>7514</t>
  </si>
  <si>
    <t>04-May-1988</t>
  </si>
  <si>
    <t>NOK-LALHNEHPUII (WIFE)_x000D_
S/O-NOLINGA_x000D_
VILL-BUALPUI H_x000D_
POST-THINGSAI_x000D_
DISTRICT-HNAHTHIAL_x000D_
STATE-MIZORAM_x000D_
P.S-THINGSAI_x000D_
PIN-796581</t>
  </si>
  <si>
    <t>36906928900</t>
  </si>
  <si>
    <t>08-Sep-2025</t>
  </si>
  <si>
    <t>8139</t>
  </si>
  <si>
    <t>26-Sep-1999</t>
  </si>
  <si>
    <t>S/o- MALSAWMA_x000D_
NoK - MALSAWMA (FATHER)_x000D_
Vill - PANGKHUA_x000D_
Post - SANGAU_x000D_
Dist- LAWNGTLAI_x000D_
PS- SAMGAI_x000D_
STATE- MIZORAM_x000D_
PIN No- 796901</t>
  </si>
  <si>
    <t>97004816774</t>
  </si>
  <si>
    <t>03-Mar-2026</t>
  </si>
  <si>
    <t>8140</t>
  </si>
  <si>
    <t>13-Mar-1990</t>
  </si>
  <si>
    <t>S/o- F. ROKIMA_x000D_
NoK - ZAIHLUAICHHINI (WIFE)_x000D_
Vill - PANGKHUA_x000D_
Post - SANGAU_x000D_
Dist- LAWNGTLAI_x000D_
PS- SANGAU_x000D_
STATE- MIZORAM_x000D_
PIN No- 796901</t>
  </si>
  <si>
    <t>97004526891</t>
  </si>
  <si>
    <t>6821</t>
  </si>
  <si>
    <t>01-Jan-1976</t>
  </si>
  <si>
    <t>S/O K THANGVUNGA_x000D_
NoK -LAHLUNCHHUNGI_x000D_
Vill -SANGAU_x000D_
Post -SANGAU_x000D_
Dist-LAWNGTLAI_x000D_
PS-SANGAU_x000D_
STATE- MIZORAM_x000D_
PIN No-796810</t>
  </si>
  <si>
    <t>25032011501</t>
  </si>
  <si>
    <t>11-Mar-2022</t>
  </si>
  <si>
    <t>8205</t>
  </si>
  <si>
    <t>13-Aug-1991</t>
  </si>
  <si>
    <t>NOK: GORDON F. NGUNLALA (HUSBAND)_x000D_
W/O : GORDON F. NGUNLALA_x000D_
VILL : PANGKHUA_x000D_
POST : SANGAU_x000D_
DISTT: LAWNGTLAI_x000D_
STATE: MIZORAM_x000D_
PIN : 796810_x000D_
PS : SANGAU</t>
  </si>
  <si>
    <t>97009515422</t>
  </si>
  <si>
    <t>01-Apr-2026</t>
  </si>
  <si>
    <t>8256</t>
  </si>
  <si>
    <t>17-Nov-1995</t>
  </si>
  <si>
    <t>NOK- T. LALNGHAKA (FATHER)_x000D_
S/O- T. LALNGHAKA_x000D_
VILL- BUALPUI 'H'_x000D_
PO- THINGSAI_x000D_
DIST- HNAHTHIAL_x000D_
STATE- MIZORAM_x000D_
PS- THINGSAI_x000D_
PIN- 796581</t>
  </si>
  <si>
    <t>97010390962</t>
  </si>
  <si>
    <t>8206</t>
  </si>
  <si>
    <t>15-Sep-1990</t>
  </si>
  <si>
    <t>NOK: VANMALSAMKIMI (WIFE)_x000D_
D/O : F. ROKIMA_x000D_
VILL : PANGKHUA_x000D_
POST : SANGAU_x000D_
DISTT: LAWNGTLAI_x000D_
STATE: MIZORAM_x000D_
PIN : 796810_x000D_
PS : SANGAU</t>
  </si>
  <si>
    <t>25032009783</t>
  </si>
  <si>
    <t>4173</t>
  </si>
  <si>
    <t>11-Aug-1983</t>
  </si>
  <si>
    <t>S/O NIHUPA_x000D_
NoK -LALDINSNGA (BROTHER)_x000D_
Vill -BUALPUI H_x000D_
Post -THINGSAI_x000D_
Dist-HNAHTHIAL_x000D_
PS-THINGSAI_x000D_
STATE- MIZORAM_x000D_
PIN No-796581</t>
  </si>
  <si>
    <t>97010480187</t>
  </si>
  <si>
    <t>4163</t>
  </si>
  <si>
    <t>04-Dec-1986</t>
  </si>
  <si>
    <t>S/O LALENGLIANA_x000D_
NoK -VANLALREMI (WIFE)_x000D_
Vill -BUALPUI_x000D_
Post -THINGSAI_x000D_
Dist-HNAHTHIAL_x000D_
PS-THINGSAI_x000D_
STATE- MIZORAM_x000D_
PIN No-796581</t>
  </si>
  <si>
    <t>35642840203</t>
  </si>
  <si>
    <t>155100</t>
  </si>
  <si>
    <t>468600</t>
  </si>
  <si>
    <t>MR No. 74 RCC/16/ SEP 2026, JOB No. L-3307/10 FMN TBSPS ROAD</t>
  </si>
  <si>
    <t>4728</t>
  </si>
  <si>
    <t>03-Apr-1996</t>
  </si>
  <si>
    <t>S/O LALHMUNSANGA REANG_x000D_
NoK -JEREMIA REANG (BROTHER)_x000D_
Vill -SABUAL_x000D_
Post -VANGHMUN_x000D_
Dist-NORTH TRIPURA_x000D_
PS-VANGHMUN_x000D_
STATE- TRIPURA_x000D_
PIN No-799269</t>
  </si>
  <si>
    <t>97013320798</t>
  </si>
  <si>
    <t>7532</t>
  </si>
  <si>
    <t>NOK-SONOKA RAY (WIFE)_x000D_
S/O-ANAND RAY_x000D_
VILLAGE - BANWARI_x000D_
P.O-PRATAPPUR_x000D_
P.S-RANISHWAR_x000D_
DISTRICT-DUMKA_x000D_
STATE-JHARKHAND_x000D_
Pin - 814148</t>
  </si>
  <si>
    <t>36340110088</t>
  </si>
  <si>
    <t>7533</t>
  </si>
  <si>
    <t>97010851766</t>
  </si>
  <si>
    <t>21-08-2026</t>
  </si>
  <si>
    <t>7535</t>
  </si>
  <si>
    <t>NOK-RAJESHRI KUMARI (WIFE)_x000D_
S/O-GOBIND TUDU_x000D_
VILLAGE - JAYPAHADI_x000D_
P.O-SADIPUR_x000D_
P.S-RANSWAR_x000D_
DISTRICT-DUMKA_x000D_
STATE-JHARKHAND_x000D_
Pin - 814144</t>
  </si>
  <si>
    <t>97010848618</t>
  </si>
  <si>
    <t>7537</t>
  </si>
  <si>
    <t>NOK-CHARAKAHA RAY (FATHER)_x000D_
S/O-CHARAKHA RAY_x000D_
VILLAGE - JHIRKA_x000D_
P.O-SALDAHA_x000D_
P.S-KATHIKUND_x000D_
DISTRICT-DUMKA_x000D_
STATE-JHARKHAND_x000D_
Pin - 814103</t>
  </si>
  <si>
    <t>97013522194</t>
  </si>
  <si>
    <t>7538</t>
  </si>
  <si>
    <t>NOK-RAJKUMAR RAY (SON)_x000D_
S/O-LATE SANICHAR RAY_x000D_
VILLAGE - JIKRA_x000D_
P.O-SALDAHA_x000D_
P.S-KATHIKUND_x000D_
DISTRICT-DUMKA_x000D_
STATE-JHARKHAND_x000D_
Pin - 814103</t>
  </si>
  <si>
    <t>97013522252</t>
  </si>
  <si>
    <t>7545</t>
  </si>
  <si>
    <t>NOK-MUNKI DEVI (WIFE)_x000D_
S/O- SAMAR RAY_x000D_
VILLAGE - JHIRKA_x000D_
P.O-SALDAHA_x000D_
P.S-KATHIKUND_x000D_
DISTRICT-DUMKA_x000D_
STATE-JHARKHAND_x000D_
Pin - 814103</t>
  </si>
  <si>
    <t>97010848266</t>
  </si>
  <si>
    <t>7550</t>
  </si>
  <si>
    <t>NOK-BINDU SWARI DEVI (WIFE)_x000D_
S/O-LT DHANPATI RAY_x000D_
VILLAGE - AHARICHWAN_x000D_
P.O-KARUDIH_x000D_
P.S-GOPIKANDAR_x000D_
DISTRICT-DUMKA_x000D_
STATE-JHARKHAND_x000D_
Pin - 816117</t>
  </si>
  <si>
    <t>97016890529</t>
  </si>
  <si>
    <t>5517</t>
  </si>
  <si>
    <t>S/O KHIFA HEMBRAM_x000D_
NoK -BISNU HEMBROM_x000D_
Vill -LOTAVANI_x000D_
Post -SUKJUDA_x000D_
Dist-DUMKA_x000D_
PS-RANISHWAR_x000D_
STATE- JAHRKHAND_x000D_
PIN No-814148</t>
  </si>
  <si>
    <t>97013226344</t>
  </si>
  <si>
    <t>10-Apr-1988</t>
  </si>
  <si>
    <t>S/O DBR CHETRI_x000D_
NoK -SANKARBAHADUR CHETRI (BROTHER)_x000D_
Vill - NAGI CHARRA_x000D_
Post -NAGI CHARRA_x000D_
Dist-WEST TRIPURA_x000D_
PS-SRI NAGAR_x000D_
STATE- TRIPURA_x000D_
PIN No-799004</t>
  </si>
  <si>
    <t>20110150554</t>
  </si>
  <si>
    <t>31-Oct-1986</t>
  </si>
  <si>
    <t>S/O GOPAL DEB_x000D_
NoK -MOUSAMI DEB (WIFE)_x000D_
Vill -ITKHOLA GHAT_x000D_
Post -SILCHAR_x000D_
Dist-CACHAR_x000D_
PS-SILCHAR_x000D_
STATE- ASSAM_x000D_
PIN No-788001</t>
  </si>
  <si>
    <t>20095058949</t>
  </si>
  <si>
    <t>2968</t>
  </si>
  <si>
    <t>97012379856</t>
  </si>
  <si>
    <t>5307</t>
  </si>
  <si>
    <t>13-Jul-1990</t>
  </si>
  <si>
    <t>REMEDICALA/C changed wef 21 Oct 2024</t>
  </si>
  <si>
    <t>97016168966</t>
  </si>
  <si>
    <t>7890</t>
  </si>
  <si>
    <t>NOK-CHOTKU SINGH (SON)_x000D_
S/O- THAKUR SINGH_x000D_
VILL- BALIADANGAL  _x000D_
P.O- BALIADANGAL_x000D_
PS- MAHESH PUR  _x000D_
DIST- PAKUR  _x000D_
STATE- JHARKHAND  _x000D_
PIN- 814103</t>
  </si>
  <si>
    <t>RECRUITED ON JAN 2026_x000D_
A/C Changed Mar 2026</t>
  </si>
  <si>
    <t>97017302516</t>
  </si>
  <si>
    <t>8000</t>
  </si>
  <si>
    <t>NOK- RUKMA DEVI (WIFE)_x000D_
S/O- DUBE RAY_x000D_
VILL- JARKA  _x000D_
P.O- GHASIRPUR _x000D_
PS- DUMKA  _x000D_
DIST- DUMKA  _x000D_
STATE- JHARKHAND  _x000D_
PIN- 814101</t>
  </si>
  <si>
    <t>97014962009</t>
  </si>
  <si>
    <t>8002</t>
  </si>
  <si>
    <t>NOK-HOPNI HEMBROM (MOTHER)_x000D_
S/O- VIMAL MURMU_x000D_
VILL- MASANJOR_x000D_
P.O.- BILKANDI_x000D_
P.S.- TONGRA_x000D_
DIST.- DUMKA_x000D_
STATE- JHARKHAND_x000D_
PIN- 814144</t>
  </si>
  <si>
    <t>97017201619</t>
  </si>
  <si>
    <t>8004</t>
  </si>
  <si>
    <t>15-Mar-2005</t>
  </si>
  <si>
    <t>NOK-GANGA DEVI (MOTHER)_x000D_
S/O- KONGRES RAY_x000D_
VILL- PAKPAHARI_x000D_
P.O.- BILKANDI_x000D_
P.S.- TONGRA_x000D_
DIST.- DUMKA_x000D_
STATE- JHARKHAND_x000D_
PIN- 814144</t>
  </si>
  <si>
    <t>97013737857</t>
  </si>
  <si>
    <t>8005</t>
  </si>
  <si>
    <t>08-Nov-1996</t>
  </si>
  <si>
    <t>NOK-JEBIYAR MURMU (BROTHER)_x000D_
S/O- GUPIN MURMU_x000D_
VILL- BARAI_x000D_
P.O.- GUHIYAJORI_x000D_
P.S.- RANISHWAR_x000D_
DIST.- DUMKA MUFSIL_x000D_
STATE- JHARKHAND_x000D_
PIN- 814158</t>
  </si>
  <si>
    <t>97017201085</t>
  </si>
  <si>
    <t>4813</t>
  </si>
  <si>
    <t>20-Feb-1993</t>
  </si>
  <si>
    <t>S/O KALYAN_x000D_
NoK -LALROCHHUNGI (WIFE)_x000D_
Vill -BUALPUI H_x000D_
Post -THINGSAI_x000D_
Dist-LUNGLEI_x000D_
PS-THINGSAI_x000D_
STATE- MIZORAM_x000D_
PIN No-796581</t>
  </si>
  <si>
    <t>39979588681</t>
  </si>
  <si>
    <t>7515</t>
  </si>
  <si>
    <t>NOK-GITA DEVI (WIFE)_x000D_
S/O-MANOHAR ROY_x000D_
VILL-CHICHRO_x000D_
POST-SALDAHA_x000D_
DISTRICT-DUMKA_x000D_
STATE-JHARKHAND_x000D_
P.S-KATHIKUND_x000D_
PIN-814103</t>
  </si>
  <si>
    <t>97012567409</t>
  </si>
  <si>
    <t>376480</t>
  </si>
  <si>
    <t>21-Aug-2025</t>
  </si>
  <si>
    <t>5061</t>
  </si>
  <si>
    <t>05-Jun-1987</t>
  </si>
  <si>
    <t>S/O HIRANDRA ROY_x000D_
NoK -LAKI ROY (WIFE)_x000D_
Vill -MOHANPUR RA_x000D_
Post -RATANPUR_x000D_
Dist-HAILAKANDI_x000D_
PS-ALGAPUR_x000D_
STATE- ASSAM_x000D_
PIN No-788155</t>
  </si>
  <si>
    <t>20055576559</t>
  </si>
  <si>
    <t>29-Feb-1996</t>
  </si>
  <si>
    <t>S/O LALTHANSANGA_x000D_
NoK - ZOSANGPUIA (BROTHER)_x000D_
Vill -W.PHULPUI_x000D_
Post -PHULDUNGSEI_x000D_
Dist-MAMIT_x000D_
PS-MARPARA_x000D_
STATE- MIZORAM_x000D_
PIN No-796431</t>
  </si>
  <si>
    <t>39737273949</t>
  </si>
  <si>
    <t>8145</t>
  </si>
  <si>
    <t>NOK- LALHIMAWMA  (SON)_x000D_
S/O- VIRA_x000D_
VILL- PEM VENG TIHNGSAI_x000D_
POST- THINGSAI_x000D_
DISTRICT- HNAHTHAL_x000D_
STATE- MIZORAM_x000D_
P.S-THINGSAI_x000D_
PIN-796571</t>
  </si>
  <si>
    <t>97003605447</t>
  </si>
  <si>
    <t>16-Mar-2026</t>
  </si>
  <si>
    <t>7482</t>
  </si>
  <si>
    <t>04-Oct-1977</t>
  </si>
  <si>
    <t>NOK-SUNITA MARDI (WIFE)_x000D_
S/O-BABLU MURMU_x000D_
VILL-GHANTI_x000D_
POST-THARIHAT_x000D_
DISTRICT-DUMKA_x000D_
STATE-JHARKHAND_x000D_
P.S-RAMGARH_x000D_
PIN-814158</t>
  </si>
  <si>
    <t>97016873784</t>
  </si>
  <si>
    <t>06-Sep-2025</t>
  </si>
  <si>
    <t>8257</t>
  </si>
  <si>
    <t>10-Nov-2008</t>
  </si>
  <si>
    <t>NOK- SOMAMUNI DEVI (MOTHER)_x000D_
S/O- SHIVCHARAN MARAIYA_x000D_
VILL- BAGHMARA_x000D_
PO- BAGHMARA_x000D_
DIST- GODDA_x000D_
STATE- JHARKHAND_x000D_
PS- POREYAHAT_x000D_
PIN- 814153</t>
  </si>
  <si>
    <t>97017473912</t>
  </si>
  <si>
    <t>6971</t>
  </si>
  <si>
    <t>07-Sep-1983</t>
  </si>
  <si>
    <t>S/o- Sanat Rai_x000D_
NoK - Kamala Rai (Wife)_x000D_
Vill - Mahula_x000D_
Post - Sajina_x000D_
Dist- Suri-I, Birbhum_x000D_
PS- Suri_x000D_
STATE- W.B_x000D_
PIN No- 731126</t>
  </si>
  <si>
    <t>722977566332</t>
  </si>
  <si>
    <t>97014049394</t>
  </si>
  <si>
    <t>6082</t>
  </si>
  <si>
    <t>12-Oct-2004</t>
  </si>
  <si>
    <t>S/O SUKUMAR RAI_x000D_
NoK -SUKUMAR RAI (FATHER)_x000D_
Vill -SAJINA_x000D_
Post -MAHULA_x000D_
Dist-BIRDHUM_x000D_
PS-SAJINA_x000D_
STATE- WEST BENGAL_x000D_
PIN No-731126</t>
  </si>
  <si>
    <t>97014406529</t>
  </si>
  <si>
    <t>8075</t>
  </si>
  <si>
    <t>NOK   : MANJU KUMARI (WIFE)_x000D_
S/O   : BUDHAN HANSDA_x000D_
Vill  : TITANGO_x000D_
PO    : THARIHAT_x000D_
PS    : RAMGARH_x000D_
Dist  : DUMKA_x000D_
State : JHARKHAND_x000D_
Pin   : 814158</t>
  </si>
  <si>
    <t>97017302561</t>
  </si>
  <si>
    <t>8258</t>
  </si>
  <si>
    <t>NOK- GANESH KISKU (FATHER)_x000D_
S/O- GANESH KISKU_x000D_
VILL- GULAMSULI_x000D_
PO- PRATAPPUR_x000D_
DIST- DUMKA_x000D_
STATE- JHARKHAND_x000D_
PS- RANISHWAR_x000D_
PIN- 814148</t>
  </si>
  <si>
    <t>97010514130</t>
  </si>
  <si>
    <t>18-May-2026</t>
  </si>
  <si>
    <t>8142</t>
  </si>
  <si>
    <t>10-Jun-1984</t>
  </si>
  <si>
    <t>NOK- TULU MURMU (MOTHER)_x000D_
S/O-CHOTU SOREN_x000D_
VILL- AMBWAR_x000D_
POST- PURAIYAHAT_x000D_
DISTRICT-GODDA_x000D_
STATE-JHARKHAND_x000D_
P.S-RAMGARH_x000D_
PIN-814153</t>
  </si>
  <si>
    <t>97005967278</t>
  </si>
  <si>
    <t>8513</t>
  </si>
  <si>
    <t>08-Aug-1995</t>
  </si>
  <si>
    <t>NOK - PRADIP CHANDRA DEBNATH (FATHER, 61 YRS), _x000D_
S/O PRADIP CHANDRA DEBNATH, _x000D_
VILL- 126A, VIVEKANANDA PARK, _x000D_
PO- MUKUNDAPUR,_x000D_
DIST- KOLKATTA, _x000D_
STATE- WEST BENGAL, PIN- 700099_x000D_
PS-PURBA JADAVPUR</t>
  </si>
  <si>
    <t>92516599741</t>
  </si>
  <si>
    <t>45445593001</t>
  </si>
  <si>
    <t>218860</t>
  </si>
  <si>
    <t>595340</t>
  </si>
  <si>
    <t>MR No. 74 RCC/17/ SEP 2026, JOB No. L-3307/10 PMT TBSPS ROAD</t>
  </si>
  <si>
    <t>7356</t>
  </si>
  <si>
    <t>02-Jun-2006</t>
  </si>
  <si>
    <t>NOK-KALYAN (FATHER)_x000D_
S/O-KALYAN_x000D_
VILL-HRUIDUK_x000D_
POST-MARPARA_x000D_
DISTRICT-MAMIT_x000D_
STATE-MIZORAM_x000D_
P.S-MARPARA_x000D_
PIN-796431</t>
  </si>
  <si>
    <t>97013758493</t>
  </si>
  <si>
    <t>7435</t>
  </si>
  <si>
    <t>34447493472</t>
  </si>
  <si>
    <t>14-09-2026</t>
  </si>
  <si>
    <t>7413</t>
  </si>
  <si>
    <t>NOK - SHRIMATI KISKU (WIFE)_x000D_
S/O - LT. JONA MURMU_x000D_
VILLAGE - TIT GO_x000D_
PO -  THARIHAT_x000D_
DISTRICT - DUMKA_x000D_
STATE - JHARKHAND_x000D_
PS- RAMGARH_x000D_
PIN - 814102</t>
  </si>
  <si>
    <t>97016008366</t>
  </si>
  <si>
    <t>7506</t>
  </si>
  <si>
    <t>NOK-LUKHI SOREN (WIFE)_x000D_
S/O-RAM MURMU_x000D_
VILL-TITGO_x000D_
POST-THARIHAT_x000D_
DISTRICT-DUMKA_x000D_
STATE-JHARKHAND_x000D_
P.S-RAMGARH_x000D_
PIN-814158</t>
  </si>
  <si>
    <t>44153658311</t>
  </si>
  <si>
    <t>2163</t>
  </si>
  <si>
    <t>Name of NoK - Rani Hembrom(Mother)_x000D_
S/O - Late Gonodhan Murmu _x000D_
Vill - JAYPAHARI_x000D_
PS - Raneshwar_x000D_
Sadipur , Dumka_x000D_
State- Jharkhand_x000D_
Pin - 814144</t>
  </si>
  <si>
    <t>97010514209</t>
  </si>
  <si>
    <t>7158</t>
  </si>
  <si>
    <t>43196216857</t>
  </si>
  <si>
    <t>7307</t>
  </si>
  <si>
    <t>NoK - CHINNUPUI (SON)_x000D_
S/O - SOAM SOREN_x000D_
Village - VAIKHAWTLANG_x000D_
Post -  CHAMPHAI_x000D_
PS - CHAMPHAI_x000D_
District - CHAMPHAI_x000D_
State - MIZORAM_x000D_
Pin - 796321</t>
  </si>
  <si>
    <t>97016521721</t>
  </si>
  <si>
    <t>27-Mar-2025</t>
  </si>
  <si>
    <t>7440</t>
  </si>
  <si>
    <t>NOK-ANUMDRI KISKU (MOTHER)_x000D_
S/O-LT CHATAR MURMU_x000D_
VILL-GULAMSULI_x000D_
POST-PRATAPPUR_x000D_
DISTRICT-DUMKA_x000D_
STATE-JHARKHAND_x000D_
P.S-RANISHWAR_x000D_
PIN-814148</t>
  </si>
  <si>
    <t>37236499257</t>
  </si>
  <si>
    <t>7249</t>
  </si>
  <si>
    <t>97016272831</t>
  </si>
  <si>
    <t>17</t>
  </si>
  <si>
    <t>07-09-2026</t>
  </si>
  <si>
    <t>7300</t>
  </si>
  <si>
    <t>01-Jan-1982</t>
  </si>
  <si>
    <t>97007331548</t>
  </si>
  <si>
    <t>13-Mar-2025</t>
  </si>
  <si>
    <t>6290</t>
  </si>
  <si>
    <t>08-May-1983</t>
  </si>
  <si>
    <t>S/O DEVA PAHARIYA_x000D_
NoK -CHINGAI DIMI (WIFE)_x000D_
Vill -CHOTASALGATY_x000D_
Post -DUMORCHER_x000D_
Dist-PAKUR_x000D_
PS-AMBARAPARA_x000D_
STATE- JHARKHAND_x000D_
PIN No-814111</t>
  </si>
  <si>
    <t>34328346810</t>
  </si>
  <si>
    <t>6171</t>
  </si>
  <si>
    <t>17-Apr-1985</t>
  </si>
  <si>
    <t>Name of NoK - SUMA NAMASUDRA (WIFE)_x000D_
S/O - NAROTTAM NAMASUDRA  _x000D_
Village - GAMARIA_x000D_
Post -  GAMARIA_x000D_
District - KARIMGANJ_x000D_
State - ASSAM_x000D_
Pin - 788156</t>
  </si>
  <si>
    <t>97014530840</t>
  </si>
  <si>
    <t>21-Sep-1980</t>
  </si>
  <si>
    <t>C/O MALSAWMTLUANGI_x000D_
NoK -SAWMI (WIFE)_x000D_
Vill -KAWLKULH_x000D_
Post -KAWLKULH_x000D_
Dist-CHAMPHAI_x000D_
PS-CHAMPHAI_x000D_
STATE- MIZORAM_x000D_
PIN No-796310</t>
  </si>
  <si>
    <t>97008956183</t>
  </si>
  <si>
    <t>05-Oct-1976</t>
  </si>
  <si>
    <t>S/O NATU SOREN_x000D_
NoK - TALKU SOREN (BROTHER)_x000D_
Vill -_x000D_
Post -KACHUWA_x000D_
Dist-DUMKA_x000D_
PS-BIJAYPUR_x000D_
STATE- JHARKHAND_x000D_
PIN No-814101</t>
  </si>
  <si>
    <t>35334567006</t>
  </si>
  <si>
    <t>02-Feb-1990</t>
  </si>
  <si>
    <t>S/O RAMNO GOUR_x000D_
NoK -RAMNO GOUR_x000D_
Vill - VAPAR_x000D_
Post -VAPAR_x000D_
Dist-CHAMPHAI_x000D_
PS-CHAMPHAI_x000D_
STATE- MIZORAM_x000D_
PIN No-796321</t>
  </si>
  <si>
    <t>34213264653</t>
  </si>
  <si>
    <t>12-Jun-1986</t>
  </si>
  <si>
    <t>S/O ALKHAWTINA_x000D_
NoK - KADARA PAHARIA (HUSBAND)_x000D_
Vill - NGUR_x000D_
Post -NGUR_x000D_
Dist-CHAMPHAI_x000D_
PS-CHAMPHAI_x000D_
STATE- MIZORAM_x000D_
PIN No-796321</t>
  </si>
  <si>
    <t>7815 3095 8285</t>
  </si>
  <si>
    <t>34329153511</t>
  </si>
  <si>
    <t>6174</t>
  </si>
  <si>
    <t>S/O SHIVJATAN TUDU_x000D_
NoK -SHIVJATAN TUDU (FATHER)_x000D_
Vill -RAJBARI_x000D_
Post -CHOUKISALA_x000D_
Dist-PAKUR_x000D_
PS-CHOWKISAL_x000D_
STATE- JHARKHAND_x000D_
PIN No-816117</t>
  </si>
  <si>
    <t>97011260660</t>
  </si>
  <si>
    <t>7211</t>
  </si>
  <si>
    <t>NoK - LILMINU MURMU (MOTHER)_x000D_
S/O - THUDU SOREN_x000D_
Vill - MUHAJOVA_x000D_
PO-BARAPALASI_x000D_
DIST-DUMKA_x000D_
State- JHARKHAND_x000D_
Pin - 814110_x000D_
PS - JAMA</t>
  </si>
  <si>
    <t>97009792019</t>
  </si>
  <si>
    <t>21-Oct-2024</t>
  </si>
  <si>
    <t>8077</t>
  </si>
  <si>
    <t>NOK   : MANODI HEMBROM (WIFE)_x000D_
S/O   : BABLU MARANDI_x000D_
Vill  : JHAKIA_x000D_
PO    : DHAMNILATIA_x000D_
PS    : JARMUNDI_x000D_
Dist  : DUMKA_x000D_
State : JHARKHAND_x000D_
Pin   : 814118</t>
  </si>
  <si>
    <t>97017302606</t>
  </si>
  <si>
    <t>6160</t>
  </si>
  <si>
    <t>S/O LEHADA MURMU_x000D_
NoK -HOPANI  (WIFE)_x000D_
Vill -MASANJOR_x000D_
Post -BILKANDI_x000D_
Dist-DUMKA_x000D_
PS-TONGRA_x000D_
STATE- JHARKHAND_x000D_
PIN No-814144</t>
  </si>
  <si>
    <t>97006953242</t>
  </si>
  <si>
    <t>309050</t>
  </si>
  <si>
    <t>6291</t>
  </si>
  <si>
    <t>09-Nov-1982</t>
  </si>
  <si>
    <t>S/O CHOTA RAI_x000D_
NoK -LALTHANGPUII (WIFE)_x000D_
Vill -BANVARI_x000D_
Post -PRATAPPUR_x000D_
Dist-DUMKA_x000D_
PS-RANISHWAR_x000D_
STATE- JHARKHAND_x000D_
PIN No-814110</t>
  </si>
  <si>
    <t>11467059087</t>
  </si>
  <si>
    <t>6617</t>
  </si>
  <si>
    <t>MAIKEL HEMBRAM</t>
  </si>
  <si>
    <t>S/O MAHALAL HEMBRAM_x000D_
NoK -MAHALAL HEMBRAM (FATHER)_x000D_
Vill -GHAGRI_x000D_
Post -GHAGRI_x000D_
Dist-DUMKA_x000D_
PS-RAMGARH_x000D_
STATE- JHARKHAND_x000D_
PIN No-814102</t>
  </si>
  <si>
    <t>20200290952</t>
  </si>
  <si>
    <t>5512</t>
  </si>
  <si>
    <t>07-Sep-1998</t>
  </si>
  <si>
    <t>S/O DUKHU ROY_x000D_
NoK -PUNAM RAI (WIFE)_x000D_
Vill -CHANDERJOL_x000D_
Post -BISHWANATHPUR_x000D_
Dist-DABUK_x000D_
PS-BISHWANATHPUR_x000D_
STATE- WEST BENGAL_x000D_
PIN No-731216</t>
  </si>
  <si>
    <t>97012567363</t>
  </si>
  <si>
    <t>7434</t>
  </si>
  <si>
    <t>12-May-1978</t>
  </si>
  <si>
    <t>NOK - JEMESH HEMBROM (SON)_x000D_
S/O - SURAI THEMKA HEMBROM_x000D_
VILLAGE - BARATALI_x000D_
PO -  DHOGHARIA_x000D_
PS- KATHIKUND_x000D_
DISTRICT - DUMKA_x000D_
STATE - JHARKHAND_x000D_
PIN - 814158</t>
  </si>
  <si>
    <t>97015341784</t>
  </si>
  <si>
    <t>8204</t>
  </si>
  <si>
    <t>NOK: MAMITA DEVI (WIFE)_x000D_
S/O : BUTAN RAY_x000D_
VILL : PURANAKESHRI_x000D_
POST : SIGHNI_x000D_
DISTT: DUMKA_x000D_
STATE: JHARKHAND_x000D_
PIN : 814118_x000D_
PS : JARMUNDI</t>
  </si>
  <si>
    <t>97007325137</t>
  </si>
  <si>
    <t>21-Mar-2026</t>
  </si>
  <si>
    <t>8324</t>
  </si>
  <si>
    <t>NOK: JAYDEV RAY (FATHER)_x000D_
S/O: JAYDEV RAY_x000D_
VILL: PAKPAHADI_x000D_
P-O: BILKANDI_x000D_
DIST: DUMKA_x000D_
STATE: JHARKHAND_x000D_
P-S: RANISHWAR_x000D_
PIN: 814144</t>
  </si>
  <si>
    <t>35980422619</t>
  </si>
  <si>
    <t>28-May-2026</t>
  </si>
  <si>
    <t>8325</t>
  </si>
  <si>
    <t>NOK: SHASHI RAY (FATHER)_x000D_
S/O: SHASHI RAY_x000D_
VILL: BANWARI_x000D_
P-O: PRATAPPUR_x000D_
DIST: DUMKA_x000D_
STATE: JHARKHAND_x000D_
P-S: RANISHWAR_x000D_
PIN: 814148</t>
  </si>
  <si>
    <t>97014962134</t>
  </si>
  <si>
    <t>8457</t>
  </si>
  <si>
    <t>02-Oct-2004</t>
  </si>
  <si>
    <t>NOK: SUNITA HEMROM (WIFE)_x000D_
S/O: SANATAN HANSDAK_x000D_
VILL: RAJBARI_x000D_
P-O: CHAUKISALA / CHOWKISAL_x000D_
DIST: PAKUR_x000D_
STATE: JHARKHAND_x000D_
P-S: PAKURIA_x000D_
PIN: 816117</t>
  </si>
  <si>
    <t>97012383636</t>
  </si>
  <si>
    <t>8458</t>
  </si>
  <si>
    <t>16-Oct-2000</t>
  </si>
  <si>
    <t>NOK: HARADHAN RAY (FATHER)_x000D_
S/O: HARADHAN RAY_x000D_
VILL: PAKPAHARI_x000D_
P-O: BILKANDI_x000D_
DIST: DUMKA_x000D_
STATE: JHARKHAND_x000D_
P-S: TONGRA_x000D_
PIN: 814144</t>
  </si>
  <si>
    <t>34985525695</t>
  </si>
  <si>
    <t>8459</t>
  </si>
  <si>
    <t>97017644200</t>
  </si>
  <si>
    <t>7170</t>
  </si>
  <si>
    <t>04-Oct-2000</t>
  </si>
  <si>
    <t>NOK-PARMESHWAR BESRA (FATHER)_x000D_
S/O-PARMESHWAR BESRA_x000D_
VILL-GULAMSULI_x000D_
POST-PRATAPPUR_x000D_
DISTRICT-DUMKA_x000D_
STATE-JHARKHAND_x000D_
P.S-RANISHWAR_x000D_
PIN-814148</t>
  </si>
  <si>
    <t>97016130862</t>
  </si>
  <si>
    <t>11-Nov-2024</t>
  </si>
  <si>
    <t>8550</t>
  </si>
  <si>
    <t>28-FEB-2005</t>
  </si>
  <si>
    <t>NOK-MALOTI DEVI (MOTHER)
S/O-JASATI RAY
VILL-PHULJHIN JHRI
POST-PHULHIN JHRI
DIST-PAKUR
STATE-JHARKHAND
PS-PAKURIA
PIN-816171</t>
  </si>
  <si>
    <t>3319 3594 1128</t>
  </si>
  <si>
    <t>97015557578</t>
  </si>
  <si>
    <t>25-AUG-2026</t>
  </si>
  <si>
    <t>8551</t>
  </si>
  <si>
    <t>VOLA RAY</t>
  </si>
  <si>
    <t>04-JUL-1980</t>
  </si>
  <si>
    <t>JHARILA RAY</t>
  </si>
  <si>
    <t>NOK-SUNITA  RAY (SISTER)
S/O JHARILA  RAY
VILL- HETH KATENJA
POST- BANWARA
DIST- DUMKA
STATE- JHARKHAND
PS-JARMUNDI
PIN-814141</t>
  </si>
  <si>
    <t>7819 8263 6125</t>
  </si>
  <si>
    <t>41263456286</t>
  </si>
  <si>
    <t>247180</t>
  </si>
  <si>
    <t>27-AUG-2026</t>
  </si>
  <si>
    <t>556230</t>
  </si>
  <si>
    <t>MR No. 74 RCC/18/ SEP 2026, JOB No. MAINT S-T ROAD 2026-27 (KM 82.00 TO 164.53)</t>
  </si>
  <si>
    <t>10-Feb-1971</t>
  </si>
  <si>
    <t>Name of NoK - Durga Devi (Wife)_x000D_
S/O - Bawash(L)_x000D_
House No.126 , 8 Km Tuipuibari Road, W. Phaileng _x000D_
District - Mamit_x000D_
State- Mizoram_x000D_
Pin - 796431</t>
  </si>
  <si>
    <t>20174485941</t>
  </si>
  <si>
    <t>5469</t>
  </si>
  <si>
    <t>06-Dec-1979</t>
  </si>
  <si>
    <t>S/O UPENDRA ROY_x000D_
NoK-SUBPRABHA RANI ROY (WIFE)_x000D_
Vill -DINTHAR_x000D_
Post WEST PHAILENG_x000D_
Dist-MAMIT_x000D_
PS-W. PHAILENG_x000D_
STATE- MIZORAM_x000D_
PIN No-796431</t>
  </si>
  <si>
    <t>20174482940</t>
  </si>
  <si>
    <t>02</t>
  </si>
  <si>
    <t>02-Feb-1977</t>
  </si>
  <si>
    <t>Name of NoK - Jaya Marandi (Wife)_x000D_
S/O - Jethu Besra_x000D_
House No.73 , Dinthar 6 Km Tuipuibari Road, W. Phaileng _x000D_
District - Mamit_x000D_
State- Mizoram_x000D_
Pin - 796431</t>
  </si>
  <si>
    <t>20174482167</t>
  </si>
  <si>
    <t>7842</t>
  </si>
  <si>
    <t>28-Aug-1994</t>
  </si>
  <si>
    <t>NOK-SANJALI MURMU (WIFE)_x000D_
S/O-SHIBU KISKU_x000D_
VILL-PATOBAND_x000D_
P.O-LAKHANPUR_x000D_
DIST-DUMKA_x000D_
STATE-JHARKHAND_x000D_
PS-RAMGARH_x000D_
PIN-814102</t>
  </si>
  <si>
    <t>97008041802</t>
  </si>
  <si>
    <t>27-Nov-2025</t>
  </si>
  <si>
    <t>7848</t>
  </si>
  <si>
    <t>NOK-MANDHODARI DEVI (WIFE)_x000D_
S/O-SUMESHWAR RAY_x000D_
VILL-ASANBANI _x000D_
P.O-GOWARI_x000D_
DIST-DUMKA_x000D_
STATE-JHARKHAND_x000D_
PS-DUMKA MUFFSIL_x000D_
PIN-814101</t>
  </si>
  <si>
    <t>97014058615</t>
  </si>
  <si>
    <t>08-Dec-2025</t>
  </si>
  <si>
    <t>7847</t>
  </si>
  <si>
    <t>NOK-CHANDNI DEVI (WIFE)_x000D_
S/O-MISAR BHANDARI_x000D_
VILL-ASANBANI _x000D_
P.O-GOWARI_x000D_
DIST-DUMKA_x000D_
STATE-JHARKHAND_x000D_
PS-DUMKA MUFFSIL_x000D_
PIN-814101</t>
  </si>
  <si>
    <t>97010928130</t>
  </si>
  <si>
    <t>8359</t>
  </si>
  <si>
    <t>20-Nov-1987</t>
  </si>
  <si>
    <t>NOK: JALIA PAHARIYA (SON)_x000D_
S/O: DOSA PAHARIYA_x000D_
VILL: WEST PHAILENG_x000D_
P-O: WEST PHAILENG_x000D_
DIST: MAMIT_x000D_
STATE: MIZORAM_x000D_
P-S: WEST PHAILENG_x000D_
PIN: 796431</t>
  </si>
  <si>
    <t>97017590557</t>
  </si>
  <si>
    <t>7026</t>
  </si>
  <si>
    <t>NoK - Jagarnath Ray (Father)_x000D_
S/o- Jagarnath Ray_x000D_
Vill - Asanbani_x000D_
Post - Chainpur_x000D_
Dist- Dumka_x000D_
PS- Dumka Muffsil_x000D_
STATE- Jharkhand_x000D_
PIN No- 814158</t>
  </si>
  <si>
    <t>374160689245</t>
  </si>
  <si>
    <t>97014478288</t>
  </si>
  <si>
    <t>6368</t>
  </si>
  <si>
    <t>ReruitedOct 2024</t>
  </si>
  <si>
    <t>97014069252</t>
  </si>
  <si>
    <t>S/O DIGLU HEMRAM_x000D_
NoK HASINA (DAUGHTER)_x000D_
Vill -W. PHAILENG_x000D_
Post W. PHAILENG_x000D_
Dist-MAMIT_x000D_
PS-W. PHAILENG_x000D_
STATE- MIZORAM_x000D_
PIN No-796431</t>
  </si>
  <si>
    <t>668769256659</t>
  </si>
  <si>
    <t>REMEDICAL_x000D_
A/c 20174482292 changed  to 97011260127 wef 21-Jan-2025</t>
  </si>
  <si>
    <t>97011260127</t>
  </si>
  <si>
    <t>Name of NoK - Jai lashmi (Sister)_x000D_
S/O - NAGAPAN GIRI_x000D_
Village - Repura_x000D_
Post - Bishnupur_x000D_
Dist - Muzafarpur_x000D_
State- Bihar_x000D_
Pin - 843109</t>
  </si>
  <si>
    <t>779148362372</t>
  </si>
  <si>
    <t>20174482383</t>
  </si>
  <si>
    <t>97008733166</t>
  </si>
  <si>
    <t>20060181826</t>
  </si>
  <si>
    <t>SKD-II/MATE</t>
  </si>
  <si>
    <t>02-Sep-1986</t>
  </si>
  <si>
    <t>20174482474</t>
  </si>
  <si>
    <t>6202</t>
  </si>
  <si>
    <t>03-May-1988</t>
  </si>
  <si>
    <t>41564167214</t>
  </si>
  <si>
    <t>2206</t>
  </si>
  <si>
    <t>MATE/SKD-II</t>
  </si>
  <si>
    <t>781872807067</t>
  </si>
  <si>
    <t>97001407708</t>
  </si>
  <si>
    <t>05-Dec-1990</t>
  </si>
  <si>
    <t>Name of NoK - Kimi (Wife)_x000D_
S/O - SAKHAWLIANA_x000D_
House No. 14  Tuldam Ven, Tuidam forest_x000D_
Near Primary School _x000D_
Teirei Forest_x000D_
District - Mamit_x000D_
State- Mizoram_x000D_
Pin - 796431</t>
  </si>
  <si>
    <t>780721957889</t>
  </si>
  <si>
    <t>20174486795</t>
  </si>
  <si>
    <t>2205</t>
  </si>
  <si>
    <t>02-Sep-1970</t>
  </si>
  <si>
    <t>Name of NoK - Lalruatsanga (Son)_x000D_
S/O - SIAMTHARA_x000D_
Teirei Forest, Phaileng_x000D_
District - Mamit_x000D_
State- Mizoram_x000D_
Pin - 796431</t>
  </si>
  <si>
    <t>780416485666</t>
  </si>
  <si>
    <t>97001407822</t>
  </si>
  <si>
    <t>5524</t>
  </si>
  <si>
    <t>02-Sep-1992</t>
  </si>
  <si>
    <t>Name of NoK - Lalrinsiamii (Wife)_x000D_
S/O - SIAMTHARA_x000D_
49 Veng Chung, Teirei Forest _x000D_
District - Mamit_x000D_
State- Mizoram_x000D_
Pin - 796431</t>
  </si>
  <si>
    <t>780219404045</t>
  </si>
  <si>
    <t>97010624904</t>
  </si>
  <si>
    <t>7358</t>
  </si>
  <si>
    <t>18-Sep-1993</t>
  </si>
  <si>
    <t>NOK-ZORAMI (WIFE)_x000D_
S/O-RATUABI_x000D_
VILL- MARPARA S II_x000D_
PO-WEST PHAILENG_x000D_
DIST-MAMIT_x000D_
STATE-MIZORAM_x000D_
PS-WEST PHAILENG_x000D_
PIN-796431</t>
  </si>
  <si>
    <t>97008451229</t>
  </si>
  <si>
    <t>07-Jun-2025</t>
  </si>
  <si>
    <t>4782</t>
  </si>
  <si>
    <t>05-Sep-2001</t>
  </si>
  <si>
    <t>97007197432</t>
  </si>
  <si>
    <t>338280</t>
  </si>
  <si>
    <t>7732</t>
  </si>
  <si>
    <t>14-Aug-2002</t>
  </si>
  <si>
    <t>NOK-MARY LALDUHAWMI (WIFE)_x000D_
S/O-KAPTHANZAWNA_x000D_
VILL-TEIREI_x000D_
PO-W.PHAILENG_x000D_
DIST-MAMIT_x000D_
STATE-MIZORAM_x000D_
PS-W.PHAILENG_x000D_
PIN-796431</t>
  </si>
  <si>
    <t>97010624596</t>
  </si>
  <si>
    <t>13-Nov-2025</t>
  </si>
  <si>
    <t>7731</t>
  </si>
  <si>
    <t>NOK-MIRIAMI (WIFE)_x000D_
S/O-PUSAIRAM REANG_x000D_
VILL-TEIREI_x000D_
PO-W.PHAILENG_x000D_
DIST-MAMIT_x000D_
STATE-MIZORAM_x000D_
PS-W.PHAILENG_x000D_
PIN-796431</t>
  </si>
  <si>
    <t>97010573333</t>
  </si>
  <si>
    <t>6951</t>
  </si>
  <si>
    <t>S/O SYAM SOREN_x000D_
NoK -KHANDA SOREN (WIFE)_x000D_
Vill -BHOWLAGURI_x000D_
Post -BALLIMARI_x000D_
Dist-KOKRAJHAR_x000D_
PS-BALLIMARI_x000D_
STATE- ASSAM_x000D_
PIN No-783360</t>
  </si>
  <si>
    <t>97015206518</t>
  </si>
  <si>
    <t>01-May-2024</t>
  </si>
  <si>
    <t>7801</t>
  </si>
  <si>
    <t>17-Mar-2007</t>
  </si>
  <si>
    <t>NOK-LALRAWNGBAWLA (FATHER)_x000D_
S/O-LALRAWNGBAWLA_x000D_
VILL-TEIREI (HRUAITLUANG)_x000D_
P.O-W.PHAILENG_x000D_
DIST-MAMIT_x000D_
STATE-MIZORAM_x000D_
PS-W.PHAILENG_x000D_
PIN-796431</t>
  </si>
  <si>
    <t>97010624529</t>
  </si>
  <si>
    <t>7804</t>
  </si>
  <si>
    <t>10-Jul-1994</t>
  </si>
  <si>
    <t>NOK-LALTHANZUALI (WIFE)_x000D_
S/O-MONGOL JOI_x000D_
VILL-TEIREI FOREST_x000D_
P.O-W.PHAILENG_x000D_
DIST-MAMIT_x000D_
STATE-MIZORAM_x000D_
PS-W.PHAILENG_x000D_
PIN-796431</t>
  </si>
  <si>
    <t>97010684782</t>
  </si>
  <si>
    <t>5239</t>
  </si>
  <si>
    <t>Name of NoK - Maikal Chakma (Son)_x000D_
S/O - BUDDHA CHANDRA_x000D_
House NO. 116, Marpara South, Near Primary School_x000D_
Village -  Marpara _x000D_
District - Mamit_x000D_
State- Mizoram_x000D_
Pin - 796431</t>
  </si>
  <si>
    <t>97011990175</t>
  </si>
  <si>
    <t>5148</t>
  </si>
  <si>
    <t>15-Feb-1990</t>
  </si>
  <si>
    <t>S/O KUMAR_x000D_
NoK -LALHUNCHHUNGI (WIFE)_x000D_
Vill -HRUIDUK_x000D_
Post -MARPARA_x000D_
Dist-MAMIT_x000D_
PS-MARPARA_x000D_
STATE- MIZORAM_x000D_
PIN No-796431</t>
  </si>
  <si>
    <t>650170582382</t>
  </si>
  <si>
    <t>97007396006</t>
  </si>
  <si>
    <t>2316</t>
  </si>
  <si>
    <t>AJAY KUMAR</t>
  </si>
  <si>
    <t>S/O KUMAR_x000D_
NoK -SOBHA CHAKMA (WIFE)_x000D_
Vill -HRUIDUK_x000D_
Post NARPARA_x000D_
Dist-MAMIT_x000D_
PS-MARPARA_x000D_
STATE- MIZORAM_x000D_
PIN No-796431</t>
  </si>
  <si>
    <t>97004567667</t>
  </si>
  <si>
    <t>6050</t>
  </si>
  <si>
    <t>16-Nov-1997</t>
  </si>
  <si>
    <t>97012136085</t>
  </si>
  <si>
    <t>7166</t>
  </si>
  <si>
    <t>97013867139</t>
  </si>
  <si>
    <t>21-Sep-2024</t>
  </si>
  <si>
    <t>S/O SUKRU KERKETTA_x000D_
NoK -PIYAN DHARI_x000D_
Village - SAKARPUR GAMHARIA_x000D_
Post -SAKARPUR HAMHARI_x000D_
Dist -GUMIA_x000D_
PS-GUMIA_x000D_
STATE- JHARKHAND_x000D_
PIN No-835233</t>
  </si>
  <si>
    <t>20174482189</t>
  </si>
  <si>
    <t>1584</t>
  </si>
  <si>
    <t>03-Jul-1977</t>
  </si>
  <si>
    <t>S/O PRADHAN HEMBROM_x000D_
NoK -THANGPUII (WIFE) _x000D_
Village - DAMPARENGPUI_x000D_
Post -WEST PHAILENG_x000D_
Dist -MAMIT_x000D_
PS-WEST PHAILENG_x000D_
STATE- MIZORAM_x000D_
PIN No-796431</t>
  </si>
  <si>
    <t>20174486820</t>
  </si>
  <si>
    <t>12-Feb-1974</t>
  </si>
  <si>
    <t>S/O SHIVLAL TUDU_x000D_
NoK -CHONAN (SON)_x000D_
Village - WEST PHAILENG_x000D_
Post -WEST PHAILENG_x000D_
Dist -MAMIT_x000D_
PS-WEST PHAILENG_x000D_
STATE- MIZORAM_x000D_
PIN No-796431</t>
  </si>
  <si>
    <t>20174482463</t>
  </si>
  <si>
    <t>03-Jun-1977</t>
  </si>
  <si>
    <t>S/O KOKA DEHERY (L)_x000D_
NoK -PANDI RUNG (WIFE)_x000D_
Village - KHORBA_x000D_
Post -SILTHA_x000D_
Dist -DUMKA_x000D_
PS-RAMPUR_x000D_
STATE- JHARKHAND_x000D_
PIN No-814101</t>
  </si>
  <si>
    <t>8768 3949 2317</t>
  </si>
  <si>
    <t>20174486070</t>
  </si>
  <si>
    <t>4713</t>
  </si>
  <si>
    <t>11-Aug-1972</t>
  </si>
  <si>
    <t>S/O BISO KUMAR_x000D_
NoK -LAWMAWMA (SON)_x000D_
Village - DAMPARENGPUI_x000D_
Post -WEST PHAILENG_x000D_
Dist -MAMIT_x000D_
PS-WEST PHAILENG_x000D_
STATE- MIZORAM_x000D_
PIN No-796431</t>
  </si>
  <si>
    <t>97001529443</t>
  </si>
  <si>
    <t>7725</t>
  </si>
  <si>
    <t>NOK-PORDIRUNG (WIFE)_x000D_
S/O-PHERAUWA_x000D_
VILL-DAMPARENGPUI_x000D_
PO-W.PHAILENG_x000D_
DIST-MAMIT_x000D_
STATE-MIZORAM_x000D_
PS-W.PHAILENG_x000D_
PIN-796431</t>
  </si>
  <si>
    <t>97001614170</t>
  </si>
  <si>
    <t>31-Oct-2025</t>
  </si>
  <si>
    <t>7787</t>
  </si>
  <si>
    <t>15-Aug-1998</t>
  </si>
  <si>
    <t>NOK-BABY LALNGHAKLIANI (WIFE)_x000D_
S/O-SANGA_x000D_
VILL-DAMPARENGPUI_x000D_
P.O-W.PHAILENG_x000D_
DIST-MAMIT_x000D_
STATE-MIZORAM_x000D_
PS-W.PHAILENG_x000D_
PIN-796431</t>
  </si>
  <si>
    <t>36945272703</t>
  </si>
  <si>
    <t>7788</t>
  </si>
  <si>
    <t>07-Dec-2002</t>
  </si>
  <si>
    <t>NOK-ELIZABETH-T WIFE)_x000D_
S/O-THANKIMA_x000D_
VILL-DAMPARENGPUI_x000D_
P.O-W.PHAILENG_x000D_
DIST-MAMIT_x000D_
STATE-MIZORAM_x000D_
PS-W.PHAILENG_x000D_
PIN-796431</t>
  </si>
  <si>
    <t>97008578835</t>
  </si>
  <si>
    <t>2195</t>
  </si>
  <si>
    <t>S/O RAMBADUR_x000D_
NoK -ARONLALTANPUIA (SON)_x000D_
Vill -DAMPARENGPUI_x000D_
Post -W. PHAILENG_x000D_
Dist-MAMIT_x000D_
PS-W. PHAILENG_x000D_
STATE- MIZORAM_x000D_
PIN No-796431</t>
  </si>
  <si>
    <t>781213700126</t>
  </si>
  <si>
    <t>97010937019</t>
  </si>
  <si>
    <t>2602</t>
  </si>
  <si>
    <t>02-Mar-1985</t>
  </si>
  <si>
    <t>Name of NoK - Lawmkimi (Wife)_x000D_
S/O - THANSANGA_x000D_
Hmar, Damparengpui_x000D_
Dist - Mammit_x000D_
State- Mizoram_x000D_
Pin - 796431</t>
  </si>
  <si>
    <t>781213649685</t>
  </si>
  <si>
    <t>97001524558</t>
  </si>
  <si>
    <t>7785</t>
  </si>
  <si>
    <t>20-Dec-1987</t>
  </si>
  <si>
    <t>25010034487</t>
  </si>
  <si>
    <t>351930</t>
  </si>
  <si>
    <t>7783</t>
  </si>
  <si>
    <t>04-Nov-1994</t>
  </si>
  <si>
    <t>NOK-ENGMAWII (WIFE)_x000D_
S/O-ROHMUAKA_x000D_
VILL-DAMPARENGPUI_x000D_
P.O-W.PHAILENG_x000D_
DIST-MAMIT_x000D_
STATE-MIZORAM_x000D_
PS-W.PHAILENG_x000D_
PIN-796431</t>
  </si>
  <si>
    <t>25010038618</t>
  </si>
  <si>
    <t>3437</t>
  </si>
  <si>
    <t>10-May-1983</t>
  </si>
  <si>
    <t>S/O SODOIA_x000D_
NoK -EMILYMSHA (DAUGHTER)_x000D_
Vill -DAMPARENGPUI_x000D_
Post W. PHAILENG_x000D_
Dist-MAMIT_x000D_
PS-W.PHAILENG_x000D_
STATE- MIZORAM_x000D_
PIN No-796431</t>
  </si>
  <si>
    <t>779727305410</t>
  </si>
  <si>
    <t>784097583193</t>
  </si>
  <si>
    <t>97001530481</t>
  </si>
  <si>
    <t>2126</t>
  </si>
  <si>
    <t>25-May-1980</t>
  </si>
  <si>
    <t>S/O A ZAITHANGA_x000D_
NoK -LUNI (DAUGHTER)_x000D_
Village - DAMPARENGPUI_x000D_
Post -WEST PHAILENG_x000D_
Dist -MAMIT_x000D_
PS-WEST PHAILENG_x000D_
STATE- MIZORAM_x000D_
PIN No-796431</t>
  </si>
  <si>
    <t>97005676744</t>
  </si>
  <si>
    <t>8260</t>
  </si>
  <si>
    <t>10-Jul-1980</t>
  </si>
  <si>
    <t>NOK- HITLER (SON)_x000D_
S/O- PHAKSARAI_x000D_
VILL- DAMPARENGPUI_x000D_
POST- W. PHAILENG_x000D_
DIST- MAMIT_x000D_
STATE- MIZORAM_x000D_
PS- W. PHAILENG_x000D_
PIN- 796431</t>
  </si>
  <si>
    <t>25010017359</t>
  </si>
  <si>
    <t>29-Apr-2026</t>
  </si>
  <si>
    <t>6295</t>
  </si>
  <si>
    <t>05-Jul-1977</t>
  </si>
  <si>
    <t>S/O THAKUR RAI_x000D_
NoK -SANTI DEVI (WIFE)_x000D_
Vill -ASAN BANI_x000D_
Post -GOWARI_x000D_
Dist-DUMKA_x000D_
PS-MUFISSIL_x000D_
STATE- JHARKHAND_x000D_
PIN No-814101</t>
  </si>
  <si>
    <t>Newly Recruited_x000D_
Sep 2023</t>
  </si>
  <si>
    <t>20119709741</t>
  </si>
  <si>
    <t>S/O RATAN SOREN_x000D_
NoK -RATAN SOREN (FATHER)_x000D_
Vill -JAGUDI_x000D_
Post BIJAYPUR_x000D_
Dist-DUMKA_x000D_
PS-BIJAYPUR_x000D_
STATE- JHARKHAND_x000D_
PIN No-814101</t>
  </si>
  <si>
    <t>771683119619</t>
  </si>
  <si>
    <t>20119709774</t>
  </si>
  <si>
    <t>5146</t>
  </si>
  <si>
    <t>S/O JAMMAN MAL_x000D_
NoK -KAJOL KUMARI (DAUGHTER)_x000D_
Vill -PIPARJORIA_x000D_
Post SANDMARA_x000D_
Dist-GODDA_x000D_
PS-SANDAMRA_x000D_
STATE- JHARKHAND_x000D_
PIN No-814156</t>
  </si>
  <si>
    <t>686427149594</t>
  </si>
  <si>
    <t>97013858272</t>
  </si>
  <si>
    <t>2118</t>
  </si>
  <si>
    <t>34244549620</t>
  </si>
  <si>
    <t>S/O DHUJOO HANSDA_x000D_
NoK -SHIBU HANSDA (SON)_x000D_
Vill -BANWARI_x000D_
Post PRATAPPUR_x000D_
Dist-DUMKA_x000D_
PS-RANISHWAR_x000D_
STATE- JHARKHAND_x000D_
PIN No-814148</t>
  </si>
  <si>
    <t>379402863914</t>
  </si>
  <si>
    <t>97006952443</t>
  </si>
  <si>
    <t>12-Jan-1977</t>
  </si>
  <si>
    <t>S/O LAKHIRAM BASKI_x000D_
NoK -MULINDA BASKI (BROTHER)_x000D_
Vill -KHUANGPHAH_x000D_
Post KHUANGPHAH_x000D_
Dist-CHAMPHAI_x000D_
PS-CHAMPHAI_x000D_
STATE- MIZORAM_x000D_
PIN No-796321</t>
  </si>
  <si>
    <t>396959779702</t>
  </si>
  <si>
    <t>20119709796</t>
  </si>
  <si>
    <t>8460</t>
  </si>
  <si>
    <t>NOK: LALTANPUII (WIFE)_x000D_
S/O: MALSAWMA_x000D_
VILL: TEIREI_x000D_
P-O: W. PHAILENG_x000D_
DIST: MAMIT_x000D_
STATE: MIZORAM_x000D_
P-S: W. PHAILENG_x000D_
PIN: 796431</t>
  </si>
  <si>
    <t>25010013831</t>
  </si>
  <si>
    <t>8461</t>
  </si>
  <si>
    <t>NOK: RAMCHUANI (WIFE)_x000D_
S/O:SIAMTHARA_x000D_
VILL: TEIREI_x000D_
P-O: W. PHAILENG_x000D_
DIST: MAMIT_x000D_
STATE: MIZORAM_x000D_
P-S: W. PHAILENG_x000D_
PIN: 796431</t>
  </si>
  <si>
    <t>97001407866</t>
  </si>
  <si>
    <t>8462</t>
  </si>
  <si>
    <t>20-Jan-1990</t>
  </si>
  <si>
    <t>NOK: RAMITA REANG (WIFE)_x000D_
S/O: DINA_x000D_
VILL: TEIREI_x000D_
P-O: W. PHAILENG_x000D_
DIST: MAMIT_x000D_
STATE: MIZORAM_x000D_
P-S: W. PHAILENG_x000D_
PIN: 796431</t>
  </si>
  <si>
    <t>97003520798</t>
  </si>
  <si>
    <t>8463</t>
  </si>
  <si>
    <t>03-Oct-2000</t>
  </si>
  <si>
    <t>NOK: RAECELA (DAUGHTER)_x000D_
S/O: KALAA_x000D_
VILL: TEIREI_x000D_
P-O: W. PHAILENG_x000D_
DIST: MAMIT_x000D_
STATE: MIZORAM_x000D_
P-S: W. PHAILENG_x000D_
PIN: 796501</t>
  </si>
  <si>
    <t>97012311560</t>
  </si>
  <si>
    <t>8464</t>
  </si>
  <si>
    <t>NOK: MALSAWMTLUANGI (DAUGHTER)_x000D_
S/O: LALRINPUIA_x000D_
VILL: TEIREI FOREST_x000D_
P-O: W. PHAILENG_x000D_
DIST: MAMIT_x000D_
STATE: MIZORAM_x000D_
P-S: W. PHAILENG_x000D_
PIN: 796431</t>
  </si>
  <si>
    <t>97005338353</t>
  </si>
  <si>
    <t>8465</t>
  </si>
  <si>
    <t>NOK: JENESAIA (SON)_x000D_
S/O: RINKIMA_x000D_
VILL: TEIREI_x000D_
P-O: W. PHAILENG_x000D_
DIST: MAMIT_x000D_
STATE: MIZORAM_x000D_
P-S: W. PHAILENG_x000D_
PIN: 796431</t>
  </si>
  <si>
    <t>97005338411</t>
  </si>
  <si>
    <t>8466</t>
  </si>
  <si>
    <t>15-Oct-1990</t>
  </si>
  <si>
    <t>NOK: LALTAN KIMA (SON) _x000D_
S/O: ROPUIA_x000D_
VILL: TEIREI_x000D_
P-O: W. PHAILENG_x000D_
DIST: MAMIT_x000D_
STATE: MIZORAM_x000D_
P-S: W. PHAILENG_x000D_
PIN: 796431</t>
  </si>
  <si>
    <t>97005338397</t>
  </si>
  <si>
    <t>8467</t>
  </si>
  <si>
    <t>14-Apr-1992</t>
  </si>
  <si>
    <t>NOK: DONTI TOIMOI (WIFE)_x000D_
S/O: ROBI_x000D_
VILL: TEIREI_x000D_
P-O: W. PHAILENG_x000D_
DIST: MAMIT_x000D_
STATE: MIZORAM_x000D_
P-S: W. PHAILENG_x000D_
PIN: 796431</t>
  </si>
  <si>
    <t>97009522393</t>
  </si>
  <si>
    <t>5346</t>
  </si>
  <si>
    <t>Name of NoK - Mary (Wife)_x000D_
S/O - DEBENDRO_x000D_
House No. 188, Persang Near Water Tank_x000D_
Village - Tuipuibari_x000D_
District - Mamit_x000D_
State- Mizoram_x000D_
Pin - 796431</t>
  </si>
  <si>
    <t>97002704834</t>
  </si>
  <si>
    <t>3472</t>
  </si>
  <si>
    <t>10-May-1987</t>
  </si>
  <si>
    <t>779736584622</t>
  </si>
  <si>
    <t>97000893151</t>
  </si>
  <si>
    <t>341040</t>
  </si>
  <si>
    <t>3468</t>
  </si>
  <si>
    <t>07-Apr-1999</t>
  </si>
  <si>
    <t>Name of NoK - B Vetorchorkhy (Son)_x000D_
S/O - Sungsaral_x000D_
House NO. 52, Forest Veng, Near Presbyterian Church  Tuipubari _x000D_
District - Mamit_x000D_
State- Mizoram_x000D_
Pin - 796431</t>
  </si>
  <si>
    <t>781200825498</t>
  </si>
  <si>
    <t>97008152875</t>
  </si>
  <si>
    <t>7718</t>
  </si>
  <si>
    <t>28-Jun-1978</t>
  </si>
  <si>
    <t>NOK-PARTEROM (WIFE)_x000D_
S/O-JOSEPH TOPNO_x000D_
VILL-TUIPUIBARI_x000D_
PO-W.PHAILENG_x000D_
DIST-MAMIT_x000D_
STATE-MIZORAM_x000D_
PS-W.PHAILENG_x000D_
PIN-796431</t>
  </si>
  <si>
    <t>97009502014</t>
  </si>
  <si>
    <t>11-Nov-2025</t>
  </si>
  <si>
    <t>S/O RAMCHANDER SINGH_x000D_
NoK -ANTONY (SON)_x000D_
Vill -TUIPUIBARI_x000D_
Post W. PHAILENG_x000D_
Dist-MAMIT_x000D_
PS-W. PHAILENG_x000D_
STATE- MIZORAM_x000D_
PIN No-796431</t>
  </si>
  <si>
    <t>991336705609</t>
  </si>
  <si>
    <t>711304130434</t>
  </si>
  <si>
    <t>20174482372</t>
  </si>
  <si>
    <t>4779</t>
  </si>
  <si>
    <t>Name of NoK - Bismoiti  (Wife)_x000D_
S/O - BIHARI NATH _x000D_
House No. 467, Laljury, Near Laljury School, Machmara, Kanchanpur,North Tripura _x000D_
State - Tripura_x000D_
Pin - 799270</t>
  </si>
  <si>
    <t>9860 7757 3790</t>
  </si>
  <si>
    <t>710988628677</t>
  </si>
  <si>
    <t>20174482361</t>
  </si>
  <si>
    <t>8468</t>
  </si>
  <si>
    <t>10-Jul-1998</t>
  </si>
  <si>
    <t>NOK: SANTOSH KUMAR (HUSBAND)_x000D_
W/O: SANTOSH KUMAR_x000D_
VILL: DAPCHHUAH_x000D_
P-O: RAWPUICHHIP_x000D_
DIST: MAMIT_x000D_
STATE: MIZORAM_x000D_
P-S: WEST PHAILENG_x000D_
PIN: 796410</t>
  </si>
  <si>
    <t>97009632124</t>
  </si>
  <si>
    <t>7779</t>
  </si>
  <si>
    <t>27-Mar-2000</t>
  </si>
  <si>
    <t>NOK-PURATI (WIFE)_x000D_
S/O-SAIPUIRAI_x000D_
VILL- TUIPUIBARI_x000D_
PO-WEST PHAILENG_x000D_
DIST-MAMIT_x000D_
STATE-MIZORAM_x000D_
PS-WEST PHAILENG_x000D_
PIN-796431</t>
  </si>
  <si>
    <t>97007873682</t>
  </si>
  <si>
    <t>7891</t>
  </si>
  <si>
    <t>NOK-MUNDARUNG (WIFE)  _x000D_
S/O- NONDOLA _x000D_
VILL- TUIPUIBARI  _x000D_
P.O- TUIPUIBARI  _x000D_
PS- WEST PHAILENG  _x000D_
DIST- MAMIT  _x000D_
STATE- MIZORAM  _x000D_
PIN- 796431</t>
  </si>
  <si>
    <t>97001492309</t>
  </si>
  <si>
    <t>14-Jan-2026</t>
  </si>
  <si>
    <t>7808</t>
  </si>
  <si>
    <t>03-Sep-1997</t>
  </si>
  <si>
    <t>NOK-MOINGSRANGTI (WIFE)_x000D_
S/O-DOSIRAM_x000D_
VILL-TUIPUIBARI_x000D_
P.O-W.PHAILENG_x000D_
DIST-MAMIT_x000D_
STATE-MIZORAM_x000D_
PS-W.PHAILENG_x000D_
PIN-796431</t>
  </si>
  <si>
    <t>97008870294</t>
  </si>
  <si>
    <t>7067</t>
  </si>
  <si>
    <t>97012238770</t>
  </si>
  <si>
    <t>22-Jul-2024</t>
  </si>
  <si>
    <t>S/O LASU MURMU_x000D_
NoK SORES MURMU (SON)_x000D_
Vill -W.PHAILENG_x000D_
Post W. PHAILENG_x000D_
Dist-MAMIT_x000D_
PS-W. PHAILENG_x000D_
STATE- MIZORAM_x000D_
PIN No-796431</t>
  </si>
  <si>
    <t>340078072164</t>
  </si>
  <si>
    <t>97008704282</t>
  </si>
  <si>
    <t>S/O MANGAL KISKU_x000D_
NoK- MILERUNG (DAUGHTER)_x000D_
Vill -TUIPUIBARI_x000D_
Post W. PHAILENG_x000D_
Dist-MAMIT_x000D_
PS-W. PHAILENG_x000D_
STATE- MIZORAM_x000D_
PIN No-796431</t>
  </si>
  <si>
    <t>951087553678</t>
  </si>
  <si>
    <t>780712606717</t>
  </si>
  <si>
    <t>20174482327</t>
  </si>
  <si>
    <t>4712</t>
  </si>
  <si>
    <t>10-May-1991</t>
  </si>
  <si>
    <t>Name of NoK - Rina Chakma (Wife)_x000D_
S/O - GYANA CHAKMA_x000D_
Rajivnagar-1_x000D_
Phaileng_x000D_
District - Mamit_x000D_
State- Mizoram_x000D_
Pin - 796431</t>
  </si>
  <si>
    <t>711448497872</t>
  </si>
  <si>
    <t>97001346652</t>
  </si>
  <si>
    <t>4710</t>
  </si>
  <si>
    <t>16-Sep-1990</t>
  </si>
  <si>
    <t>Name of NoK - Sapna Devi Chakma (Wife)_x000D_
S/O - KANTA ROY CHAKMA _x000D_
House No. 121, Rajivnagar 1 _x000D_
District - Mamit_x000D_
State- Mizoram_x000D_
Pin - 796431</t>
  </si>
  <si>
    <t>780429849641</t>
  </si>
  <si>
    <t>97008849911</t>
  </si>
  <si>
    <t>7418</t>
  </si>
  <si>
    <t>21-Apr-1980</t>
  </si>
  <si>
    <t>NOK-AJON CHAKMA (SON)_x000D_
S/O-KARNA CHAKMA_x000D_
VILL- RAJIV NAGAR I_x000D_
PO-RAJIV NAGAR_x000D_
DIST-MAMMIT_x000D_
STATE-MIZORAM_x000D_
PS-W.PHAILENG_x000D_
PIN-796431</t>
  </si>
  <si>
    <t>20174486014</t>
  </si>
  <si>
    <t>14-Jul-1981</t>
  </si>
  <si>
    <t>Name of NoK - Komola (Wife)_x000D_
S/O - SUMONI_x000D_
Rajivnagar II _x000D_
Rajivnagar II _x000D_
District - Mamit_x000D_
State- Mizoram_x000D_
Pin - 796431</t>
  </si>
  <si>
    <t>711378717186</t>
  </si>
  <si>
    <t>97000845992</t>
  </si>
  <si>
    <t>01-Mar-1982</t>
  </si>
  <si>
    <t>S/O MEICHALUNG KAMEI_x000D_
NoK - Henrita Kamei (Wife)_x000D_
Village - Charoi chakotlong_x000D_
Post -Noney_x000D_
Dist -Noney_x000D_
PS-Noney_x000D_
STATE- Mainipur_x000D_
PIN No-795159</t>
  </si>
  <si>
    <t>751063221941</t>
  </si>
  <si>
    <t>34174575933</t>
  </si>
  <si>
    <t>4601</t>
  </si>
  <si>
    <t>S/O DEVID KAMEI_x000D_
NoK - Mariaklu (Wife)_x000D_
Village - Charoi Tupul_x000D_
Post - Noney (Longmai)_x000D_
Dist -Tamenglong_x000D_
PS-_x000D_
STATE- Manipur_x000D_
PIN No- 795159</t>
  </si>
  <si>
    <t>927226496954</t>
  </si>
  <si>
    <t>34301786895</t>
  </si>
  <si>
    <t>7717</t>
  </si>
  <si>
    <t>NOK-TULARI (WIFE)_x000D_
S/O-BUDHAN LAYAK_x000D_
VILL-KANJKITA_x000D_
PO-SULTANATIKAR_x000D_
DIST-DUMKA_x000D_
STATE-JHARKHAND_x000D_
PS-JARMUNDI_x000D_
PIN-814145</t>
  </si>
  <si>
    <t>97013988552</t>
  </si>
  <si>
    <t>3178</t>
  </si>
  <si>
    <t>28-Apr-1999</t>
  </si>
  <si>
    <t>Name of NoK - Luke Marcus (Son)_x000D_
S/O - JOHAN SINGH_x000D_
H/No 412 Forest Veng, Near PCI Church, Tuipuibari _x000D_
District - Mamit_x000D_
State- Mizoram_x000D_
Pin - 796431</t>
  </si>
  <si>
    <t>779006280611</t>
  </si>
  <si>
    <t>97008152820</t>
  </si>
  <si>
    <t>5422</t>
  </si>
  <si>
    <t>783219540604</t>
  </si>
  <si>
    <t>97014069207</t>
  </si>
  <si>
    <t>337260</t>
  </si>
  <si>
    <t>7289</t>
  </si>
  <si>
    <t>29-Oct-1999</t>
  </si>
  <si>
    <t>NOK-JENNY REFREE (WIFE)_x000D_
S/O-GOLPOMOHON_x000D_
Vill -Tuipuibari_x000D_
Post -W.Phaileng,_x000D_
PS-W.phaileng_x000D_
Dist-Mamit_x000D_
State-Mizoram_x000D_
Pin- 796431</t>
  </si>
  <si>
    <t>97009162666</t>
  </si>
  <si>
    <t>7290</t>
  </si>
  <si>
    <t>08-Jan-2000</t>
  </si>
  <si>
    <t>KRIPA MOHAN _x000D_
(HUSBAND)</t>
  </si>
  <si>
    <t>NOK-KRIPA MOHAN (HUSBAND)_x000D_
S/O-RAMMAWIA_x000D_
Vill -Tuipuibari_x000D_
Post -W.Phaileng,_x000D_
PS-W.phaileng_x000D_
Dist-Mamit_x000D_
State-Mizoram_x000D_
Pin- 796431</t>
  </si>
  <si>
    <t>97008168557</t>
  </si>
  <si>
    <t>8259</t>
  </si>
  <si>
    <t>07-Sep-1999</t>
  </si>
  <si>
    <t>97016097878</t>
  </si>
  <si>
    <t>8373</t>
  </si>
  <si>
    <t>NOK-ANJU DAS (MOTHER)_x000D_
S/O-PARENDRA DAS_x000D_
VILL-LEBURBOND_x000D_
POST-LEBURBOND_x000D_
DISTRICT-CACHAR_x000D_
STATE-ASSAM_x000D_
P.S-SILCHAR_x000D_
PIN-88002</t>
  </si>
  <si>
    <t>44313019668</t>
  </si>
  <si>
    <t>04-Jul-2026</t>
  </si>
  <si>
    <t>8516</t>
  </si>
  <si>
    <t>15-May-1983</t>
  </si>
  <si>
    <t>NOK - NAVIA (SON, 02 YRS), _x000D_
S/O SITARAM, _x000D_
VILL- DAMPARENGPUI, _x000D_
POST- W. PHAILENG, _x000D_
DIST - MAMIT, _x000D_
PS- W. PHAILENG, _x000D_
STATE- MIZORAM, _x000D_
PIN- 796431</t>
  </si>
  <si>
    <t>97001524161</t>
  </si>
  <si>
    <t>10-Aug-2026</t>
  </si>
  <si>
    <t>8517</t>
  </si>
  <si>
    <t>01-Aug-1996</t>
  </si>
  <si>
    <t>NOK - KERESOH (BROTHER), _x000D_
S/O CHHUANMAWIA, _x000D_
VILL- DAMPARENGPUI, _x000D_
POST- DAMPARENGPUI, _x000D_
DIST - MAMIT, _x000D_
PS- W. PHAILENG, _x000D_
STATE- MIZORAM, _x000D_
PIN- 796431</t>
  </si>
  <si>
    <t>97013200461</t>
  </si>
  <si>
    <t>8518</t>
  </si>
  <si>
    <t>12-Feb-1994</t>
  </si>
  <si>
    <t>NOK - ARIEL LALHRIATPUII (DAUGHTER, 04 YRS), _x000D_
D/O CHHUANMAWIA, _x000D_
VILL- DAMPARENGPUI, _x000D_
POST- DAMPARENGPUI, _x000D_
DIST - MAMIT, _x000D_
PS- W. PHAILENG, _x000D_
STATE- MIZORAM, _x000D_
PIN- 796431</t>
  </si>
  <si>
    <t>97007945424</t>
  </si>
  <si>
    <t>2083</t>
  </si>
  <si>
    <t>S/O HUR KUMAR DAS_x000D_
NoK - Laxmi Rani Das (Wife)_x000D_
Village - Debipur_x000D_
Post - Dholai_x000D_
Dist - Cachar_x000D_
PS- Dholai_x000D_
STATE- Assam_x000D_
PIN No- 788114</t>
  </si>
  <si>
    <t>361423679746</t>
  </si>
  <si>
    <t>97013775587</t>
  </si>
  <si>
    <t>8552</t>
  </si>
  <si>
    <t>11-Jan-1980</t>
  </si>
  <si>
    <t>NOK: PARO DEVI (WIFE)
S/O: INDAR BHANDARI
VILL: KANIKITA LAGWA
P-O: SULTANTIKAR
DIST: DUMKA
STATE: JHARKHAND
P-S: JARMUNDI
PIN: 814145</t>
  </si>
  <si>
    <t>6774 7386 2687</t>
  </si>
  <si>
    <t>778850339380</t>
  </si>
  <si>
    <t>36466849345</t>
  </si>
  <si>
    <t>03-Sep-2026</t>
  </si>
  <si>
    <t>8553</t>
  </si>
  <si>
    <t>NOK: SULENA DEVI (WIFE)
S/O: GULU BHANDARI
VILL: KHAROUNI
P-O: GOWARI
DIST: DUMKA
STATE: JHARKHAND
P-S: JAMA
PIN: 814110</t>
  </si>
  <si>
    <t>8448 6973 4827</t>
  </si>
  <si>
    <t>854524967652</t>
  </si>
  <si>
    <t>97014067368</t>
  </si>
  <si>
    <t>8554</t>
  </si>
  <si>
    <t>NOK: KOLI DEVI (WIFE)
S/O KHUTUMAN BHANDARI
VILL: KHAROUNI
P-O: GOWARI
DIST: DUMKA
STATE: JHARKHAND
P-S: JAMA
PIN: 814110</t>
  </si>
  <si>
    <t>6862 2400 9401</t>
  </si>
  <si>
    <t>781386772546</t>
  </si>
  <si>
    <t>97014067493</t>
  </si>
  <si>
    <t>8555</t>
  </si>
  <si>
    <t>03-Apr-1990</t>
  </si>
  <si>
    <t>3671 3127 9795</t>
  </si>
  <si>
    <t>784528035295</t>
  </si>
  <si>
    <t>38060047708</t>
  </si>
  <si>
    <t>163570</t>
  </si>
  <si>
    <t>1532080</t>
  </si>
  <si>
    <t>MR No. 74 RCC/19/ SEP 2026, JOB No. JOB No. 709/157 PMT ON S-T ROAD</t>
  </si>
  <si>
    <t>2365</t>
  </si>
  <si>
    <t>S/O LATE SARAFAT ANSARI_x000D_
NoK -SHAKINA BIBI (WIFE)_x000D_
Village - NAWADIH_x000D_
Post -LAKAR BANK_x000D_
Dist- DUMKA_x000D_
PS-HANSDIHA_x000D_
STATE- JHARKHAND_x000D_
PIN No-814145</t>
  </si>
  <si>
    <t>711884238570</t>
  </si>
  <si>
    <t>97012238736</t>
  </si>
  <si>
    <t>5417</t>
  </si>
  <si>
    <t>Name of NoK - Kabita Devi (Mother)_x000D_
S/O - Mahadev Ray_x000D_
PO - Gowari_x000D_
PS - Dumka_x000D_
Muffsail Sanbani_x000D_
District - Dumka_x000D_
State- Jharkhand_x000D_
Pin - 814158</t>
  </si>
  <si>
    <t>97014069194</t>
  </si>
  <si>
    <t>6936</t>
  </si>
  <si>
    <t>01-Oct-1974</t>
  </si>
  <si>
    <t>S/O SHYAMALAL DHUBI_x000D_
NoK -BHOJAN (SON)_x000D_
Vill -BADRI PART PT-VI_x000D_
Post -MODRIPAR_x000D_
Dist-CACHAR_x000D_
PS-UDHARBOND_x000D_
STATE- ASSAM_x000D_
PIN No-788101</t>
  </si>
  <si>
    <t>97015483774</t>
  </si>
  <si>
    <t>23-Dec-1986</t>
  </si>
  <si>
    <t>S/O BABUL SINGH CHETRI_x000D_
NoK -RASHMI ROY (WIFE)_x000D_
Village - CHENGDUAR BASTI_x000D_
Post -CHENGDUAR_x000D_
Dist -CACHAR_x000D_
PS-SILCHAR_x000D_
STATE- ASSAM_x000D_
PIN No-788026</t>
  </si>
  <si>
    <t>20308696464</t>
  </si>
  <si>
    <t>4658</t>
  </si>
  <si>
    <t>01-Jun-1984</t>
  </si>
  <si>
    <t>S/O SHIBU MARANDI_x000D_
NoK -POL MONI MARANDI (DAUGHTER)_x000D_
Village - CHOKMUHA_x000D_
Post -BARA NARGANJ_x000D_
Dist -DUMKA_x000D_
PS-KATHIKUND_x000D_
STATE- JHARKHAND_x000D_
PIN No-814103</t>
  </si>
  <si>
    <t>20174482780</t>
  </si>
  <si>
    <t>6205</t>
  </si>
  <si>
    <t>07-Apr-1997</t>
  </si>
  <si>
    <t>S/O BARKA HEMBROM_x000D_
NoK -MAKU JORE (MOTHER)_x000D_
Village - MALMAIA_x000D_
Post -DAMA_x000D_
Dist -GODDA_x000D_
PS-DEWDAR_x000D_
STATE- JHARKHAND_x000D_
PIN No-811453</t>
  </si>
  <si>
    <t>781367046373</t>
  </si>
  <si>
    <t>34324427002</t>
  </si>
  <si>
    <t>5539</t>
  </si>
  <si>
    <t>08-Sep-1994</t>
  </si>
  <si>
    <t>S/O LALTHANSANGA_x000D_
NoK -MASOMI REANG (WIFE)_x000D_
Village - WEST PHULPUI_x000D_
Post -PHULDUNGSEI_x000D_
Dist -MAMIT_x000D_
PS-MARPARA_x000D_
STATE- MIZORAM_x000D_
PIN No-796431</t>
  </si>
  <si>
    <t>97003663873</t>
  </si>
  <si>
    <t>14-Dec-1966</t>
  </si>
  <si>
    <t>S/O DOHNEHA_x000D_
NoK -LALCHHANHIMI (WIFE)_x000D_
Village - WEST PHAILENG_x000D_
Post -WEST PHAILENG_x000D_
Dist -MAMIT_x000D_
PS-WEST PHAILENG_x000D_
STATE- MIZORAM_x000D_
PIN No-796431</t>
  </si>
  <si>
    <t>20174486047</t>
  </si>
  <si>
    <t>6393</t>
  </si>
  <si>
    <t>25-Dec-1977</t>
  </si>
  <si>
    <t>S/O TULA_x000D_
NoK -LALRAMMUANPUII (WIFE)_x000D_
Vill -WEST PHAILENG_x000D_
Post -WEST PHAILENG_x000D_
Dist-MAMIT_x000D_
PS-WEST PHAILENG_x000D_
STATE- MIZORAM_x000D_
PIN No-796431</t>
  </si>
  <si>
    <t>97011046056</t>
  </si>
  <si>
    <t>7724</t>
  </si>
  <si>
    <t>04-Feb-2002</t>
  </si>
  <si>
    <t>NOK-KATKI DEVI (MOTHER)_x000D_
S/O-SUKHDEV RAY_x000D_
VILL-MURJORA_x000D_
PO-RANIBAHAL_x000D_
DIST-DUMKA_x000D_
STATE-JHARKHAND_x000D_
PS-MASSANJORE_x000D_
PIN-814144</t>
  </si>
  <si>
    <t>97012709036</t>
  </si>
  <si>
    <t>166720</t>
  </si>
  <si>
    <t>MR No. 74 RCC/20/ SEP 2026, JOB No. JOB No. 709/157 FMN ON S-T ROAD</t>
  </si>
  <si>
    <t>3456</t>
  </si>
  <si>
    <t>11-May-1990</t>
  </si>
  <si>
    <t>Name of NoK - Laldeki (Wife)_x000D_
S/O - Sondojol (L0 _x000D_
Near Presbyterian Church, Persang _x000D_
Tuipuibari_x000D_
District - Mamit_x000D_
State- Mizoram_x000D_
Pin - 796431</t>
  </si>
  <si>
    <t>97004085902</t>
  </si>
  <si>
    <t>2619</t>
  </si>
  <si>
    <t>09-Jun-1966</t>
  </si>
  <si>
    <t>97012347202</t>
  </si>
  <si>
    <t>20174482407</t>
  </si>
  <si>
    <t>8556</t>
  </si>
  <si>
    <t>27-02-1991</t>
  </si>
  <si>
    <t>697119485015</t>
  </si>
  <si>
    <t>97002706558</t>
  </si>
  <si>
    <t>8557</t>
  </si>
  <si>
    <t>08-Jan-1997</t>
  </si>
  <si>
    <t>NOK: DINAMI (WIFE)
S/O: ISLAM
VILL: TUIPUIBARI
P-O: W PHAILENG
DIST: MAMIT
STATE: MIZORAM
P-S: W PHAILENG
PIN: 796441</t>
  </si>
  <si>
    <t>781203338649</t>
  </si>
  <si>
    <t>97013260374</t>
  </si>
  <si>
    <t>8558</t>
  </si>
  <si>
    <t>28-Jan-1984</t>
  </si>
  <si>
    <t>NOK: LALSAWNCHHUAHA (HUSBAND)
D/O: PAKUNGA
VILL: W PHAILENG
P-O: W PHAILENG
DIST: MAMIT
STATE: MIZORAM
P-S: W PHAILENG
PIN: 796431</t>
  </si>
  <si>
    <t>97006183599</t>
  </si>
  <si>
    <t>8559</t>
  </si>
  <si>
    <t>16-May-1991</t>
  </si>
  <si>
    <t>NOK: VANLALNGHAKI (WIFE)
S/O: LALZARA (L)
VILL: NEW WEST PHAILENG
P-O: NEW WEST PHAILENG
DIST: MAMIT
STATE: MIZORAM
P-S: WEST PHAILENG
PIN: 796431</t>
  </si>
  <si>
    <t>784838897393</t>
  </si>
  <si>
    <t>97001137762</t>
  </si>
  <si>
    <t>8560</t>
  </si>
  <si>
    <t>20-Apr-1993</t>
  </si>
  <si>
    <t>NOK: LALRAMMAWII	(WIFE)
S/O: LALZARA (L)
VILL: NEW WEST PHAILENG
P-O: NEW WEST PHAILENG
DIST: MAMIT
STATE: MIZORAM
P-S: WEST PHAILENG
PIN: 796431</t>
  </si>
  <si>
    <t>8292 9792 3921</t>
  </si>
  <si>
    <t>785184016302</t>
  </si>
  <si>
    <t>97007443672</t>
  </si>
  <si>
    <t>8561</t>
  </si>
  <si>
    <t>784928035268</t>
  </si>
  <si>
    <t>41491248356</t>
  </si>
  <si>
    <t>8562</t>
  </si>
  <si>
    <t>NOK: SAKILA KUMARI (WIFE)
S/O: BHUVAN RAY
VILL: KHAROUNI
P-O: GOWARI
DIST: DUMKA
STATE: JHARKHAND
P-S: JAMA
PIN: 814110</t>
  </si>
  <si>
    <t>784528035268</t>
  </si>
  <si>
    <t>43024601461</t>
  </si>
  <si>
    <t>8563</t>
  </si>
  <si>
    <t>20-Apr-2000</t>
  </si>
  <si>
    <t>NOK: PUJA KUMARI (WIFE)
S/O: KAMAL BHANDARI
VILL: MURJORA
P-O: RANIBAHAL
DIST: DUMKA
STATE: JHARKHAND
P-S: MASANJOR
PIN: 814144</t>
  </si>
  <si>
    <t>781203044600</t>
  </si>
  <si>
    <t>38167387804</t>
  </si>
  <si>
    <t>8564</t>
  </si>
  <si>
    <t>NOK: MANISHA KUMARI (WIFE)
S/O: LAXMAN BHANDARI
VILL: KHAROUNI
P-O: GOWARI
DIST: DUMKA
STATE: JHARKHAND
P-S: JAMA
PIN: 814110</t>
  </si>
  <si>
    <t>782380162506</t>
  </si>
  <si>
    <t>97014058581</t>
  </si>
  <si>
    <t>8565</t>
  </si>
  <si>
    <t>97013334994</t>
  </si>
  <si>
    <t>8566</t>
  </si>
  <si>
    <t>NOK: RUKMANI DEVI (WIFE)
S/O: NAKUL RAY
VILL: KUSHAMAHA
P-O: KARBINDHA
DIST: DUMKA
STATE: JHARKHAND
P-S: RAMGARH
PIN: 814158</t>
  </si>
  <si>
    <t>781230854306</t>
  </si>
  <si>
    <t>97013925750</t>
  </si>
  <si>
    <t>186050</t>
  </si>
  <si>
    <t>MR No. 74 RCC/21/ SEP 2026, JOB No. MAINTENANCE KDA ROAD 2026-27</t>
  </si>
  <si>
    <t>2090</t>
  </si>
  <si>
    <t>04-Feb-1999</t>
  </si>
  <si>
    <t>S/O R RAMCHHANA_x000D_
NoK -THANPUIA (BROTHER)_x000D_
Vill -ZANLAWN_x000D_
Post -ZANLAWN_x000D_
Dist-KOLASIB_x000D_
PS-ZANLAWN_x000D_
STATE- MIZORAM_x000D_
PIN No-796014</t>
  </si>
  <si>
    <t>97011443098</t>
  </si>
  <si>
    <t>2094</t>
  </si>
  <si>
    <t>S/O LALCHHANLIANA_x000D_
NoK -LALSIAMTHARA (BROTHER)_x000D_
Vill -ZANLAWN_x000D_
Post -ZANLAWN_x000D_
Dist-KOLASIB_x000D_
PS-ZANLAWN_x000D_
STATE- MIZORAM_x000D_
PIN No-796014</t>
  </si>
  <si>
    <t>97005422304</t>
  </si>
  <si>
    <t>15-Oct-1995</t>
  </si>
  <si>
    <t>S/O ANIL ROY_x000D_
NoK -RAMU ROY (BROTHER)_x000D_
Vill -DHOLAI_x000D_
Post -JOBONGRAM_x000D_
Dist-CACHAR_x000D_
PS-DHOLAI_x000D_
STATE- ASSAM_x000D_
PIN No-788114</t>
  </si>
  <si>
    <t>20308696317</t>
  </si>
  <si>
    <t>2095</t>
  </si>
  <si>
    <t>10-Feb-1976</t>
  </si>
  <si>
    <t>25027034467</t>
  </si>
  <si>
    <t>12-Nov-1989</t>
  </si>
  <si>
    <t>97010510351</t>
  </si>
  <si>
    <t>5137</t>
  </si>
  <si>
    <t>S/O BABURUL ISLAM LASKAR_x000D_
NoK - Jantara_x000D_
Village - Banskandi_x000D_
Post -  Banskandi_x000D_
Dist - Cachar_x000D_
PS- Lakhipur_x000D_
STATE-  Assam_x000D_
PIN No- 788101</t>
  </si>
  <si>
    <t>36478701325</t>
  </si>
  <si>
    <t>4132</t>
  </si>
  <si>
    <t>06-Apr-1977</t>
  </si>
  <si>
    <t>S/O DUKU TUDU_x000D_
NOK- SANGZUALI (WIFE)_x000D_
Vill- Sairang_x000D_
Post- Sairang_x000D_
Distt- Aizawl_x000D_
PS- Sairang_x000D_
State- Mizoram_x000D_
Pin- 796410</t>
  </si>
  <si>
    <t>390749072984</t>
  </si>
  <si>
    <t>97002568618</t>
  </si>
  <si>
    <t>03-Jan-1964</t>
  </si>
  <si>
    <t>S/O Zakhamlung Dangmei_x000D_
NoK - Jesse Kamei (Husband)_x000D_
Village - Charoi chagotlong_x000D_
Post - Noney_x000D_
Dist -Noney_x000D_
PS-_x000D_
STATE- Manipur _x000D_
PIN No-795459</t>
  </si>
  <si>
    <t>443054555918</t>
  </si>
  <si>
    <t>34193778952</t>
  </si>
  <si>
    <t>4704</t>
  </si>
  <si>
    <t>03-Apr-1985</t>
  </si>
  <si>
    <t>S/O MOURUDDIN LASKAR_x000D_
NOK- Bimola Bagam Laskar (Wife)_x000D_
Vill- Nagdirgram_x000D_
Post- Kabuganj_x000D_
Distt- Assam_x000D_
PS- _x000D_
State- Assam_x000D_
Pin- 788121</t>
  </si>
  <si>
    <t>829420934607</t>
  </si>
  <si>
    <t>37313462902</t>
  </si>
  <si>
    <t>S/O SUNDANTO SOBORO_x000D_
NOK- Presilachinathangpi (Wife)_x000D_
Vill- Alangda_x000D_
Post- Sagada_x000D_
Distt- Raygada_x000D_
PS- Puttasingh_x000D_
State- Orissa_x000D_
Pin- 765022</t>
  </si>
  <si>
    <t>875327975994</t>
  </si>
  <si>
    <t>34066282511</t>
  </si>
  <si>
    <t>5101</t>
  </si>
  <si>
    <t>S/O HARENRRA ROY_x000D_
NoK -SUPARNA ROY (WIFE)_x000D_
Vill -JIBONGRAM_x000D_
Post -JIBONGRAM_x000D_
Dist-CACHAR_x000D_
PS-DHOLAI_x000D_
STATE- ASSAM_x000D_
PIN No-788114</t>
  </si>
  <si>
    <t>20078243412</t>
  </si>
  <si>
    <t>4701</t>
  </si>
  <si>
    <t>11-Jan-1995</t>
  </si>
  <si>
    <t>S/O SUNITH ROY_x000D_
Nok-NIBEDITA ROY (WIFE)_x000D_
Vill- JIBANGRAM_x000D_
Post-JIBANGRAM_x000D_
Distt- CACHAR_x000D_
State-ASSAM_x000D_
PS- DHOLAI_x000D_
Pin- 788114</t>
  </si>
  <si>
    <t>20174487165</t>
  </si>
  <si>
    <t>04-Oct-1976</t>
  </si>
  <si>
    <t>S/O CHUTU SOREN_x000D_
NOK- Barnaba soren (Son)_x000D_
Vill- Sairang_x000D_
Post- Sairang_x000D_
Distt- Aizawl_x000D_
PS- Sairang_x000D_
State- Mizoram_x000D_
Pin- 796410</t>
  </si>
  <si>
    <t>544126212766</t>
  </si>
  <si>
    <t>33966434800</t>
  </si>
  <si>
    <t>5065</t>
  </si>
  <si>
    <t>S/O BHUDURAM SINGH_x000D_
NOK- Ratna Munda (Daughter)_x000D_
Vill- Rangpur_x000D_
Post- Rangpur_x000D_
Distt- Cachar_x000D_
PS- Udhabon_x000D_
State- Jharkhand_x000D_
Pin- 788001</t>
  </si>
  <si>
    <t>518546422485</t>
  </si>
  <si>
    <t>20384990646</t>
  </si>
  <si>
    <t>4814</t>
  </si>
  <si>
    <t>13-Jan-1997</t>
  </si>
  <si>
    <t>S/O CHONDU MIYA LASKAR_x000D_
NoK - Chondu Miya Laskar (Father)_x000D_
Village - Nagdirgram_x000D_
Post - Kabuganj Bazar_x000D_
Dist - Cachar_x000D_
PS - Sonai_x000D_
STATE- Assam_x000D_
PIN No - 788121</t>
  </si>
  <si>
    <t>37714988621</t>
  </si>
  <si>
    <t>6212</t>
  </si>
  <si>
    <t>S/O HARDINGLA MONDAL_x000D_
NoK-Surat Mondal (Son)_x000D_
Vill -Rupa_x000D_
Post-Rupa_x000D_
Dist-West Kameng_x000D_
PS-_x000D_
STATE- Arunachal Pradesh_x000D_
PIN No-790003</t>
  </si>
  <si>
    <t>431557301779</t>
  </si>
  <si>
    <t>97013287910</t>
  </si>
  <si>
    <t>4211</t>
  </si>
  <si>
    <t>31-Aug-1984</t>
  </si>
  <si>
    <t>S/O YOGEN TANTUBAI_x000D_
NoK -PAMP TANTUBAI (WIFE)_x000D_
Vill -NARAINPUR_x000D_
Post -KALACHANPUR_x000D_
Dist-CAHAR_x000D_
PS-LAKHIPUR_x000D_
STATE- ASSAM_x000D_
PIN No-788098</t>
  </si>
  <si>
    <t>REMEDICAL_x000D_
CHANGED A/C WEF 01 APR 2024</t>
  </si>
  <si>
    <t>42674164867</t>
  </si>
  <si>
    <t>S/O BOSIR AHMED BARBHUIYA_x000D_
NoK -JUMA BEGUM (WIFE)_x000D_
Vill -MEHERPUR_x000D_
Post -MEHERPUR_x000D_
Dist-CAHAR_x000D_
PS-SHADAIR_x000D_
STATE- ASSAM_x000D_
PIN No-788015</t>
  </si>
  <si>
    <t>REMEDICAL_x000D_
CHANGED A/C WEF 21 APR 2025_x000D_
OLD A/C 97008704271</t>
  </si>
  <si>
    <t>43690158856</t>
  </si>
  <si>
    <t>4414</t>
  </si>
  <si>
    <t>04-Apr-1997</t>
  </si>
  <si>
    <t>S/O Lt.RABIJUL ALI LASKAR_x000D_
NoK -RABNA (SISTER)_x000D_
Vill -PACHADHAR_x000D_
Post -KHELMA_x000D_
Dist-CAHAR_x000D_
PS-TARAPUR_x000D_
STATE- ASSAM_x000D_
PIN No-788003</t>
  </si>
  <si>
    <t>20174482145</t>
  </si>
  <si>
    <t>7359</t>
  </si>
  <si>
    <t>22-Jan-1994</t>
  </si>
  <si>
    <t>NOK-MARJINA BEGAM (WIFE)_x000D_
S/O-SONAHAR ALI LASKAR_x000D_
VILL- RAMNAGAR_x000D_
PO-PECHADAHAR_x000D_
DIST-CACHAR_x000D_
STATE-ASSAM_x000D_
PS-TARAPUR_x000D_
PIN-788003</t>
  </si>
  <si>
    <t>97010040281</t>
  </si>
  <si>
    <t>6822</t>
  </si>
  <si>
    <t>SALIM UDDIN AHMED</t>
  </si>
  <si>
    <t>32017501626</t>
  </si>
  <si>
    <t>21-Feb-2024</t>
  </si>
  <si>
    <t>7531</t>
  </si>
  <si>
    <t>NOK-PARMILA AND PRIYA (DAUGHTER)_x000D_
S/O-BUDHAN DEHRI_x000D_
VILL-BARMASIA_x000D_
P.O-SALDAHA_x000D_
DIST-DUMKA_x000D_
PS-KATHIKUND_x000D_
STATE-JHARKHAND_x000D_
PIN-814103</t>
  </si>
  <si>
    <t>97004549604</t>
  </si>
  <si>
    <t>7645</t>
  </si>
  <si>
    <t>25-Feb-2005</t>
  </si>
  <si>
    <t>NOK-SUSHANTA ROY (BROTHER)_x000D_
S/O-SUNIT ROY_x000D_
VILL-JIBANGARAM_x000D_
P.O-JIBANGARAM_x000D_
DIST-CACHAR_x000D_
PS-DHOLAI_x000D_
STATE-ASSAM_x000D_
PIN-788114</t>
  </si>
  <si>
    <t>97013193134</t>
  </si>
  <si>
    <t>22-Sep-2025</t>
  </si>
  <si>
    <t>7746</t>
  </si>
  <si>
    <t>14-Mar-2006</t>
  </si>
  <si>
    <t>NOK-LALCHHANDAMA (BROTHER)_x000D_
S/O-VANLALHRUAII_x000D_
VILLAGE - KHAMRANG_x000D_
P.O-SAIRANG_x000D_
DISTRICT-KAWNPUI_x000D_
STATE-MIZORAM_x000D_
P.S-KOLASIB_x000D_
Pin - 796410</t>
  </si>
  <si>
    <t>97017003504</t>
  </si>
  <si>
    <t>SUBMITTED _x000D_
NOV 2025</t>
  </si>
  <si>
    <t>7811</t>
  </si>
  <si>
    <t>10-Jan-1978</t>
  </si>
  <si>
    <t>NOK-BOBATA ROY (WIFE)_x000D_
S/O-SURENDRA ROY_x000D_
VILLAGE - JIBANGRAM_x000D_
P.O-BIBANGRAM_x000D_
DISTRICT-CACHAR_x000D_
STATE-ASSAM_x000D_
P.S-DHOLAI_x000D_
Pin - 788114</t>
  </si>
  <si>
    <t>40710755060</t>
  </si>
  <si>
    <t>7815</t>
  </si>
  <si>
    <t>NOK-CHAMPHA DAVI (WIFE)_x000D_
S/O-SURAJ MURMU_x000D_
VILLAGE - SUGABATHAN_x000D_
P.O-HARIYARI_x000D_
P.S-HARIYARI_x000D_
DISTRICT-GODDA_x000D_
STATE-JHARKHAND_x000D_
Pin - 814153</t>
  </si>
  <si>
    <t>97013966140</t>
  </si>
  <si>
    <t>7818</t>
  </si>
  <si>
    <t>01-Mar-1998</t>
  </si>
  <si>
    <t>NOK-PARAMILA KUMI DEHRI (SISTER)_x000D_
S/O-HARADHAN DEHRI_x000D_
VILLAGE - SAIRANG_x000D_
P.O-SAIRANG_x000D_
P.S-SAIRANG_x000D_
DISTRICT-AIZAWL_x000D_
STATE-MIZORAM_x000D_
Pin - 796410</t>
  </si>
  <si>
    <t>97008700469</t>
  </si>
  <si>
    <t>7899</t>
  </si>
  <si>
    <t>01-Oct-1977</t>
  </si>
  <si>
    <t>NOK-MAWII (DAUGHTER)_x000D_
S/O-SIAMLIANA_x000D_
VILLAGE - KAWNPUI_x000D_
P.O-KAWNPUI_x000D_
P.S-KAWNPUI_x000D_
DISTRICT-KALASIB_x000D_
STATE-MIZORAM_x000D_
Pin - 796070</t>
  </si>
  <si>
    <t>43831125878</t>
  </si>
  <si>
    <t>7900</t>
  </si>
  <si>
    <t>08-Sep-2005</t>
  </si>
  <si>
    <t>NOK-VANLALHRUAII (MOTHER)_x000D_
S/O-VIKASH KARJI_x000D_
VILLAGE - KHAMRANG_x000D_
P.O-KAWNPUI_x000D_
P.S-KAWNPUI_x000D_
DISTRICT-KALASIB_x000D_
STATE-MIZORAM_x000D_
Pin - 796070</t>
  </si>
  <si>
    <t>97011984810</t>
  </si>
  <si>
    <t>7985</t>
  </si>
  <si>
    <t>01-May-1980</t>
  </si>
  <si>
    <t>NOK-MUNNI RAVA (SISTER)_x000D_
S/O-LALDUHKIMA_x000D_
Vill -ZANLAWN_x000D_
Post -ZANLAWN_x000D_
Dist-KALASIB_x000D_
State-MIZORAM_x000D_
PS-KAWNPUI_x000D_
Pin- 796014</t>
  </si>
  <si>
    <t>20283088697</t>
  </si>
  <si>
    <t>7986</t>
  </si>
  <si>
    <t>26-Aug-1978</t>
  </si>
  <si>
    <t>NOK-SANI (WIFE)_x000D_
S/O-VANLALHRUAIA_x000D_
Vill -ZANLAWN_x000D_
Post -ZANLAWN_x000D_
Dist-KALASIB_x000D_
State-MIZORAM_x000D_
PS-KAWNPUI_x000D_
Pin- 796014</t>
  </si>
  <si>
    <t>20405621690</t>
  </si>
  <si>
    <t>7987</t>
  </si>
  <si>
    <t>05-Jul-1998</t>
  </si>
  <si>
    <t>NOK-LALDINSANGI (WIFE)_x000D_
S/O-LALHMACHHUANA_x000D_
Vill -SERKHAN_x000D_
Post -BAWNGPU_x000D_
Dist-KALASIB_x000D_
State-MIZORAM_x000D_
PS-KAWNPUI_x000D_
Pin- 796007</t>
  </si>
  <si>
    <t>97012519943</t>
  </si>
  <si>
    <t>5066</t>
  </si>
  <si>
    <t>26-Mar-1972</t>
  </si>
  <si>
    <t>Name of NoK - Bijoy Suklabbin (Son)_x000D_
S/O - PARESH SHUKLA BAIDYA _x000D_
House No. 061, Part 52, Near Botel Bazar, Manubhyali_x000D_
District - Unakoti_x000D_
State- Tripura_x000D_
Pin - 799277</t>
  </si>
  <si>
    <t>33966457103</t>
  </si>
  <si>
    <t>7652</t>
  </si>
  <si>
    <t>05-Sep-2000</t>
  </si>
  <si>
    <t>NOK-SUSILA HANSDA  (WIFE)_x000D_
S/O-SONALAL KISKU _x000D_
VILL-HETH BHELWA_x000D_
P.O-THARIHAT_x000D_
DIST-DUMKA_x000D_
PS-RAMGARH_x000D_
STATE-JHARKHAND_x000D_
PIN-814158</t>
  </si>
  <si>
    <t>97011046567</t>
  </si>
  <si>
    <t>7655</t>
  </si>
  <si>
    <t>NOK-PAKU HEMRAM (SISTER)_x000D_
S/O-FOGDA HEMBRAM_x000D_
VILL-SIDBANK_x000D_
P.O-KAIRASOL_x000D_
DIST-GODDA_x000D_
PS-DEODANR_x000D_
STATE-JHARKHAND_x000D_
PIN-814102</t>
  </si>
  <si>
    <t>97014971433</t>
  </si>
  <si>
    <t>7813</t>
  </si>
  <si>
    <t>NOK-MOUSAMI DAS (WIFE)_x000D_
S/O-KUTULAL DAS_x000D_
VILLAGE - GANGAPUR_x000D_
P.O-GANGAPUR_x000D_
P.S-KATIGORH_x000D_
DISTRICT-CACHAR_x000D_
STATE-ASSAM_x000D_
Pin - 788804</t>
  </si>
  <si>
    <t>35801231382</t>
  </si>
  <si>
    <t>7657</t>
  </si>
  <si>
    <t>28-Feb-1995</t>
  </si>
  <si>
    <t>NOK-SUNITA TUDU (WIFE)_x000D_
S/O-DRAYAWAR HEMBRAM_x000D_
VILL-SIDBANK_x000D_
P.O-KAIRASOL_x000D_
DIST-GODDA_x000D_
PS-DEODANR_x000D_
STATE-JHARKHAND_x000D_
PIN-814102</t>
  </si>
  <si>
    <t>36887778519</t>
  </si>
  <si>
    <t>7658</t>
  </si>
  <si>
    <t>NOK-BHAILIL BASKHI (MOTHER)_x000D_
S/O-CHUNDA KISKU_x000D_
VILL-KUSHBONA_x000D_
P.O-KOLHABADAR_x000D_
DIST-DUMKA_x000D_
PS-SHIKARIPARA_x000D_
STATE-JHARKHAND_x000D_
PIN-816118</t>
  </si>
  <si>
    <t>97016988683</t>
  </si>
  <si>
    <t>7651</t>
  </si>
  <si>
    <t>NOK-PRIYANKA SOREN (WIFE)_x000D_
S/O-VIJAY MARANDI_x000D_
VILL-KUSHBONA_x000D_
P.O-KOLHABADAR_x000D_
DIST-DUMKA_x000D_
PS-SHIKARI PARA_x000D_
STATE-JHARKHAND_x000D_
PIN-816118</t>
  </si>
  <si>
    <t>97013772019</t>
  </si>
  <si>
    <t>7675</t>
  </si>
  <si>
    <t>26-Apr-1983</t>
  </si>
  <si>
    <t>NOK-VL FELFAKIMA (HUSBAND)_x000D_
S/O-LALTHUAMA SAILO_x000D_
VILL-MKA 7 KANAN_x000D_
P.O-VAIVAKAWN_x000D_
DIST-AIZAWL_x000D_
PS-VAIVAKAWN_x000D_
STATE-MIZORAM_x000D_
PIN-796009</t>
  </si>
  <si>
    <t>20266196841</t>
  </si>
  <si>
    <t>7896</t>
  </si>
  <si>
    <t>NOK-GITA DAVI (WIFE)_x000D_
S/O-GANESH DARVE_x000D_
VILL-TULSI_x000D_
P.O-KURMAHAT_x000D_
DIST-DUMKA_x000D_
PS-HANSDIHA_x000D_
STATE-JHARKHAND_x000D_
PIN-814145</t>
  </si>
  <si>
    <t>97013396906</t>
  </si>
  <si>
    <t>1506</t>
  </si>
  <si>
    <t>05-Feb-1973</t>
  </si>
  <si>
    <t>S/O JAYDHAN MALAKAR_x000D_
NoK-SUTAPA SINGHA (WIFE)_x000D_
Vill -FESH NAGAR_x000D_
Post FRENCH NAGAR_x000D_
Dist-ASSAM_x000D_
PS-_x000D_
STATE- ASSAM_x000D_
PIN No-788120</t>
  </si>
  <si>
    <t>799049264027</t>
  </si>
  <si>
    <t>20174482281</t>
  </si>
  <si>
    <t>5373</t>
  </si>
  <si>
    <t>03-Nov-1988</t>
  </si>
  <si>
    <t>S/O P.G.SANGZUALA_x000D_
NOK- Vanlalmawii (Father)_x000D_
Vill- Lungdai_x000D_
Post- Lungpai_x000D_
Distt- Kolasib_x000D_
PS- _x000D_
State- Mizoram_x000D_
Pin- 796014</t>
  </si>
  <si>
    <t>878501070943</t>
  </si>
  <si>
    <t>25027013210</t>
  </si>
  <si>
    <t>09-Sep-1975</t>
  </si>
  <si>
    <t>S/O Lt BIRSA TOPNO_x000D_
NOK- Sumia Roy (Wife)_x000D_
Vill- Gitilpiri_x000D_
Post- Bamhani_x000D_
Distt-Patur_x000D_
PS- Torpa_x000D_
State- Jharkhand_x000D_
Pin- 835227</t>
  </si>
  <si>
    <t>230838276481</t>
  </si>
  <si>
    <t>33963790088</t>
  </si>
  <si>
    <t>5062</t>
  </si>
  <si>
    <t>22-May-1985</t>
  </si>
  <si>
    <t>S/O PRADDUNA ROY_x000D_
Nok- ANJALI ROY (WIFE)_x000D_
Vill- JIWANGRAM_x000D_
Post-JIBANGRAM_x000D_
Distt- CACHAR_x000D_
State- ASSAM_x000D_
PS- DHOLAI_x000D_
Pin- 788114</t>
  </si>
  <si>
    <t>33966455366</t>
  </si>
  <si>
    <t>7529</t>
  </si>
  <si>
    <t>13-May-1977</t>
  </si>
  <si>
    <t>NOK-ROBINA (WIFE)_x000D_
S/O-BUDHRAI SOREN_x000D_
VILL-NEAR FIELD, SAIRANG_x000D_
P.O-SAIRANG_x000D_
DIST-AIZAWL_x000D_
PS-SAIRANG_x000D_
STATE-MIZORAM_x000D_
PIN-796410</t>
  </si>
  <si>
    <t>97012682728</t>
  </si>
  <si>
    <t>8080</t>
  </si>
  <si>
    <t>97013419960</t>
  </si>
  <si>
    <t>8266</t>
  </si>
  <si>
    <t>11-Aug-1999</t>
  </si>
  <si>
    <t>NOK- RABEN TANTUBAY (FATHER)_x000D_
S/O- RABEN TANTUBAY_x000D_
VILL- NARAYNPUR_x000D_
PO- KALACHANDPUR_x000D_
DIST- CACHAR_x000D_
STATE- ASSAM_x000D_
PS- LAKHIPUR_x000D_
PIN- 788098</t>
  </si>
  <si>
    <t>42524535814</t>
  </si>
  <si>
    <t>8267</t>
  </si>
  <si>
    <t>NOK- DIPA TANTUBAI (WIFE)_x000D_
W/O- RABAN TANTUBAI_x000D_
VILL- NARAINPUR_x000D_
PO- KALACHANDPUR_x000D_
DIST- CACHAR_x000D_
STATE- ASSAM_x000D_
PS- LAKHIPUR_x000D_
PIN- 788098</t>
  </si>
  <si>
    <t>42935712695</t>
  </si>
  <si>
    <t>6816</t>
  </si>
  <si>
    <t>S/O JIVAN KOL_x000D_
NoK -RAMJBON (SON)_x000D_
Vill -AAMJHARI_x000D_
Post -AAMRAPAR_x000D_
Dist-PAKUR_x000D_
PS-AMRAPAR_x000D_
STATE- JHARKHAND_x000D_
PIN No-814111</t>
  </si>
  <si>
    <t>97012218845</t>
  </si>
  <si>
    <t>7530</t>
  </si>
  <si>
    <t>NOK-SURESH MARANDI (HUSBAND)_x000D_
S/O-MANTRI MURMU_x000D_
VILL-THANA SHIKARI PARA_x000D_
P.O-KOTHABADUR_x000D_
DIST-DUMKA_x000D_
PS-SUNDARPLAN_x000D_
STATE-JHARKHAND_x000D_
PIN-816118</t>
  </si>
  <si>
    <t>34611555083</t>
  </si>
  <si>
    <t>MR No. 74 RCC/22/ SEP 2026, JOB No. MAINT S-T ROAD 2026-27 (KM 31.12 TO 42.00)</t>
  </si>
  <si>
    <t>3226</t>
  </si>
  <si>
    <t>S/O MANGAL MARANDI_x000D_
NoK MAKU TUDU (WIFE)_x000D_
Vill -SIRSAPARA_x000D_
Post RDGNATH_x000D_
Dist-DUMKA_x000D_
PS-_x000D_
STATE- JHARKHAND_x000D_
PIN No-814148</t>
  </si>
  <si>
    <t>254595747162</t>
  </si>
  <si>
    <t>40024985174</t>
  </si>
  <si>
    <t>7042</t>
  </si>
  <si>
    <t>06-Jan-2000</t>
  </si>
  <si>
    <t>Nok- Nijir Hussain (Brother)_x000D_
S/O Jasim Uddin Laskar_x000D_
Vill- Tarapur Pt IV_x000D_
Post- Tarapur_x000D_
Distt- Cachar_x000D_
PS- Tarapur_x000D_
State- Assam_x000D_
Pin- 788003</t>
  </si>
  <si>
    <t>42701525634</t>
  </si>
  <si>
    <t>6608</t>
  </si>
  <si>
    <t>15-Jul-1985</t>
  </si>
  <si>
    <t>S/O KUTULAL DAS_x000D_
NoK -RUPANA DAS (WIFE)_x000D_
Vill -NIZ KATIGORAH_x000D_
Post -GANGAPUR_x000D_
Dist-CACHAR_x000D_
PS-GANGAPUR_x000D_
STATE- ASSAM_x000D_
PIN No-788804</t>
  </si>
  <si>
    <t>20437964244</t>
  </si>
  <si>
    <t>6616</t>
  </si>
  <si>
    <t>15-Jan-1983</t>
  </si>
  <si>
    <t>20228861622</t>
  </si>
  <si>
    <t>16-Sep-2024</t>
  </si>
  <si>
    <t>S/O MONIR ALI LASKAR_x000D_
NoK - FULNEHAR LASKAR (Wife)_x000D_
Village - Pechadhar_x000D_
Tarapur Pt IV_x000D_
Tarapur_x000D_
Dist - Cachar_x000D_
State -  Assam _x000D_
Pin - 788003</t>
  </si>
  <si>
    <t>97009891984</t>
  </si>
  <si>
    <t>4537</t>
  </si>
  <si>
    <t>10-Apr-1974</t>
  </si>
  <si>
    <t>S/O CHORA SINGHA_x000D_
NoK -HARI TAMBI (WIFE)_x000D_
Vill -JARULTALA_x000D_
Post -JARULTALA_x000D_
Dist-CAHAR_x000D_
PS-DHOLAI_x000D_
STATE- ASSAM_x000D_
PIN No-788114</t>
  </si>
  <si>
    <t>11750800749</t>
  </si>
  <si>
    <t>S/O PUDHAN KARJI_x000D_
NOK- Vanlalhruii (Wife)_x000D_
Vill- Khamrang_x000D_
Post- Kawnpui_x000D_
Distt- Kolasib_x000D_
PS- Kawnpui_x000D_
State- Mizoram_x000D_
Pin- 796070</t>
  </si>
  <si>
    <t>310470978162</t>
  </si>
  <si>
    <t>34066285578</t>
  </si>
  <si>
    <t>8268</t>
  </si>
  <si>
    <t>NOK- ANUS MARANDI (DAUGHTER)_x000D_
W/O- JIVAN KOLIN_x000D_
VILL- AAMJHARI_x000D_
PO- AMRAPARA_x000D_
DIST- PAKAUR_x000D_
STATE- JHARKHAND_x000D_
PS- AMRAPARA_x000D_
PIN- 814111</t>
  </si>
  <si>
    <t>97012218823</t>
  </si>
  <si>
    <t>3143</t>
  </si>
  <si>
    <t>08-Jan-2003</t>
  </si>
  <si>
    <t>S/O SANJAY SUBRO_x000D_
NoK -SIMA BABRO (MOTHER)_x000D_
Village - SERKHAN_x000D_
Post -SERKHAND_x000D_
Dist -KOLASIB_x000D_
PS-KAWNPUI_x000D_
STATE- MIZORAM_x000D_
PIN No-796007</t>
  </si>
  <si>
    <t>97012248519</t>
  </si>
  <si>
    <t>S/O HARI PADA RUDRAPAL_x000D_
NoK - Mousumi Paul (Wife)_x000D_
Village - Lankamura_x000D_
Post -Lankamura_x000D_
Dist -West Tripura_x000D_
PS- _x000D_
STATE-Tripura _x000D_
PIN No-799009</t>
  </si>
  <si>
    <t>471618605721</t>
  </si>
  <si>
    <t>30880418272</t>
  </si>
  <si>
    <t>2647</t>
  </si>
  <si>
    <t>11-Jan-1991</t>
  </si>
  <si>
    <t>S/O IMADUL ISLAM LASKAR_x000D_
NoK -IMADUL ISLAM LASKAR (Husband)_x000D_
Village - Pachadhar_x000D_
Post -Khelma_x000D_
Dist -Cachar_x000D_
PS-Tarapur_x000D_
STATE- Assam_x000D_
PIN No-788003</t>
  </si>
  <si>
    <t>338829567376</t>
  </si>
  <si>
    <t>97010040269</t>
  </si>
  <si>
    <t>4479</t>
  </si>
  <si>
    <t>10-Feb-1989</t>
  </si>
  <si>
    <t>S/O BASARAT ALI LASKAR_x000D_
NoK -Fulnehar Begum Laskar (Wife)_x000D_
Village - Ramnagar_x000D_
Post - Tarapur_x000D_
Dist -Cachar_x000D_
PS - Tarapur_x000D_
STATE - Assam_x000D_
PIN No - 766003</t>
  </si>
  <si>
    <t>826529597339</t>
  </si>
  <si>
    <t>97010040270</t>
  </si>
  <si>
    <t>5067</t>
  </si>
  <si>
    <t>15-Aug-1988</t>
  </si>
  <si>
    <t>S/O HAR KUMAR ROY_x000D_
NoK - HAR KUMAR ROY (FATHER)_x000D_
Vill -JOBON GRAM_x000D_
Post -JOBONGRAM_x000D_
Dist-CACHAR_x000D_
PS-DHOLAI_x000D_
STATE- ASSAM_x000D_
PIN No-788114</t>
  </si>
  <si>
    <t>33801328288</t>
  </si>
  <si>
    <t>7072</t>
  </si>
  <si>
    <t>12-Jan-2005</t>
  </si>
  <si>
    <t>Name of NoK - Fakrul Islam Laskar (Father)_x000D_
S/O - Fakrul Islam Laskar_x000D_
Village - Pachadhar_x000D_
Post - Khalma_x000D_
PS - Tarapur_x000D_
Dist - Cachar_x000D_
State - Asam_x000D_
Pin - 788003</t>
  </si>
  <si>
    <t>43181345278</t>
  </si>
  <si>
    <t>5200</t>
  </si>
  <si>
    <t>06-Jan-2005</t>
  </si>
  <si>
    <t>S/O LALPARMAWII_x000D_
NoK -LALPARMAWII (Mother)_x000D_
Vill -Khanrang_x000D_
Post -Kawnpui_x000D_
Dist-Kolasib_x000D_
PS-Kawnpui_x000D_
STATE- Mizoram_x000D_
PIN No-796070</t>
  </si>
  <si>
    <t>229122062053</t>
  </si>
  <si>
    <t>97013159342</t>
  </si>
  <si>
    <t>6655</t>
  </si>
  <si>
    <t>17-Aug-1975</t>
  </si>
  <si>
    <t>S/O RAMHLUNTHANGA_x000D_
Nok- Laldingsangi (Wife)_x000D_
Vill- Zanlawn_x000D_
Post- Zanlawn_x000D_
Dist- Kolashib_x000D_
State-Mizoram_x000D_
PS- Kawnpui_x000D_
Pin-796014</t>
  </si>
  <si>
    <t>328257115338</t>
  </si>
  <si>
    <t>25004040375</t>
  </si>
  <si>
    <t>6309</t>
  </si>
  <si>
    <t>08-Feb-1975</t>
  </si>
  <si>
    <t>RAJKISHOR TIWARI_x000D_
NOK- P Kumar Tiwar (Son)_x000D_
Vill- Kanchanpur_x000D_
Post- Deoria_x000D_
Distt- Deoria_x000D_
PS- Deoria_x000D_
State- Uttar Pradesh_x000D_
Pin- 274408</t>
  </si>
  <si>
    <t>376302258937</t>
  </si>
  <si>
    <t>31456543867</t>
  </si>
  <si>
    <t>7343</t>
  </si>
  <si>
    <t>27-May-1981</t>
  </si>
  <si>
    <t>NoK -Suniram Marandi (Brother)_x000D_
S/o- Lakhiram Marandi_x000D_
Vill -near Mandir_x000D_
Post -Near Mandir_x000D_
Dist-Dumka_x000D_
PS-Krumba_x000D_
STATE- Jharkhand_x000D_
PIN No-814101</t>
  </si>
  <si>
    <t>2953 0292 9975</t>
  </si>
  <si>
    <t>33966427554</t>
  </si>
  <si>
    <t>7344</t>
  </si>
  <si>
    <t>NoK -Subinu Babe (Wife)_x000D_
S/o- Sajitul Miyan_x000D_
Vill -Kharkhiya_x000D_
Post -Bora Banjhi_x000D_
Dist-Godda_x000D_
PS-Poraiyahat_x000D_
STATE- Jharkhand_x000D_
PIN No-814153</t>
  </si>
  <si>
    <t>11695408529</t>
  </si>
  <si>
    <t>7661</t>
  </si>
  <si>
    <t>05-Jan-1992</t>
  </si>
  <si>
    <t>NOK-KANCHAN MALA CHAKMA (WIFE)_x000D_
S/O-ARUN UDAY CHAKMA_x000D_
VILL-HRUIDUK_x000D_
P.O-MARPARA_x000D_
DIST-MAMIT_x000D_
PS-MARAPARA_x000D_
STATE-MIZORAM_x000D_
PIN-796431</t>
  </si>
  <si>
    <t>37941514649</t>
  </si>
  <si>
    <t>14-Oct-2025</t>
  </si>
  <si>
    <t>S/O BASARAT ALI LASKAR_x000D_
NOK- Fulnehar Laskar (Wife)_x000D_
Vill- Pachadhar_x000D_
Post- Khelma_x000D_
Distt-Cachar_x000D_
PS- Tarapur_x000D_
State- Assam_x000D_
Pin- 788003</t>
  </si>
  <si>
    <t>546805419779</t>
  </si>
  <si>
    <t>20165781962</t>
  </si>
  <si>
    <t>20-Jun-1990</t>
  </si>
  <si>
    <t>S/O KUTULAL DAS_x000D_
NoK - Sumidas_x000D_
Village - Gangapur_x000D_
Post - Gangapur_x000D_
Dist - Cachar_x000D_
PS - Kathi Gorah_x000D_
STATE-  Assam_x000D_
PIN - 788 804</t>
  </si>
  <si>
    <t>35394607426</t>
  </si>
  <si>
    <t>6609</t>
  </si>
  <si>
    <t>S/O HORENDAR ROY_x000D_
NoK -RINKU ROY (BROTHER)_x000D_
Vill -JIBANGRAM_x000D_
Post -JIBANGRAM_x000D_
Dist-CACHAR_x000D_
PS-DOHLAI_x000D_
STATE- ASSAM_x000D_
PIN No-788114</t>
  </si>
  <si>
    <t>37355119475</t>
  </si>
  <si>
    <t>8360</t>
  </si>
  <si>
    <t>13-Aug-1999</t>
  </si>
  <si>
    <t>NOK: SADHONA ROY (WIFE)_x000D_
S/O: HAROKUMAR ROY_x000D_
VILL: BHUBANDAR_x000D_
P-O: BHUBANDAR_x000D_
DIST: CACHAR_x000D_
STATE: ASSAM_x000D_
P-S: DHOLAI_x000D_
PIN: 788114</t>
  </si>
  <si>
    <t>20174484391</t>
  </si>
  <si>
    <t>7997</t>
  </si>
  <si>
    <t>NAZIM UDDIN</t>
  </si>
  <si>
    <t>10-Jan-1990</t>
  </si>
  <si>
    <t>NOK-ATARALI (FATHER)_x000D_
S/O-ATAR ALI_x000D_
Vill -NUTAN KANCHANDPUR_x000D_
Post -HATIKHAL_x000D_
Dist-CAHCAR_x000D_
State-ASSAM_x000D_
PS-SONAI_x000D_
Pin- 788116</t>
  </si>
  <si>
    <t>97017285884</t>
  </si>
  <si>
    <t>8307</t>
  </si>
  <si>
    <t>31-Dec-1981</t>
  </si>
  <si>
    <t>NOK- SAHANARA BEGOM (WIFE)_x000D_
S/O- HAZI MAKBUL ALI LASKAR_x000D_
VILL- NAGDIRGRAM_x000D_
PO- NAGDIRGRAM_x000D_
DIST- CACHAR_x000D_
STATE- ASSAM_x000D_
PS- SONAI_x000D_
PIN- 788121</t>
  </si>
  <si>
    <t>32425061952</t>
  </si>
  <si>
    <t>07-May-2026</t>
  </si>
  <si>
    <t>7817</t>
  </si>
  <si>
    <t>21-Mar-1993</t>
  </si>
  <si>
    <t>97009790362</t>
  </si>
  <si>
    <t>SUBMITTED NOV 2025</t>
  </si>
  <si>
    <t>7992</t>
  </si>
  <si>
    <t>30-Aug-1985</t>
  </si>
  <si>
    <t>NOK-FAIJUR RAHMAN (FATHER)_x000D_
S/O-FAIZUR RAHMAN AHMED_x000D_
Vill -NUTAN CANCHANPUR_x000D_
Post -HATHIKHAL_x000D_
Dist-SONAI_x000D_
State-ASSAM_x000D_
PS-SONAI_x000D_
Pin- 788116</t>
  </si>
  <si>
    <t>43658828890</t>
  </si>
  <si>
    <t>8262</t>
  </si>
  <si>
    <t>20-Jan-1996</t>
  </si>
  <si>
    <t>39189895167</t>
  </si>
  <si>
    <t>8263</t>
  </si>
  <si>
    <t>31-Dec-1996</t>
  </si>
  <si>
    <t>NOK- JOYPROKESH (BROTHER)_x000D_
S/O- JOGEN TANTUBAI_x000D_
VILL- NARAYNPUR_x000D_
PO- KALACHANDPUR_x000D_
DIST- CACHAR_x000D_
STATE- ASSAM_x000D_
PS- LAKHIPUR_x000D_
PIN- 788098</t>
  </si>
  <si>
    <t>40459799002</t>
  </si>
  <si>
    <t>8264</t>
  </si>
  <si>
    <t>NOK- RABASEN TANTUBAI (HUSBAND)_x000D_
W/O- RABASEN TANTUBAI_x000D_
VILL- NARAINPUR_x000D_
PO- KALACHANDPUR_x000D_
DIST- CACHAR_x000D_
STATE- ASSAM_x000D_
PS- LAKHIPUR_x000D_
PIN- 788098</t>
  </si>
  <si>
    <t>43053232306</t>
  </si>
  <si>
    <t>8265</t>
  </si>
  <si>
    <t>NOK- PURAN TANTUBAY (FATHER)_x000D_
S/O- PURAN TANTUBAY_x000D_
VILL- LALLANG_x000D_
PO- LALLANG_x000D_
DIST- CACHAR_x000D_
STATE- ASSAM_x000D_
PS- LAKHIPUR_x000D_
PIN- 788102</t>
  </si>
  <si>
    <t>20339197447</t>
  </si>
  <si>
    <t>8567</t>
  </si>
  <si>
    <t>NOK: SUJILI KISKU (WIFE)
S/O: LAKHI MURMU
VILL: DANGA
P-O: BUDHIKURA
DIST: GODDA
STATE: JHARKHAND
P-S: AGIYAMOR
PIN: 814153</t>
  </si>
  <si>
    <t>97012966505</t>
  </si>
  <si>
    <t>8568</t>
  </si>
  <si>
    <t>NOK: POOJA SHARMA (WIFE)
S/O: DOODHNATH
VILL: JANAUPUR
P-O: AHIMANE
DIST: SULTANPUR
STATE: UTTAR PRADESH
P-S: DEHAT KOTWALI
PIN: 228001</t>
  </si>
  <si>
    <t>784170565042</t>
  </si>
  <si>
    <t>04</t>
  </si>
  <si>
    <t>236390</t>
  </si>
  <si>
    <t>16-Sep-2026</t>
  </si>
  <si>
    <t>MR No. 74 RCC/23/ SEP 2026, JOB No. ADG (B)/ BFR Cell/ (A/A &amp; E/S) / 2024/832 FMN</t>
  </si>
  <si>
    <t>6966</t>
  </si>
  <si>
    <t>A/C CHANGED WEF 21 AUG 2026, RE-MEDICAL AUG 2025</t>
  </si>
  <si>
    <t>13-Jun-2024</t>
  </si>
  <si>
    <t>7685</t>
  </si>
  <si>
    <t>06-Feb-1994</t>
  </si>
  <si>
    <t>97016033755</t>
  </si>
  <si>
    <t>6901</t>
  </si>
  <si>
    <t>S/O BISHESWAR TUDU_x000D_
NoK -ZENLUNCHINGI (MOTHER)_x000D_
Vill - RANIGHAGAR_x000D_
Post -JARUADIH_x000D_
Dist-DUMKA_x000D_
PS-MASALIA_x000D_
STATE- JHARKHAND_x000D_
PIN No-814146</t>
  </si>
  <si>
    <t>39994916681</t>
  </si>
  <si>
    <t>7754</t>
  </si>
  <si>
    <t>NOK-AKAL RAY (FATHER)_x000D_
S/O-AKAL RAY_x000D_
VILL-PAKPHARI_x000D_
P.O-BILKANDI_x000D_
DIST-DUMKA_x000D_
STATE-JHARKHAND_x000D_
PS-TONGRA_x000D_
PIN-814144</t>
  </si>
  <si>
    <t>97014059878</t>
  </si>
  <si>
    <t>7292</t>
  </si>
  <si>
    <t>97014172872</t>
  </si>
  <si>
    <t>10-Feb-2025</t>
  </si>
  <si>
    <t>7302</t>
  </si>
  <si>
    <t>01-Sep-2000</t>
  </si>
  <si>
    <t>NOK-DIPRU MUNDA (FATHER),_x000D_
S/O-DIPRU MUNDA_x000D_
VILL-VAPAR_x000D_
P.O-CHAMPHAI_x000D_
DIST-CHAMPHAI_x000D_
STATE-MIZORAM_x000D_
PS-CHAMPHAI_x000D_
PIN-796321</t>
  </si>
  <si>
    <t>97007705550</t>
  </si>
  <si>
    <t>05-Apr-2025</t>
  </si>
  <si>
    <t>S/O GOVARDHAN HEMBRAM_x000D_
Nok - DUMZACHINGI (WIFE)_x000D_
Vill- GADIDEVLI_x000D_
Post- GOWARI_x000D_
Dist -DUMKA_x000D_
PS- JAMA_x000D_
State- JHARKHAND_x000D_
Pin- 814110</t>
  </si>
  <si>
    <t>97014524543</t>
  </si>
  <si>
    <t>2296</t>
  </si>
  <si>
    <t>18-Feb-1986</t>
  </si>
  <si>
    <t>S/O ANANTA SOREN_x000D_
NoK -SIANNEM (WIFE)_x000D_
Vill -ARO_x000D_
Post -KOLHA_x000D_
Dist-DUMKA_x000D_
PS-CHAMPHAI_x000D_
STATE- MIZORAM_x000D_
PIN No-814103</t>
  </si>
  <si>
    <t>34324117329</t>
  </si>
  <si>
    <t>6864</t>
  </si>
  <si>
    <t>02-Oct-1993</t>
  </si>
  <si>
    <t>NAME OF NOK-NANDANI KUMARI (WIFE),_x000D_
S/O-RAJ KUMAR SAH,_x000D_
VILL-PAHARI TOL KHUTAUNA_x000D_
P.O-BARAHMOTTRA_x000D_
DIST-MADHURANI_x000D_
PS-LAUKAHAI _x000D_
STATE-BIHAR_x000D_
PIN-847227</t>
  </si>
  <si>
    <t>32436733344</t>
  </si>
  <si>
    <t>6066</t>
  </si>
  <si>
    <t>04-Jun-1994</t>
  </si>
  <si>
    <t>S/O THAKUR SOREN_x000D_
NoK -KIMNGAIHLINI (WIFE)_x000D_
Vill -GULAMSULI_x000D_
Post -PRATAPPUR_x000D_
Dist-DUMKA_x000D_
PS-RANISHWAR_x000D_
STATE- JHARKHAND_x000D_
PIN No-814148</t>
  </si>
  <si>
    <t>20389963209</t>
  </si>
  <si>
    <t>7757</t>
  </si>
  <si>
    <t>14-Jan-2005</t>
  </si>
  <si>
    <t>97014386169</t>
  </si>
  <si>
    <t>02-Sep-2024</t>
  </si>
  <si>
    <t>16-09-2026</t>
  </si>
  <si>
    <t>7104</t>
  </si>
  <si>
    <t>04-Jul-2005</t>
  </si>
  <si>
    <t>NOK-BASANTI DEVI (WIFE),_x000D_
S/O-RATAN RAY,_x000D_
VILL-AHRICHUWAN,_x000D_
PO-KARUDIH,_x000D_
PS-GOPIKANDAR,_x000D_
DIST-DUMKA,_x000D_
STATE-JHARKHAND,_x000D_
PIN-816117.</t>
  </si>
  <si>
    <t>97015798547</t>
  </si>
  <si>
    <t>7749</t>
  </si>
  <si>
    <t>97017056068</t>
  </si>
  <si>
    <t>7750</t>
  </si>
  <si>
    <t>97017056057</t>
  </si>
  <si>
    <t>7751</t>
  </si>
  <si>
    <t>97010489000</t>
  </si>
  <si>
    <t>7752</t>
  </si>
  <si>
    <t>97013053094</t>
  </si>
  <si>
    <t>7753</t>
  </si>
  <si>
    <t>97008627818</t>
  </si>
  <si>
    <t>7755</t>
  </si>
  <si>
    <t>20-Apr-2007</t>
  </si>
  <si>
    <t>NOK-MADHUSUDHAN RAY (FATHER)_x000D_
S/O-MADHUSUDHAN RAY_x000D_
VILL-BILKANDI_x000D_
P.O-PARPAHARI_x000D_
DIST-DUMKA_x000D_
STATE-JHARKHAND_x000D_
PS-PARPAHARI_x000D_
PIN-814144</t>
  </si>
  <si>
    <t>97017056104</t>
  </si>
  <si>
    <t>7756</t>
  </si>
  <si>
    <t>97017056080</t>
  </si>
  <si>
    <t>366550</t>
  </si>
  <si>
    <t>7758</t>
  </si>
  <si>
    <t>NOK-LALTLANZAMI (WIFE)_x000D_
S/O-K.RAMNGHINGLOVA_x000D_
VILL-TUALCHENG_x000D_
P.O-TUALCHENG_x000D_
DIST-CHAMPHAI_x000D_
STATE-MIZORAM_x000D_
PS-CHAMPHAI_x000D_
PIN-796321</t>
  </si>
  <si>
    <t>97004633019</t>
  </si>
  <si>
    <t>7759</t>
  </si>
  <si>
    <t>15-Mar-1980</t>
  </si>
  <si>
    <t>NOK-H.SANGLIANI (WIFE)_x000D_
S/O-THANGHLEIA_x000D_
VILL-TUALCHENG_x000D_
P.O-TUALCHENG_x000D_
DIST-CHAMPHAI_x000D_
STATE-MIZORAM_x000D_
PS-CHAMPHAI_x000D_
PIN-796321</t>
  </si>
  <si>
    <t>97005742765</t>
  </si>
  <si>
    <t>7397</t>
  </si>
  <si>
    <t>12-Apr-2006</t>
  </si>
  <si>
    <t>NOK-SUNIL MURMU (FATHER)_x000D_
S/O-SUNIL MURMU_x000D_
VILL-DIGHAL GRAM_x000D_
P.O-DIGHAL GRAM_x000D_
DIST-BIRBHUM_x000D_
STATE-WEST BENGAL_x000D_
PS-MOHOMOB BAZAR_x000D_
PIN-731216</t>
  </si>
  <si>
    <t>97016811070</t>
  </si>
  <si>
    <t>5565</t>
  </si>
  <si>
    <t>10-Feb-2004</t>
  </si>
  <si>
    <t>S/O SUNIL KISKU_x000D_
Nok - Abhishek Kisku (Brother)_x000D_
Vill- Gulamsuli_x000D_
Post-Pratappur_x000D_
Dist -Dumka_x000D_
PS- Ranishwer_x000D_
State- Jharkhand_x000D_
Pin- 814144</t>
  </si>
  <si>
    <t>97014173025</t>
  </si>
  <si>
    <t>7820</t>
  </si>
  <si>
    <t>29-Jul-2007</t>
  </si>
  <si>
    <t>NOK-NIANGKHAWMKIMI (MOTHER)_x000D_
S/O-DULAL_x000D_
VILL-VAPAR_x000D_
P.O-CHAMPHAI_x000D_
DIST-CHAMPHAI_x000D_
STATE-MIZORAM_x000D_
PS-CHAMPHAI_x000D_
PIN-796321</t>
  </si>
  <si>
    <t>36086611425</t>
  </si>
  <si>
    <t>7821</t>
  </si>
  <si>
    <t>23-Jun-1994</t>
  </si>
  <si>
    <t>NOK-SUANSIANLALA (BROTHER)_x000D_
S/O-PIANGZALIANA_x000D_
VILL-VAPAR_x000D_
P.O-CHAMPHAI_x000D_
DIST-CHAMPHAI_x000D_
STATE-MIZORAM_x000D_
PS-CHAMPHAI_x000D_
PIN-796321</t>
  </si>
  <si>
    <t>97007574401</t>
  </si>
  <si>
    <t>7822</t>
  </si>
  <si>
    <t>16-Oct-1995</t>
  </si>
  <si>
    <t>NOK-LALROKIMI (SISTER)_x000D_
S/O-DIPRU MUNDA_x000D_
VILL-VAPAR_x000D_
P.O-CHAMPHAI_x000D_
DIST-CHAMPHAI_x000D_
STATE-MIZORAM_x000D_
PS-CHAMPHAI_x000D_
PIN-796321</t>
  </si>
  <si>
    <t>97005795547</t>
  </si>
  <si>
    <t>8082</t>
  </si>
  <si>
    <t>29-May-1982</t>
  </si>
  <si>
    <t>97007209267</t>
  </si>
  <si>
    <t>29-Jan-2026</t>
  </si>
  <si>
    <t>19-09-2026</t>
  </si>
  <si>
    <t>8083</t>
  </si>
  <si>
    <t>02-Oct-1980</t>
  </si>
  <si>
    <t>97004222522</t>
  </si>
  <si>
    <t>8085</t>
  </si>
  <si>
    <t>02-Mar-1994</t>
  </si>
  <si>
    <t>39094352591</t>
  </si>
  <si>
    <t>8088</t>
  </si>
  <si>
    <t>37615732354</t>
  </si>
  <si>
    <t>8089</t>
  </si>
  <si>
    <t>05-Apr-2004</t>
  </si>
  <si>
    <t>18-09-2026</t>
  </si>
  <si>
    <t>8093</t>
  </si>
  <si>
    <t>01-Oct-1997</t>
  </si>
  <si>
    <t>37574592125</t>
  </si>
  <si>
    <t>31-Jan-2026</t>
  </si>
  <si>
    <t>8095</t>
  </si>
  <si>
    <t>15-May-1984</t>
  </si>
  <si>
    <t>97017256159</t>
  </si>
  <si>
    <t>8096</t>
  </si>
  <si>
    <t>02-Mar-1990</t>
  </si>
  <si>
    <t>97017254968</t>
  </si>
  <si>
    <t>8099</t>
  </si>
  <si>
    <t>23-Dec-2006</t>
  </si>
  <si>
    <t>NOK   : ALBINA CHAKMA (WIFE)_x000D_
S/O   : LOKSHMI DEVI CHAKMA_x000D_
Vill  : CHAMINISORA_x000D_
PO    : LONGPUIGHAT_x000D_
PS    : LONGPUIGHAT_x000D_
Dist  : LAWNGTLAI_x000D_
State : MIZORAM_x000D_
Pin   : 796770</t>
  </si>
  <si>
    <t>97017255768</t>
  </si>
  <si>
    <t>8100</t>
  </si>
  <si>
    <t>37889762974</t>
  </si>
  <si>
    <t>7859</t>
  </si>
  <si>
    <t>12-May-1997</t>
  </si>
  <si>
    <t>NOK‑ PINKEE RAY (WIFE)_x000D_
S/O‑ JOGESHWAR RAY_x000D_
VILL‑ AHRICHUWAN  _x000D_
P.O‑ KARUDIH_x000D_
PS‑ GOPIKANDAR_x000D_
DIST‑ DUMKA_x000D_
STATE‑ JHARKHAND  _x000D_
PIN‑ 816117</t>
  </si>
  <si>
    <t>97014524203</t>
  </si>
  <si>
    <t>8207</t>
  </si>
  <si>
    <t>08-Jun-2001</t>
  </si>
  <si>
    <t>NOK: RIPON CHAKMA (HUSBAND)_x000D_
W/O  : RIPON CHAKMA_x000D_
VILL : UGUDASURY'S_x000D_
POST : UGUDASURY'S_x000D_
DISTT: LAWNGTLAI_x000D_
STATE: MIZORAM_x000D_
PIN  : 796770_x000D_
PS   : BORAPANSURY</t>
  </si>
  <si>
    <t>97014099968</t>
  </si>
  <si>
    <t>8208</t>
  </si>
  <si>
    <t>15-Apr-2026</t>
  </si>
  <si>
    <t>97017381963</t>
  </si>
  <si>
    <t>264630</t>
  </si>
  <si>
    <t>8210</t>
  </si>
  <si>
    <t>NOK: KOSHALIYA DEVI (MOTHER)_x000D_
S/O : CHARAN RAY_x000D_
VILL : FAJIPUR_x000D_
POST : PRATAPPUR_x000D_
DISTT: DUMKA_x000D_
STATE: JHARKHAND_x000D_
PIN  : 814148_x000D_
PS   : RANISHWAR</t>
  </si>
  <si>
    <t>97014375689</t>
  </si>
  <si>
    <t>8470</t>
  </si>
  <si>
    <t>29-Sep-1974</t>
  </si>
  <si>
    <t>NOK: H. VANLALRUATI (WIFE)_x000D_
S/O: HRANG HLUNA_x000D_
VILL: TUALCHENG_x000D_
P-O: CHAMPHAI_x000D_
DIST: CHAMPHAI_x000D_
STATE: MIZORAM_x000D_
P-S: CHAMPHAI_x000D_
PIN: 796321</t>
  </si>
  <si>
    <t>97002778422</t>
  </si>
  <si>
    <t>8213</t>
  </si>
  <si>
    <t>NOK: DULAL HANSHDA (WIFE)_x000D_
S/O : SOMLAL HEMBRAM_x000D_
VILL : SULANGO_x000D_
POST : RAGHUNATHPUR_x000D_
DISTT: DUMKA_x000D_
STATE: JHARKHAND_x000D_
PIN  : 814148_x000D_
PS   : RANISHWAR</t>
  </si>
  <si>
    <t>97017415338</t>
  </si>
  <si>
    <t>8214</t>
  </si>
  <si>
    <t>NOK: MUNLI BESRA (MOTHER)_x000D_
S/O : PAGAN SOREN_x000D_
VILL : SULANGO_x000D_
POST : RAGHUNATHPUR_x000D_
DISTT: DUMKA_x000D_
STATE: JHARKHAND_x000D_
PIN  : 814148_x000D_
PS   : RANISHWAR</t>
  </si>
  <si>
    <t>97017414968</t>
  </si>
  <si>
    <t>8215</t>
  </si>
  <si>
    <t>NOK: PHULOSARJ DEVI (MOTHER)_x000D_
S/O : PRAKASH RAY_x000D_
VILL : BANWARI_x000D_
POST : PRATAPPUR_x000D_
DISTT: DUMKA_x000D_
STATE: JHARKHAND_x000D_
PIN  : 814148_x000D_
PS   : RANISHWAR</t>
  </si>
  <si>
    <t>97017416761</t>
  </si>
  <si>
    <t>8217</t>
  </si>
  <si>
    <t>NOK: JIBAN RAY (FATHER)_x000D_
S/O : JIBAN RAY_x000D_
VILL : PALIA DAHA_x000D_
POST : PALIA DAHA_x000D_
DISTT: PAKUR_x000D_
STATE: JHARKHAND_x000D_
PIN  : 816117_x000D_
PS   : PAKURIA</t>
  </si>
  <si>
    <t>97017416342</t>
  </si>
  <si>
    <t>8218</t>
  </si>
  <si>
    <t>NOK: LAXMI KUMARY (WIFE)_x000D_
S/O : RATAN RAY_x000D_
VILL : AHARICHUWAN_x000D_
POST : KARUDIH_x000D_
DISTT: DUMKA_x000D_
STATE: JHARKHAND_x000D_
PIN  : 816117_x000D_
PS   : GOPIKANDAR</t>
  </si>
  <si>
    <t>97016108688</t>
  </si>
  <si>
    <t>8361</t>
  </si>
  <si>
    <t>06-Oct-1997</t>
  </si>
  <si>
    <t>42277380743</t>
  </si>
  <si>
    <t>02-Jun-2026</t>
  </si>
  <si>
    <t>30-Aug-2026</t>
  </si>
  <si>
    <t>6678</t>
  </si>
  <si>
    <t>28-Jun-1994</t>
  </si>
  <si>
    <t>S/O THANGDOKHAMA_x000D_
NoK -TUANNGAIHKIMI (WIFE)_x000D_
Vill -VAIKHAWTLANG_x000D_
Post -VAIKHAWTLANG_x000D_
Dist-CHAMPHAI_x000D_
PS-CHAMPHAI_x000D_
STATE- MIZORAM_x000D_
PIN No-796321</t>
  </si>
  <si>
    <t>97005425951</t>
  </si>
  <si>
    <t>4972</t>
  </si>
  <si>
    <t>21-Jun-1994</t>
  </si>
  <si>
    <t>S/O THANGNGAIHPAUA_x000D_
NoK -DIMDEIHSANGI (WIFE)_x000D_
Vill -VAPAR_x000D_
Post -VAPAR_x000D_
Dist-CHAMPHAI_x000D_
PS-CHAMPHAI_x000D_
STATE- MIZORAM_x000D_
PIN No-796321</t>
  </si>
  <si>
    <t>20371649011</t>
  </si>
  <si>
    <t>8469</t>
  </si>
  <si>
    <t>16-Aug-2004</t>
  </si>
  <si>
    <t>NOK: K. THANNGURA (FATHER)_x000D_
S/O: K. THANNGURA_x000D_
VILL: TUALCHENG_x000D_
P-O: CHAMPHAI_x000D_
DIST: CHAMPHAI_x000D_
STATE: MIZORAM_x000D_
P-S: CHAMPHAI_x000D_
PIN: 796321</t>
  </si>
  <si>
    <t>97006594644</t>
  </si>
  <si>
    <t>8519</t>
  </si>
  <si>
    <t>05-Jan-1996</t>
  </si>
  <si>
    <t>NOK - PUJA DEVI (WIFE, 30 YRS), _x000D_
S/O DHANPATI RAY, _x000D_
VILL- RADHANAGAR, _x000D_
POST- BANNOGRAM, _x000D_
DIST - PAKUR, _x000D_
PS- PAKURIA, _x000D_
STATE- JHARKHAND, _x000D_
PIN- 816117</t>
  </si>
  <si>
    <t>35211678466</t>
  </si>
  <si>
    <t>8520</t>
  </si>
  <si>
    <t>01-Aug-2007</t>
  </si>
  <si>
    <t>NOK - PHARBOTTI (WIFE, 18 YRS), _x000D_
S/O MENGSHU CHAKMA, _x000D_
VILL- VASEITLANG-II, _x000D_
POST- VASEI, _x000D_
DIST - LAWNGTLAI, _x000D_
PS- VASEI, _x000D_
STATE- MIZORAM, _x000D_
PIN- 796770</t>
  </si>
  <si>
    <t>97017678353</t>
  </si>
  <si>
    <t>8521</t>
  </si>
  <si>
    <t>NOK - ABUSAMA ALI (HUSBAND, 36 YRS), _x000D_
D/O TAYEB ALI, _x000D_
VILL- ARORA, _x000D_
POST- GHOGRAPAR, _x000D_
DIST - NALBARI, _x000D_
PS- GHOGRAPAR, _x000D_
STATE- ASSAM,_x000D_
PIN- 781369</t>
  </si>
  <si>
    <t>37284603068</t>
  </si>
  <si>
    <t>08-Aug-2026</t>
  </si>
  <si>
    <t>8522</t>
  </si>
  <si>
    <t>21-Jul-1985</t>
  </si>
  <si>
    <t>NOK - C ZOSANGPUIA (SON, 14 YRS), _x000D_
S/O C. VANLALRAWNA, _x000D_
VILL- PAMCHUNG, _x000D_
POST- SAITUAL, _x000D_
DIST - KHAWZAWL, _x000D_
PS- KHAWZAWL, _x000D_
STATE- MIZORAM, _x000D_
PIN- 796261</t>
  </si>
  <si>
    <t>97001240431</t>
  </si>
  <si>
    <t>13-Aug-2026</t>
  </si>
  <si>
    <t>8523</t>
  </si>
  <si>
    <t>01-Jul-1985</t>
  </si>
  <si>
    <t>C. VANLALDUHAWMA_x000D_
(HUSBAND)</t>
  </si>
  <si>
    <t>NOK - C. LALRUATDIKA (SON, 20 YRS), _x000D_
D/O C. VANLALDUHAWMA, VILL- PAMCHUNG, _x000D_
POST- SAITUAL, _x000D_
DIST - KHAWZAWL, _x000D_
PS- KHAWZAWL, _x000D_
STATE- MIZORAM, _x000D_
PIN- 796261</t>
  </si>
  <si>
    <t>97007238696</t>
  </si>
  <si>
    <t>8524</t>
  </si>
  <si>
    <t>NOK - SALAMUDDIN (GRANDFATHER, 40 YRS), _x000D_
D/O ABBACH ALI, _x000D_
VILL- PANIMAZKUCHI, _x000D_
POST- BARAJOL, _x000D_
DIST - NALBARI, _x000D_
PS- GHOGRAPAR, _x000D_
STATE- ASSAM, _x000D_
PIN- 781369</t>
  </si>
  <si>
    <t>37598951019</t>
  </si>
  <si>
    <t>8525</t>
  </si>
  <si>
    <t>NOK - BHUJU HEMBRA (FATHER, 17 YRS), _x000D_
S/O BHUJU HEMBROM, _x000D_
VILL- PUTKA, _x000D_
POST- JAI HARIPUR, _x000D_
DIST - DUMKA, _x000D_
PS- RANISHWAR, _x000D_
STATE- JHARKHAND, _x000D_
PIN- 814148</t>
  </si>
  <si>
    <t>97011259032</t>
  </si>
  <si>
    <t>8097</t>
  </si>
  <si>
    <t>13-Jul-2003</t>
  </si>
  <si>
    <t>97009777330</t>
  </si>
  <si>
    <t>8091</t>
  </si>
  <si>
    <t>05-Aug-1991</t>
  </si>
  <si>
    <t>NOK   : CHAMALA KHATUN (WIFE)_x000D_
S/O   : OHAB ALI_x000D_
Vill  : ARARA_x000D_
PO    : ALLIA_x000D_
PS    : GHOGRAPAR_x000D_
Dist  : NALBARI_x000D_
State : ASSAM_x000D_
Pin   : 781369</t>
  </si>
  <si>
    <t>39094353425</t>
  </si>
  <si>
    <t>356440</t>
  </si>
  <si>
    <t>8502</t>
  </si>
  <si>
    <t>05-Aug-2000</t>
  </si>
  <si>
    <t>8569</t>
  </si>
  <si>
    <t>01-May-1986</t>
  </si>
  <si>
    <t>NOK-HAJERAAHMED (WIFE)
S/O- ABDUL ALI
VILL-PANIMAZKUCHI
POST- BARAJOL
DIST- NALBARI
STATE-ASSAM
PS-GHOGRAPAR
PIN-781369</t>
  </si>
  <si>
    <t>36591837764</t>
  </si>
  <si>
    <t>8570</t>
  </si>
  <si>
    <t>VANLALREMRUATA</t>
  </si>
  <si>
    <t>01-OCT-2006</t>
  </si>
  <si>
    <t>K. LALBIAKCHHUANGA</t>
  </si>
  <si>
    <t>NOK- HMINGTHANI (WIFE)
S/O-K. LALBIAKCHHUANGA
VILL-TUALCHENG
POST-CHAMPHAI
DIST-CHAMPHAI
STATE-MIZORAM
PS-CHAMPHAI
PIN-796321</t>
  </si>
  <si>
    <t>6738 9907 7612</t>
  </si>
  <si>
    <t>7851 2290 6513</t>
  </si>
  <si>
    <t>97016627751</t>
  </si>
  <si>
    <t>25-Aug-2026</t>
  </si>
  <si>
    <t>8571</t>
  </si>
  <si>
    <t>DIPAK SONOWAL</t>
  </si>
  <si>
    <t>KUKESWAR SONOWAL</t>
  </si>
  <si>
    <t>NOK- SUMI BORAH SONOWAL
S/O KUKESWAR SONOWAL
VILL- MADURI PATHAR
POST- MADURI PATHAR
DIST- DHEMAJI
STATE- ASSAM
PS-SILAPATHAR
PIN-787059</t>
  </si>
  <si>
    <t>3230 9897 1586</t>
  </si>
  <si>
    <t>6851 7989 0323</t>
  </si>
  <si>
    <t>40801141375</t>
  </si>
  <si>
    <t>SBIN0006870</t>
  </si>
  <si>
    <t>8572</t>
  </si>
  <si>
    <t>KHOKAN SARKAR</t>
  </si>
  <si>
    <t>20-MAR-1991</t>
  </si>
  <si>
    <t>CHANDRA MOHAN SARKAR</t>
  </si>
  <si>
    <t>NOK-SAMPA ADHIKARY (WIFE)
S/O- CHANDRA MOHAN SARKAR
VILL-PURBO DAUKI MARI
POST- DAUKI MARI
DIST- JALPAIGURI
STATE- WEST BENGAL
PS-DHUPGURI
PIN-735210</t>
  </si>
  <si>
    <t>7845 8112 7110</t>
  </si>
  <si>
    <t>7818 0323 4638</t>
  </si>
  <si>
    <t>40116134684</t>
  </si>
  <si>
    <t>SBIN0009702</t>
  </si>
  <si>
    <t>65450</t>
  </si>
  <si>
    <t>12-Sep-2026</t>
  </si>
  <si>
    <t>1053070</t>
  </si>
  <si>
    <t>MR No. 74 RCC/24/ SEP 2026, JOB No. ADG (B)/ BFR Cell/ (A/A &amp; E/S) / 2024/832 SURF</t>
  </si>
  <si>
    <t>8087</t>
  </si>
  <si>
    <t>23-Nov-1993</t>
  </si>
  <si>
    <t>NOK   : ALIMAN NESA (WIFE)_x000D_
S/O   : TAHER ALI_x000D_
Vill  : BARBILA_x000D_
PO    : KALAKUCHI_x000D_
PS    : TAMULPUR_x000D_
Dist  : BAKSA_x000D_
State : ASSAM_x000D_
Pin   : 781367</t>
  </si>
  <si>
    <t>37284603477</t>
  </si>
  <si>
    <t>8220</t>
  </si>
  <si>
    <t>NOK: CHURKI HANSHDA (MOTHER)_x000D_
S/O : STIFAN SOREN_x000D_
VILL : SULANGO_x000D_
POST : RAGHUNTHPUR_x000D_
DISTT: DUMKA_x000D_
STATE: JHARKHAND_x000D_
PIN  : 814148_x000D_
PS   : RANISHWAR</t>
  </si>
  <si>
    <t>97013334950</t>
  </si>
  <si>
    <t>8221</t>
  </si>
  <si>
    <t>12-Feb-1999</t>
  </si>
  <si>
    <t>NOK: MOKU SOREN (MOTHER)_x000D_
S/O : LAL SOREN_x000D_
VILL : BAKAKENDRA_x000D_
POST : PRATAPPUR_x000D_
DISTT: DUMKA_x000D_
STATE: JHARKHAND_x000D_
PIN  : 814148_x000D_
PS   : RANISHWAR</t>
  </si>
  <si>
    <t>97015200163</t>
  </si>
  <si>
    <t>8222</t>
  </si>
  <si>
    <t>NOK: RAJMUNI MURMU (WIFE)_x000D_
S/O : SOMLAL HEMBREM_x000D_
VILL : SULANGO_x000D_
POST : RAGHUNATHPUR_x000D_
DISTT: DUMKA_x000D_
STATE: JHARKHAND_x000D_
PIN  : 814148_x000D_
PS   : RANISHWAR</t>
  </si>
  <si>
    <t>97013342009</t>
  </si>
  <si>
    <t>8223</t>
  </si>
  <si>
    <t>NOK: MANJU DEVI (MOTHER)_x000D_
S/O : TARNI SINGH_x000D_
VILL : PHAJILPUR_x000D_
POST : PRATAPPUR_x000D_
DISTT: DUMKA_x000D_
STATE: JHARKHAND_x000D_
PIN  : 814148_x000D_
PS   : RANISHWAR</t>
  </si>
  <si>
    <t>97013054349</t>
  </si>
  <si>
    <t>8224</t>
  </si>
  <si>
    <t>NOK: PARMANAND (FATHER)_x000D_
S/O : PERMANAND_x000D_
VILL : BANWARI_x000D_
POST : PRATAPPUR_x000D_
DISTT: DUMKA_x000D_
STATE: JHARKHAND_x000D_
PIN  : 814148_x000D_
PS   : PRATAPPUR</t>
  </si>
  <si>
    <t>97017415984</t>
  </si>
  <si>
    <t>8225</t>
  </si>
  <si>
    <t>NOK: HOPANA MURMU (FATHER)_x000D_
S/O : HOPANA MURMU_x000D_
VILL : SULANGO_x000D_
POST : RAGHUNATHPUR_x000D_
DISTT: DUMKA_x000D_
STATE: JHARKHAND_x000D_
PIN  : 814148_x000D_
PS   : RANISHWAR</t>
  </si>
  <si>
    <t>97015481416</t>
  </si>
  <si>
    <t>8226</t>
  </si>
  <si>
    <t>NOK: GITA DEVI (WIFE)_x000D_
S/O : SAHADEY RAY_x000D_
VILL : BANWARI_x000D_
POST : PRATAPAPUR_x000D_
DISTT: DUMKA_x000D_
STATE: JHARKHAND_x000D_
PIN  : 814148_x000D_
PS   : RANISHVAR</t>
  </si>
  <si>
    <t>97015228678</t>
  </si>
  <si>
    <t>14-Apr-2026</t>
  </si>
  <si>
    <t>8269</t>
  </si>
  <si>
    <t>01-Dec-1993</t>
  </si>
  <si>
    <t>NOK- ASED ALI (HUSBAND)_x000D_
W/O- ASED ALI_x000D_
VILL- BARBILA_x000D_
PO- KALAKUCHI_x000D_
DIST- BAKSA_x000D_
STATE- ASSAM_x000D_
PS- KALAKUCHI_x000D_
PIN- 781367</t>
  </si>
  <si>
    <t>38706374101</t>
  </si>
  <si>
    <t>23-Apr-2026</t>
  </si>
  <si>
    <t>8270</t>
  </si>
  <si>
    <t>26-Aug-2007</t>
  </si>
  <si>
    <t>NOK- PRAKASH (FATHER)_x000D_
S/O- PRAKASH RAY_x000D_
VILL- BANWARI_x000D_
PO- PRATAPPUR_x000D_
DIST- DUMKA_x000D_
STATE- JHARKHAND_x000D_
PS- RANISHWAR_x000D_
PIN- 814148</t>
  </si>
  <si>
    <t>24-Apr-2026</t>
  </si>
  <si>
    <t>8271</t>
  </si>
  <si>
    <t>NOK- SMT Babhin Murmu     (wife)_x000D_
S/O- PRAKASH RAY_x000D_
VILL- BAGKHALA_x000D_
PO- SUKHSORA_x000D_
DIST- DUMKA_x000D_
STATE- JHARKHAND_x000D_
PS- RANISHWAR_x000D_
PIN- 814148</t>
  </si>
  <si>
    <t>97017449016</t>
  </si>
  <si>
    <t>8272</t>
  </si>
  <si>
    <t>01-Mar-2004</t>
  </si>
  <si>
    <t>NOK- JOSODO RAY (MOTHER)_x000D_
S/O- JANTA RAY_x000D_
VILL- KATHALDIH_x000D_
PO- RANIBAHAL_x000D_
DIST- DUMKA_x000D_
STATE- JHARKHAND_x000D_
PS- MASANJOR_x000D_
PIN- 814144</t>
  </si>
  <si>
    <t>97017469407</t>
  </si>
  <si>
    <t>25-Apr-2026</t>
  </si>
  <si>
    <t>8273</t>
  </si>
  <si>
    <t>NOK- PARMILA DEVI (MOTHER)_x000D_
S/O- PAWAN RAY_x000D_
VILL- NAGBIL_x000D_
PO- GUHIAJORI_x000D_
DIST- DUMKA_x000D_
STATE- JHARKHAND_x000D_
PS- MUFSIL_x000D_
PIN- 814158</t>
  </si>
  <si>
    <t>97017469871</t>
  </si>
  <si>
    <t>8274</t>
  </si>
  <si>
    <t>NOK- URMILA DEVI (WIFE)_x000D_
S/O- SANTITA RAY_x000D_
VILL- BHAGABAND_x000D_
PO- CHATRA_x000D_
DIST- GODDA_x000D_
STATE- JHARKHAND_x000D_
PS- PATHARGAMA_x000D_
PIN- 814153</t>
  </si>
  <si>
    <t>97017469611</t>
  </si>
  <si>
    <t>8275</t>
  </si>
  <si>
    <t>12-Sep-1978</t>
  </si>
  <si>
    <t>NOK- SUNITRA RAY (MOTHER)_x000D_
S/O- SITARAM RAY_x000D_
VILL- KATHAL DIHA_x000D_
PO- RANIBAHAL_x000D_
DIST- DUMKA_x000D_
STATE- JHARKHAND_x000D_
PS- MASANJOR_x000D_
PIN- 814144</t>
  </si>
  <si>
    <t>97017469281</t>
  </si>
  <si>
    <t>8276</t>
  </si>
  <si>
    <t>NOK- BAHALI RAY (FATHER)_x000D_
S/O- RAVI RAY_x000D_
VILL- KATHAL DIHA_x000D_
PO- RANIBAHAL_x000D_
DIST- DUMKA_x000D_
STATE- JHARKHAND_x000D_
PS- MASANJORE_x000D_
PIN- 814144</t>
  </si>
  <si>
    <t>97013321816</t>
  </si>
  <si>
    <t>8277</t>
  </si>
  <si>
    <t>05-May-2008</t>
  </si>
  <si>
    <t>NOK- SANTI MALA CHAKMA (MOTHER)_x000D_
S/O- RANGA MARATTUA CHAKMA_x000D_
VILL- UGUDASURY 'S'_x000D_
PO- BRAPANSURY_x000D_
DIST- LAWNGTLAI_x000D_
STATE- MIZORAM_x000D_
PS- BRAPANSURY_x000D_
PIN- 796770</t>
  </si>
  <si>
    <t>97017472432</t>
  </si>
  <si>
    <t>09-May-2026</t>
  </si>
  <si>
    <t>4151</t>
  </si>
  <si>
    <t>05-Mar-1989</t>
  </si>
  <si>
    <t>S/O JADAV ROY_x000D_
Nok - Anjana Roy (Mother)_x000D_
Vill- Manipur Part I_x000D_
Post- Katigorah_x000D_
Dist -Cachar_x000D_
PS- Katigorah_x000D_
State- Assam_x000D_
Pin- 788815</t>
  </si>
  <si>
    <t>REMEDICAL_x000D_
Changed A/C No</t>
  </si>
  <si>
    <t>30781600288</t>
  </si>
  <si>
    <t>8278</t>
  </si>
  <si>
    <t>02-Feb-1985</t>
  </si>
  <si>
    <t>97010824528</t>
  </si>
  <si>
    <t>8471</t>
  </si>
  <si>
    <t>12-Oct-2000</t>
  </si>
  <si>
    <t>NOK: KHAIRUN MALA (WIFE)_x000D_
S/O: SALAM UDDIN MOHD_x000D_
VILL: PANIMAJKUCHI_x000D_
P-O: BARAJOL_x000D_
DIST: NALBARI_x000D_
STATE: ASSAM_x000D_
P-S: GHOGRAPAR_x000D_
PIN: 781369</t>
  </si>
  <si>
    <t>38448466878</t>
  </si>
  <si>
    <t>350310</t>
  </si>
  <si>
    <t>8472</t>
  </si>
  <si>
    <t>01-Apr-1990</t>
  </si>
  <si>
    <t>NOK: AMIRAN KHATUN (WIFE)_x000D_
S/O: AKBAR ALI_x000D_
VILL: ARORA_x000D_
P-O: ALLIA_x000D_
DIST: NALBARI_x000D_
STATE: ASSAM_x000D_
P-S: GHOGRAPAR_x000D_
PIN: 781369</t>
  </si>
  <si>
    <t>42222711001</t>
  </si>
  <si>
    <t>8474</t>
  </si>
  <si>
    <t>30-Mar-2000</t>
  </si>
  <si>
    <t>NOK: H. ROZIKA (FATHER)_x000D_
S/O: H. ROZIKA_x000D_
VILL: TUALCHENG_x000D_
P-O: CHAMPHAI_x000D_
DIST: CHAMPHAI_x000D_
STATE: MIZORAM_x000D_
P-S: CHAMPHAI_x000D_
PIN: 796321</t>
  </si>
  <si>
    <t>97003943930</t>
  </si>
  <si>
    <t>8475</t>
  </si>
  <si>
    <t>11-Feb-1995</t>
  </si>
  <si>
    <t>NOK: BABY ROSANGZUALI (SISTER)_x000D_
S/O: H. ROZIKA_x000D_
VILL: TUALCHENG_x000D_
P-O: CHAMPHAI_x000D_
DIST: CHAMPHAI_x000D_
STATE: MIZORAM_x000D_
P-S: CHAMPHAI_x000D_
PIN: 796321</t>
  </si>
  <si>
    <t>97007216741</t>
  </si>
  <si>
    <t>8476</t>
  </si>
  <si>
    <t>17-Jan-1997</t>
  </si>
  <si>
    <t>39628956330</t>
  </si>
  <si>
    <t>8477</t>
  </si>
  <si>
    <t>03-Sep-1996</t>
  </si>
  <si>
    <t>NOK: ANSU BALA (MOTHER)_x000D_
S/O: MILAP SINGH_x000D_
VILL: JHAKLER_x000D_
P-O: HARIPUR_x000D_
DIST: KANGRA_x000D_
STATE: H.P (HIMACHAL PRADESH)_x000D_
P-S: HARIPUR / DEHRA_x000D_
PIN: 176028</t>
  </si>
  <si>
    <t>8478</t>
  </si>
  <si>
    <t>04-Jun-2006</t>
  </si>
  <si>
    <t>NOK: HASANUR RAHMAN (HUSBAND)_x000D_
S/O: FAKAR ALI_x000D_
VILL: CHATA GAON_x000D_
P-O: PACHIM MAZDIA_x000D_
DIST: BARPETA_x000D_
STATE: ASSAM_x000D_
P-S: TARABARI_x000D_
PIN: 781305</t>
  </si>
  <si>
    <t>8479</t>
  </si>
  <si>
    <t>28-Nov-2005</t>
  </si>
  <si>
    <t>NOK: LALAWMPUIA (FATHER)_x000D_
S/O: LALAWMPUIA_x000D_
VILL: TUALCHENG_x000D_
P-O: TUALCHENG_x000D_
DIST: CHAMPHAI_x000D_
STATE: MIZORAM_x000D_
P-S: CHAMPHAI_x000D_
PIN: 796321</t>
  </si>
  <si>
    <t>97006597577</t>
  </si>
  <si>
    <t>8480</t>
  </si>
  <si>
    <t>18-Jul-2004</t>
  </si>
  <si>
    <t>NOK: TC LALHLIMPUII (MOTHER)_x000D_
S/O: VANRAMHLUNA_x000D_
VILL: TUALCHENG_x000D_
P-O: TUALCHENG_x000D_
DIST: CHAMPHAI_x000D_
STATE: MIZORAM_x000D_
P-S: CHAMPHAI_x000D_
PIN: 796321</t>
  </si>
  <si>
    <t>97006594418</t>
  </si>
  <si>
    <t>8481</t>
  </si>
  <si>
    <t>16-May-1984</t>
  </si>
  <si>
    <t>NOK: LALSANGZUALA (FATHER)_x000D_
S/O: LALSANGZUALA_x000D_
VILL: TUALCHENG_x000D_
P-O: CHAMPHAI_x000D_
DIST: CHAMPHAI_x000D_
STATE: MIZORAM_x000D_
P-S: CHAMPHAI_x000D_
PIN: 796321</t>
  </si>
  <si>
    <t>97001328453</t>
  </si>
  <si>
    <t>8483</t>
  </si>
  <si>
    <t>25-Feb-2008</t>
  </si>
  <si>
    <t>NOK: ZOTHANSANGA (FATHER)_x000D_
S/O: ZOTHANSANGA_x000D_
VILL: TUALCHENG_x000D_
P-O: CHAMPHAI_x000D_
DIST: CHAMPHAI_x000D_
STATE: MIZORAM_x000D_
P-S: CHAMPHAI_x000D_
PIN: 796321</t>
  </si>
  <si>
    <t>97013689675</t>
  </si>
  <si>
    <t>8527</t>
  </si>
  <si>
    <t>16-May-1982</t>
  </si>
  <si>
    <t>NOK - LALHRIATRENGA (SON, 23 YRS), _x000D_
S/O BAHARA MARANDI, _x000D_
VILL- NGUR, _x000D_
POST- NGUR,_x000D_
DIST - CHAMPHAI, _x000D_
PS- CHAMPHAI, _x000D_
STATE- MIZORAM, _x000D_
PIN- 796321</t>
  </si>
  <si>
    <t>41951852584</t>
  </si>
  <si>
    <t>06-Aug-2026</t>
  </si>
  <si>
    <t>8528</t>
  </si>
  <si>
    <t>02-Apr-1992</t>
  </si>
  <si>
    <t>NOK- LALCHANGLIANI (SISTER)_x000D_
S/O C LALSANGZUALA, _x000D_
VILL- TUALCHENG,_x000D_
POST- CHAMPHAI, _x000D_
DIST - CHAMPHAI, _x000D_
PS- CHAMPHAI, _x000D_
STATE- MIZORAM, _x000D_
PIN- 796321</t>
  </si>
  <si>
    <t>97002199592</t>
  </si>
  <si>
    <t>8529</t>
  </si>
  <si>
    <t>NOK - SALAMUDDIN (FATHER, 40 YRS), _x000D_
S/O SALAM UDDIN, _x000D_
VILL- PANIMAZKUCHI, _x000D_
POST- BARAJOL, _x000D_
DIST - NALBARI, _x000D_
PS- GHOGRAPAR, _x000D_
STATE- ASSAM, _x000D_
PIN- 781369</t>
  </si>
  <si>
    <t>8081</t>
  </si>
  <si>
    <t>12-Apr-1993</t>
  </si>
  <si>
    <t>97008596004</t>
  </si>
  <si>
    <t>8573</t>
  </si>
  <si>
    <t>SUMAI TUDU</t>
  </si>
  <si>
    <t>BHUTKA TUDU</t>
  </si>
  <si>
    <t>NOK   : HOPANI MARANDI (WIFE)
S/O   : BHUTKA TUDU
Vill  : DHANKUNIYA
PO    : PATHRA
PS    : RANISHWAR
Dist  : DUMKA
State : JHARKHAND
Pin   : 814148</t>
  </si>
  <si>
    <t>9025 4439 1818</t>
  </si>
  <si>
    <t>7811 7489 8806</t>
  </si>
  <si>
    <t>97013940531</t>
  </si>
  <si>
    <t>26-Aug-2026</t>
  </si>
  <si>
    <t>8574</t>
  </si>
  <si>
    <t>SHOYLEN MURMU</t>
  </si>
  <si>
    <t>CHOTO MURMU</t>
  </si>
  <si>
    <t>NOK   : RAHMUNI KISKU (MOTHER)
S/O   : CHOTO MURMU
Vill  : PUTKA
PO    : JAYHARIPUR
PS    : RANISHWAR
Dist  : DUMKA
State : JHARKHAND
Pin   : 814148</t>
  </si>
  <si>
    <t>9633 3630 3609</t>
  </si>
  <si>
    <t>7851 7928 7286</t>
  </si>
  <si>
    <t>84072608689</t>
  </si>
  <si>
    <t>SBIN0RRVCGB</t>
  </si>
  <si>
    <t>276030</t>
  </si>
  <si>
    <t>626340</t>
  </si>
  <si>
    <t>MR No. 74 RCC/25/ SEP 2026, JOB No. ADG (B)/ BFR Cell/ (A/A &amp; E/S) / 2024/831 FMN</t>
  </si>
  <si>
    <t>7568</t>
  </si>
  <si>
    <t>NOK-CHURKI MARANDI (MOTHER)_x000D_
S/O-HOPNA SOREN_x000D_
VILL-DUDHICHUA_x000D_
POST-SARAIDAHA_x000D_
DISTRICT-DUMKA_x000D_
STATE-JHARKHAND_x000D_
P.S-SHIKARIPARA_x000D_
PIN-816118</t>
  </si>
  <si>
    <t>97014173138</t>
  </si>
  <si>
    <t>7826</t>
  </si>
  <si>
    <t>10-Aug-1993</t>
  </si>
  <si>
    <t>NOK-ZONUNMAWII (WIFE)_x000D_
S/O-VANLALTAWNA_x000D_
Vill -NEW HRUAIKAWN_x000D_
Post -NEW HRUAIKAWN_x000D_
Dist-CHAMPHAI_x000D_
State-MIZORAM_x000D_
PS-ZOKHAWTHAR_x000D_
Pin- 796321</t>
  </si>
  <si>
    <t>97009319267</t>
  </si>
  <si>
    <t>03-Dec-2025</t>
  </si>
  <si>
    <t>7827</t>
  </si>
  <si>
    <t>27-Feb-2003</t>
  </si>
  <si>
    <t>NOK-LALRAMNUNMAWIA (BROTHER)_x000D_
S/O-LALREMRUATA_x000D_
Vill -NEW HRUAIKAWN_x000D_
Post -NEW HRUAIKAWN_x000D_
Dist-CHAMPHAI_x000D_
State-MIZORAM_x000D_
PS-ZOKHAWTHAR_x000D_
Pin- 796321</t>
  </si>
  <si>
    <t>97009645882</t>
  </si>
  <si>
    <t>7828</t>
  </si>
  <si>
    <t>08-Feb-2000</t>
  </si>
  <si>
    <t>NOK-ZARZOKIMI (MOTHER)_x000D_
S/O-LALDINTHARA_x000D_
Vill -NEW HRUAIKAWN_x000D_
Post -NEW HRUAIKAWN_x000D_
Dist-CHAMPHAI_x000D_
State-MIZORAM_x000D_
PS-ZOKHAWTHAR_x000D_
Pin- 796321</t>
  </si>
  <si>
    <t>97011364488</t>
  </si>
  <si>
    <t>7829</t>
  </si>
  <si>
    <t>12-Nov-2002</t>
  </si>
  <si>
    <t>NOK-ISAK LALVENHIMA (BROTHER)_x000D_
S/O-LALRINNGHETA_x000D_
Vill -NEW HRUAIKAWN_x000D_
Post -NEW HRUAIKAWN_x000D_
Dist-CHAMPHAI_x000D_
State-MIZORAM_x000D_
PS-ZOKHAWTHAR_x000D_
Pin- 796321</t>
  </si>
  <si>
    <t>97010835802</t>
  </si>
  <si>
    <t>5020</t>
  </si>
  <si>
    <t>17-Oct-1987</t>
  </si>
  <si>
    <t>S/O ISKAR ALI LASKAR_x000D_
NoK -ISKAR ALI LASKAR (FATHER)_x000D_
Vill -SIBPUR PART 2_x000D_
Post -LOKIPUR_x000D_
Dist-CACHAR_x000D_
PS-LOKIPUR_x000D_
STATE- ASSAM_x000D_
PIN No-788101</t>
  </si>
  <si>
    <t>97012808436</t>
  </si>
  <si>
    <t>8122</t>
  </si>
  <si>
    <t>19-Feb-1995</t>
  </si>
  <si>
    <t>97017271586</t>
  </si>
  <si>
    <t>09-Feb-2026</t>
  </si>
  <si>
    <t>19/09/2026</t>
  </si>
  <si>
    <t>7677</t>
  </si>
  <si>
    <t>15-Jul-1996</t>
  </si>
  <si>
    <t>NOK-RABITA KUMARI (WIFE)_x000D_
S/O-BIHARI LAL_x000D_
VILL-JAWAHAR NAGAR_x000D_
P.O-SAIDPUR_x000D_
DIST-GHAZIPUR_x000D_
PS-SAIDPUR_x000D_
STATE-UTTAR PRADESH_x000D_
PIN-233304</t>
  </si>
  <si>
    <t>33740468369</t>
  </si>
  <si>
    <t>8159</t>
  </si>
  <si>
    <t>18-Aug-1990</t>
  </si>
  <si>
    <t>NOK   : VANLALTAWNA (FATHER)_x000D_
D/O   : VANLALTAWMA_x000D_
Vill  :  NEW HRUAIKAWN_x000D_
PO    : NEW HRAUIKAWN_x000D_
PS    : CHAMPHAI_x000D_
Dist  : CHAMPHAI_x000D_
State : MIZORAM_x000D_
Pin   : 796321</t>
  </si>
  <si>
    <t>97011367660</t>
  </si>
  <si>
    <t>02-Mar-2026</t>
  </si>
  <si>
    <t>8160</t>
  </si>
  <si>
    <t>NOK   : SAVITRA MURMU (WIFE)_x000D_
S/O   : SOMLAL HANSDA_x000D_
Vill  :  SARDIHA_x000D_
PO    : CHAMRABAHIAR_x000D_
PS    : JARMUNDI_x000D_
Dist  : DUMKA_x000D_
State : JHARKHAND_x000D_
Pin   : 814118</t>
  </si>
  <si>
    <t>97011021337</t>
  </si>
  <si>
    <t>8162</t>
  </si>
  <si>
    <t>NOK   : RUKMANI DEVI  (WIFE)_x000D_
S/O   : JITAN RAY_x000D_
Vill  :  JHILUWA_x000D_
PO    : MASALIA_x000D_
PS    : MASALIA_x000D_
Dist  : DUMKA_x000D_
State : JHARKHAND_x000D_
Pin   : 814101</t>
  </si>
  <si>
    <t>97017369399</t>
  </si>
  <si>
    <t>8163</t>
  </si>
  <si>
    <t>NOK   : PAKU MARANDI   (WIFE)_x000D_
S/O   : PALTAN HANSDA _x000D_
Vill  : SARDIHA KURUVA_x000D_
PO    : BASUKINATH_x000D_
PS    : JHARMUNDI_x000D_
Dist  : DUMKA_x000D_
State : JHARKHAND_x000D_
Pin   : 814118</t>
  </si>
  <si>
    <t>97017353221</t>
  </si>
  <si>
    <t>8165</t>
  </si>
  <si>
    <t>NOK   : PAYAL HANSDA  (WIFE)_x000D_
S/O   : BABUSHAL SORE  _x000D_
Vill  : JHILUWA_x000D_
PO    : MASALIYA_x000D_
PS    :MASALIYAI_x000D_
Dist  : DUMKA_x000D_
State : JHARKHAND_x000D_
Pin   : 814167</t>
  </si>
  <si>
    <t>97017353196</t>
  </si>
  <si>
    <t>8166</t>
  </si>
  <si>
    <t>20-May-1993</t>
  </si>
  <si>
    <t>NOK   : GITA MURMU  (WIFE)_x000D_
S/O   : DEVAN HEMBROM  _x000D_
Vill  : JARKA_x000D_
PO    : CHAMRABAHIAR_x000D_
PS    :JHARMUNDI_x000D_
Dist  : DUMKA_x000D_
State : JHARKHAND_x000D_
Pin   : 814118</t>
  </si>
  <si>
    <t>97011018234</t>
  </si>
  <si>
    <t>8167</t>
  </si>
  <si>
    <t>NOK   : RANI MURMU  (WIFE)_x000D_
S/O   : RAMESAL MARANDI  _x000D_
Vill  : BEDIYA_x000D_
PO    : CHAMRABAHIAR_x000D_
PS    :JHARMUNDI_x000D_
Dist  : DUMKA_x000D_
State : JHARKHAND_x000D_
Pin   : 814118</t>
  </si>
  <si>
    <t>97010829128</t>
  </si>
  <si>
    <t>8280</t>
  </si>
  <si>
    <t>10-Mar-2004</t>
  </si>
  <si>
    <t>NOK- ABDUL AHAD LASKAR (FATHER)_x000D_
S/O- ABDUL AHAD LASKAR_x000D_
VILL- SAIDPUR PT. III_x000D_
PO- SAIDPUR MUKAM_x000D_
DIST- CACHAR_x000D_
STATE- ASSAM_x000D_
PS- SILCHAR SADAR_x000D_
PIN- 788013</t>
  </si>
  <si>
    <t>7827 6885 4268</t>
  </si>
  <si>
    <t>97017500732</t>
  </si>
  <si>
    <t>8281</t>
  </si>
  <si>
    <t>04-Sep-1984</t>
  </si>
  <si>
    <t>NOK- SARITA TUDU (WIFE)_x000D_
S/O- ISHWAR MURMU_x000D_
VILL- GULAMSULI_x000D_
PO- PARTAPPUR_x000D_
DIST- DUMKA_x000D_
STATE- JHARKHAND_x000D_
PS- RANISHWAR_x000D_
PIN- 814148</t>
  </si>
  <si>
    <t>33610524201</t>
  </si>
  <si>
    <t>01-May-2026</t>
  </si>
  <si>
    <t>8282</t>
  </si>
  <si>
    <t>07-May-2000</t>
  </si>
  <si>
    <t>NOK- USMITA SOREN (WIFE)_x000D_
S/O- LURDHU TUDU_x000D_
VILL- MURGATHALI_x000D_
PO- KARIKADAR_x000D_
DIST- DUMKA_x000D_
STATE- JHARKHAND_x000D_
PS- MASANJOR_x000D_
PIN- 814144</t>
  </si>
  <si>
    <t>41225685063</t>
  </si>
  <si>
    <t>7347</t>
  </si>
  <si>
    <t>11-Sep-1985</t>
  </si>
  <si>
    <t>NOK-LABI BEGUM LASKAR (WIFE)_x000D_
S/O-ILA UDDIN LASKAR_x000D_
VILL-BARIKNAGAR PART III_x000D_
POST-BARIKNAGAR PART III_x000D_
DISTRICT-CACHAR_x000D_
STATE-ASSAM_x000D_
P.S-SILCHAR, SADAR_x000D_
PIN-788013</t>
  </si>
  <si>
    <t>40796307618</t>
  </si>
  <si>
    <t>7298</t>
  </si>
  <si>
    <t>NOK-SHARMILA MURMU (WIFE)_x000D_
S/O-HEMBO HANSDA_x000D_
VILL-KUNJBONA_x000D_
POST-GOLBANHA_x000D_
DISTRICT-DUMKA_x000D_
STATE-JHARKHAND_x000D_
P.S-MASALIA_x000D_
PIN-814146</t>
  </si>
  <si>
    <t>20043535674</t>
  </si>
  <si>
    <t>369310</t>
  </si>
  <si>
    <t>07-Mar-2025</t>
  </si>
  <si>
    <t>7638</t>
  </si>
  <si>
    <t>25-Jun-1991</t>
  </si>
  <si>
    <t>NOK-RINKU DEVI (WIFE)_x000D_
S/O-DINESH RAY_x000D_
Vill -ASANBANI_x000D_
Post -GOWARI_x000D_
PS-MUFFASIL_x000D_
Dist-Dumka_x000D_
State-Jharkhand_x000D_
Pin- 814158</t>
  </si>
  <si>
    <t>44344369990</t>
  </si>
  <si>
    <t>24-Sep-2025</t>
  </si>
  <si>
    <t>8227</t>
  </si>
  <si>
    <t>06-Mar-2004</t>
  </si>
  <si>
    <t>NOK: DEBORY LALNUNHLIMI (WIFE)_x000D_
S/O  : LALTHLANCHHUNGA_x000D_
VILL : HRUAI KAWN OLD_x000D_
POST : HRUAI KAWN_x000D_
DISTT: CHAMPHAI_x000D_
STATE: MIZORAM_x000D_
PIN  : 796321_x000D_
PS   : ZOKHAWTHAR</t>
  </si>
  <si>
    <t>97005601531</t>
  </si>
  <si>
    <t>30-Mar-2026</t>
  </si>
  <si>
    <t>8484</t>
  </si>
  <si>
    <t>05-Feb-2007</t>
  </si>
  <si>
    <t>NOK: PRAMILA DEVI (MOTHER)_x000D_
S/O: SADHU RAY_x000D_
VILL: JHILUWA_x000D_
P-O: MASALIA_x000D_
DIST: DUMKA_x000D_
STATE: JHARKHAND_x000D_
P-S: MASALIA_x000D_
PIN: 814101</t>
  </si>
  <si>
    <t>35062805890</t>
  </si>
  <si>
    <t>7321</t>
  </si>
  <si>
    <t>03-Sep-2005</t>
  </si>
  <si>
    <t>NOK-SALAI KISKU (BROTHER)_x000D_
S/O-BABULAL KISKU_x000D_
VILL-JARRA_x000D_
POST-CHAMRABAHIAR_x000D_
DISTRICT-DUMKA_x000D_
STATE-JHARKHAND_x000D_
P.S-MARMUNDI_x000D_
PIN-814118</t>
  </si>
  <si>
    <t>35286563105</t>
  </si>
  <si>
    <t>6690</t>
  </si>
  <si>
    <t>03-Dec-1996</t>
  </si>
  <si>
    <t>S/O MAHADEO BASKEY_x000D_
Nok - Meena Murmu (Wife)_x000D_
Vill- Jarka_x000D_
Post-Chamrabahiar_x000D_
Dist -Dumka_x000D_
PS- Jarmundi_x000D_
State- Jharkhand_x000D_
Pin- 814118</t>
  </si>
  <si>
    <t>97010408927</t>
  </si>
  <si>
    <t>7381</t>
  </si>
  <si>
    <t>NOK-BHAVESH MARANDI (FATHER)_x000D_
S/O-BHAVESH MARANDI_x000D_
VILL-JHILUWA_x000D_
P.O-MASLIA_x000D_
DIST-DUMKA_x000D_
STATE-JHARKHAND_x000D_
PS-MASALIA_x000D_
PIN-814101</t>
  </si>
  <si>
    <t>97016826869</t>
  </si>
  <si>
    <t>30-Jul-2025</t>
  </si>
  <si>
    <t>7823</t>
  </si>
  <si>
    <t>12-Aug-1983</t>
  </si>
  <si>
    <t>NOK-NGAWIHSIANNGAII (WIFE)_x000D_
S/O-NANGLIANDOVA_x000D_
Vill -VAPAR_x000D_
Post -CHAMPHAI_x000D_
Dist-CHAMPHAI_x000D_
State-MIZORAM_x000D_
PS-CHAMPHAI_x000D_
Pin- 796321</t>
  </si>
  <si>
    <t>97001251590</t>
  </si>
  <si>
    <t>7824</t>
  </si>
  <si>
    <t>30-Jan-2001</t>
  </si>
  <si>
    <t>NOK-MANSIANMUANI (SISTER)_x000D_
S/O-THANGKHANPAUVA_x000D_
Vill -VAPAR_x000D_
Post -CHAMPHAI_x000D_
Dist-CHAMPHAI_x000D_
State-MIZORAM_x000D_
PS-CHAMPHAI_x000D_
Pin- 796321</t>
  </si>
  <si>
    <t>44213488136</t>
  </si>
  <si>
    <t>8293</t>
  </si>
  <si>
    <t>NOK- SONAMUNI MURMU (WIFE)_x000D_
S/O- HOPNA HEMBROM_x000D_
VILL- DOMHANI_x000D_
POST- MUBHANGA_x000D_
DIST- DUMKA_x000D_
STATE- JHARKHAND_x000D_
PS- DUMKA_x000D_
PIN- 814119</t>
  </si>
  <si>
    <t>97017489480</t>
  </si>
  <si>
    <t>8575</t>
  </si>
  <si>
    <t>SHYAM SUNDER SINGH</t>
  </si>
  <si>
    <t>DEVCHARAN SINGH</t>
  </si>
  <si>
    <t>NOK- CHANDAN KUMAR SINGH (SON)
S/O -DEVCHARAN SINGH
VILL-PHAJILPUR
POST-PRATAPPUR
DIST- DUMKA
STATE- JHARKHAND
PS-RANISHWAR
PIN-814148</t>
  </si>
  <si>
    <t>6729 6290 6917</t>
  </si>
  <si>
    <t>32345891134</t>
  </si>
  <si>
    <t>8576</t>
  </si>
  <si>
    <t>LOKHIMOY CHAKMA</t>
  </si>
  <si>
    <t>21-JUL-1996</t>
  </si>
  <si>
    <t>PUNYA DHAN CHAKMA</t>
  </si>
  <si>
    <t>NOK-NUI RANI CHAKMA (WIFE)
S/O- PUNYA DHAN CHAKMA
VILL- MARPARA
POST- MARPARA
DIST-LUNGLEI
STATE- MIZORAM
PS-BUNGHMUH
PIN-796710</t>
  </si>
  <si>
    <t>8464 3069 6630</t>
  </si>
  <si>
    <t>97011750519</t>
  </si>
  <si>
    <t>8577</t>
  </si>
  <si>
    <t>RAJESH SOREN</t>
  </si>
  <si>
    <t>HEMLAL SOREN</t>
  </si>
  <si>
    <t>NOK- ABINA MURMU (WIFE)
S/O HEMLAL SOREN
VILL- HETH BHELWA
POST- THARIHAT
DIST- DUMKA
STATE- JHARKHAND
PS-RAMGARH
PIN-814158</t>
  </si>
  <si>
    <t>6068 8418 4953</t>
  </si>
  <si>
    <t>7832 4550 2311</t>
  </si>
  <si>
    <t>97008635658</t>
  </si>
  <si>
    <t>01-Sep-2026</t>
  </si>
  <si>
    <t>8578</t>
  </si>
  <si>
    <t>MOHAN RAY</t>
  </si>
  <si>
    <t>LEDO RAY</t>
  </si>
  <si>
    <t>NOK- MIRA DEVI (WIFE)
S/O - LEDO RAY
VILL- MADHUKUPI
POST- BARA BANJHI
DIST- GODDA
STATE- JHARKHAND
PS-POREYAHAT
PIN-814153</t>
  </si>
  <si>
    <t>6373 1191 7701</t>
  </si>
  <si>
    <t>7830 7366 6515</t>
  </si>
  <si>
    <t>97016068972</t>
  </si>
  <si>
    <t>225210</t>
  </si>
  <si>
    <t>594520</t>
  </si>
  <si>
    <t>MR No. 74 RCC/26/ SEP 2026, JOB No. ADG (B)/ BFR Cell/ (A/A &amp; E/S) / 2024/831 FMN</t>
  </si>
  <si>
    <t>8285</t>
  </si>
  <si>
    <t>NOK- SUSHANTI MURMU (MOTHER)_x000D_
S/O- SAMLAL HEMBRAM_x000D_
VILL- MUHAJORA_x000D_
POST- BARAPALASI_x000D_
DIST- DUMKA_x000D_
STATE- JHARKHAND_x000D_
PS- JAMA_x000D_
PIN- 814110</t>
  </si>
  <si>
    <t>97007332326</t>
  </si>
  <si>
    <t>8294</t>
  </si>
  <si>
    <t>NOK- KIRONI MURMU (WIFE)_x000D_
S/O- JOGDE HANSDA_x000D_
VILL- SARDIHA_x000D_
POST- SHAMRABAHIAR_x000D_
DIST- DUMKA_x000D_
STATE- JHARKHAND_x000D_
PS- JARMUNDI_x000D_
PIN- 814118</t>
  </si>
  <si>
    <t>97008657139</t>
  </si>
  <si>
    <t>8295</t>
  </si>
  <si>
    <t>NOK- BITYA MARANDI (WIFE)_x000D_
S/O- CHHUTAR MURMU_x000D_
VILL- GULAMSULI_x000D_
POST- PARTAPPUR_x000D_
DIST- DUMKA_x000D_
STATE- JHARKHAND_x000D_
PS- RANISHWAR_x000D_
PIN- 814148</t>
  </si>
  <si>
    <t>97012383965</t>
  </si>
  <si>
    <t>8296</t>
  </si>
  <si>
    <t>NOK- SONOTI MURMU (WIFE)_x000D_
S/O- SUKHU HANSDA_x000D_
VILL- SARDIHA_x000D_
POST- BASUKINATH_x000D_
DIST- DUMKA_x000D_
STATE- JHARKHAND_x000D_
PS- JARMUNDI_x000D_
PIN- 814118</t>
  </si>
  <si>
    <t>97017489515</t>
  </si>
  <si>
    <t>8298</t>
  </si>
  <si>
    <t>25-Aug-1993</t>
  </si>
  <si>
    <t>NOK- RANI MARANDI (WIFE)_x000D_
S/O- BUDINATH HEMBROM_x000D_
VILL- DUDHICUA_x000D_
PO- SARIDAHA_x000D_
DIST- DUMKA_x000D_
STATE- JHARKHAND_x000D_
PS- SIKARIPARA_x000D_
PIN- 816118</t>
  </si>
  <si>
    <t>97017489491</t>
  </si>
  <si>
    <t>8299</t>
  </si>
  <si>
    <t>10-May-1984</t>
  </si>
  <si>
    <t>NOK- PANO HANSDA (WIFE)_x000D_
S/O- LILU HEMBROM_x000D_
VILL- KOLHUWA_x000D_
POST- GUNDALIDANGAL_x000D_
DIST- DUMKA_x000D_
STATE- JHARKHAND_x000D_
PS- JAMA_x000D_
PIN- 814146</t>
  </si>
  <si>
    <t>97017489504</t>
  </si>
  <si>
    <t>8300</t>
  </si>
  <si>
    <t>NOK- TALAKURI TUDU (MOTHER)_x000D_
S/O- DURGA HEMBROM_x000D_
VILL- MURGATHALI_x000D_
POST- KARIKADAR_x000D_
DIST- DUMKA_x000D_
STATE- JHARKHAND_x000D_
PS- MASANJOR_x000D_
PIN- 814144</t>
  </si>
  <si>
    <t>97015651978</t>
  </si>
  <si>
    <t>8301</t>
  </si>
  <si>
    <t>NOK- MIRUNI HEMBROM (SISTER)_x000D_
S/O- LUKHIRAM HEMBROM_x000D_
VILL- KUCHIADAL_x000D_
POST- RANGALIA_x000D_
DIST- DUMKA_x000D_
STATE- JHARKHAND_x000D_
PS- RANISHWAR_x000D_
PIN- 814148</t>
  </si>
  <si>
    <t>97015529040</t>
  </si>
  <si>
    <t>8302</t>
  </si>
  <si>
    <t>97013324635</t>
  </si>
  <si>
    <t>8303</t>
  </si>
  <si>
    <t>97016886353</t>
  </si>
  <si>
    <t>8125</t>
  </si>
  <si>
    <t>17-May-1986</t>
  </si>
  <si>
    <t>NOK   : NAMITA DEVI CHAKMA (WIFE)_x000D_
S/O   : MOLENDRO_x000D_
Vill  : TERABONIA_x000D_
PO    : BUNGHMUN_x000D_
PS    : BUNGHMUN_x000D_
Dist  : LUNGLEI_x000D_
State : MIZORAM_x000D_
Pin   : 796710</t>
  </si>
  <si>
    <t>97003021744</t>
  </si>
  <si>
    <t>8149</t>
  </si>
  <si>
    <t>NOK   : BANA SOREN (WIFE)_x000D_
S/O   : SOMLAL MURMU_x000D_
Vill  : JARKA_x000D_
PO    : CHAMRABAHIAR_x000D_
PS    : JARMUNDI_x000D_
Dist  : DUMKA_x000D_
State : JHARKHAND_x000D_
Pin   : 814118</t>
  </si>
  <si>
    <t>97011020832</t>
  </si>
  <si>
    <t>8150</t>
  </si>
  <si>
    <t>SKD-III/SKD-I</t>
  </si>
  <si>
    <t>03-Feb-2006</t>
  </si>
  <si>
    <t>43718597149</t>
  </si>
  <si>
    <t>8151</t>
  </si>
  <si>
    <t>02-Jun-2000</t>
  </si>
  <si>
    <t>NOK   : SARITA HEMBROM (WIFE)_x000D_
S/O   : BHAVESH MARANDI_x000D_
Vill  : JHILUWA_x000D_
PO    : MASALIA_x000D_
PS    : MASALIA_x000D_
Dist  : DUMKA_x000D_
State : JHARKHAND_x000D_
Pin   : 814101</t>
  </si>
  <si>
    <t>97017322963</t>
  </si>
  <si>
    <t>8153</t>
  </si>
  <si>
    <t>NOK   : TULSI ROY (WIFE)_x000D_
S/O   : RAMVRIKSH RAY_x000D_
Vill  : JHILUWA_x000D_
PO    : MASALIA_x000D_
PS    : MASALIA_x000D_
Dist  : DUMKA_x000D_
State : JHARKHAND_x000D_
Pin   : 814101</t>
  </si>
  <si>
    <t>97017326117</t>
  </si>
  <si>
    <t>8154</t>
  </si>
  <si>
    <t>09-Sep-1999</t>
  </si>
  <si>
    <t>NOK   : FULKUMARI  MARANDI (WIFE)_x000D_
S/O   : KHARE KISKU_x000D_
Vill  : JHILUWA_x000D_
PO    : MASALIA_x000D_
PS    : MASALIA_x000D_
Dist  : DUMKA_x000D_
State : JHARKHAND_x000D_
Pin   : 814101</t>
  </si>
  <si>
    <t>97017322952</t>
  </si>
  <si>
    <t>8155</t>
  </si>
  <si>
    <t>13-Oct-1995</t>
  </si>
  <si>
    <t>6123 8679 4087</t>
  </si>
  <si>
    <t>97017326106</t>
  </si>
  <si>
    <t>8157</t>
  </si>
  <si>
    <t>06-Mar-1995</t>
  </si>
  <si>
    <t>NOK   : VANLALTAWNA (FATHER)_x000D_
S/O   : VANLALTAWMA_x000D_
Vill  :  NEW HRUAIKAWN_x000D_
PO    : NEW HRAUIKAWN_x000D_
PS    : CHAMPHAI_x000D_
Dist  : CHAMPHAI_x000D_
State : MIZORAM_x000D_
Pin   : 796321</t>
  </si>
  <si>
    <t>97004532088</t>
  </si>
  <si>
    <t>8158</t>
  </si>
  <si>
    <t>14-Jul-1999</t>
  </si>
  <si>
    <t>97013413719</t>
  </si>
  <si>
    <t>8168</t>
  </si>
  <si>
    <t>SKD-I/CPDVR</t>
  </si>
  <si>
    <t>97011156592</t>
  </si>
  <si>
    <t>348260</t>
  </si>
  <si>
    <t>09-Mar-2026</t>
  </si>
  <si>
    <t>8169</t>
  </si>
  <si>
    <t>01-Jan-986</t>
  </si>
  <si>
    <t>NOK   :  RATIYA DEVI  (WIFE)_x000D_
S/O   : DEVAHI RAY_x000D_
Vill  : BARAFULJHINJHRI _x000D_
PO    : RAJDAHA_x000D_
PS    : KATHIKUND_x000D_
Dist  : DUMKA_x000D_
State : JHARKHAND_x000D_
Pin   : 816117</t>
  </si>
  <si>
    <t>97017353174</t>
  </si>
  <si>
    <t>8170</t>
  </si>
  <si>
    <t>NOK   :  NASIB KOL  (WIFE)_x000D_
S/O   : MUNA KOL_x000D_
Vill  : JHILUWA _x000D_
PO    : MASALIA_x000D_
PS    : MASALIA_x000D_
Dist  : DUMKA_x000D_
State : JHARKHAND_x000D_
Pin   : 814101</t>
  </si>
  <si>
    <t>97017369388</t>
  </si>
  <si>
    <t>8304</t>
  </si>
  <si>
    <t>NOK- RAJ KUMAR RAY (FATHER)_x000D_
S/O- RAJ KUMAR RAY_x000D_
VILL- PHULJHINHRI_x000D_
POST- PHULJHINHRI_x000D_
DIST- PAKUR_x000D_
STATE- JHARKHAND_x000D_
PS- PAKUREYA_x000D_
PIN- 816117</t>
  </si>
  <si>
    <t>44071037791</t>
  </si>
  <si>
    <t>15-May-2026</t>
  </si>
  <si>
    <t>8305</t>
  </si>
  <si>
    <t>NOK- NAMITA RAY (WIFE)_x000D_
S/O- FAGU RAY_x000D_
VILL- BANWAKI_x000D_
POST- PRATAPPUR_x000D_
DIST- DUMKA_x000D_
STATE- JHARKHAND_x000D_
PS- RANISHWAR_x000D_
PIN- 814148</t>
  </si>
  <si>
    <t>97012265261</t>
  </si>
  <si>
    <t>8152</t>
  </si>
  <si>
    <t>NOK   : FUL KUMARI (MOTHER)_x000D_
S/O   : RADHESHYAM RAY_x000D_
Vill  : JHILUWA_x000D_
PO    : MASALIA_x000D_
PS    : MASALIA_x000D_
Dist  : DUMKA_x000D_
State : JHARKHAND_x000D_
Pin   : 814101</t>
  </si>
  <si>
    <t>44777897815</t>
  </si>
  <si>
    <t>6818</t>
  </si>
  <si>
    <t>04-May-1999</t>
  </si>
  <si>
    <t>S/O ASAWINI BARMAN_x000D_
Nok - ASAWINI BARMAN (FATHER)_x000D_
Vill- KANTHAL BARI_x000D_
Post-DALIMPUR_x000D_
Dist -JALPAIGURI_x000D_
PS- FALAKATA_x000D_
State- WEST BENGAL_x000D_
Pin- 735211</t>
  </si>
  <si>
    <t>39955909793</t>
  </si>
  <si>
    <t>8283</t>
  </si>
  <si>
    <t>NOK- SUKARMUNI KISKU (AUNTY)_x000D_
S/O- MISHIL KISKU_x000D_
VILL- SALTALA_x000D_
POST- RANGALIA_x000D_
DIST- DUMKA_x000D_
STATE- JHARKHAND_x000D_
PS- RANISHWAR_x000D_
PIN- 814148</t>
  </si>
  <si>
    <t>97010368711</t>
  </si>
  <si>
    <t>8284</t>
  </si>
  <si>
    <t>NOK- MALOTI HEMBRAM (MOTHER)_x000D_
S/O- RASIK SOREN_x000D_
VILL- GULAMSULI_x000D_
POST- PARTAPPUR_x000D_
DIST- DUMKA_x000D_
STATE- JHARKHAND_x000D_
PS- RANESHWAR_x000D_
PIN- 814148</t>
  </si>
  <si>
    <t>97008628084</t>
  </si>
  <si>
    <t>8286</t>
  </si>
  <si>
    <t>06-Apr-2003</t>
  </si>
  <si>
    <t>NOK- SUKLAL HEMBROM (BROTHER)_x000D_
S/O- SAMLAL HEMBROM_x000D_
VILL- MUHAJOVA_x000D_
POST- BARAPALASI_x000D_
DIST- DUMKA_x000D_
STATE- JHARKHAND_x000D_
PS- JAMA_x000D_
PIN- 814110</t>
  </si>
  <si>
    <t>97009765563</t>
  </si>
  <si>
    <t>8287</t>
  </si>
  <si>
    <t>NOK- BETIMAY TUDU (MOTHER)_x000D_
S/O- MANJHI MURMU_x000D_
VILL- BARAJ_x000D_
POST- CHENPUR KERABANI_x000D_
DIST- DUMKA_x000D_
STATE- JHARKHAND_x000D_
PS- DUMKA_x000D_
PIN- 814158</t>
  </si>
  <si>
    <t>97007332291</t>
  </si>
  <si>
    <t>8288</t>
  </si>
  <si>
    <t>NOK- PANMUNI HANSDA (WIFE)_x000D_
S/O- BHOGAN HEMBROM_x000D_
VILL- DHAWATANR_x000D_
POST- BANWARA_x000D_
DIST- DUMKA_x000D_
STATE- JHARKHAND_x000D_
PS- JARMUNDIH_x000D_
PIN- 814141</t>
  </si>
  <si>
    <t>41116416797</t>
  </si>
  <si>
    <t>8289</t>
  </si>
  <si>
    <t>NOK- SONAMUNI HANSDA (WIFE)_x000D_
S/O- TURYA MARANDI_x000D_
VILL- GULAMSULI_x000D_
POST- PARTAPPUR_x000D_
DIST- DUMKA_x000D_
STATE- JHARKHAND_x000D_
PS- RANISHWAR_x000D_
PIN- 814148</t>
  </si>
  <si>
    <t>97010928232</t>
  </si>
  <si>
    <t>8290</t>
  </si>
  <si>
    <t>NOK- RUBI MARANDI (MOTHER)_x000D_
S/O- BABURAM SOREN_x000D_
VILL- GULAMSULI_x000D_
POST- PARTAPPUR_x000D_
DIST- DUMKA_x000D_
STATE- JHARKHAND_x000D_
PS- RANISHWAR_x000D_
PIN- 814148</t>
  </si>
  <si>
    <t>97009549042</t>
  </si>
  <si>
    <t>8291</t>
  </si>
  <si>
    <t>NOK- SUKUMAR TUDU (WIFE)_x000D_
S/O- BOSA MURMU_x000D_
VILL- GULAMSULI_x000D_
POST- PARTAPPUR_x000D_
DIST- DUMKA_x000D_
STATE- JHARKHAND_x000D_
PS- RANISHWAR_x000D_
PIN- 814148</t>
  </si>
  <si>
    <t>97011127356</t>
  </si>
  <si>
    <t>8292</t>
  </si>
  <si>
    <t>NOK- UNALI HASDA (WIFE)_x000D_
S/O- GOVIND HEMBROM_x000D_
VILL- GULAMSULI_x000D_
POST- PARTAPPUR_x000D_
DIST- DUMKA_x000D_
STATE- JHARKHAND_x000D_
PS- RANISHWAR_x000D_
PIN- 814148</t>
  </si>
  <si>
    <t>97010801282</t>
  </si>
  <si>
    <t>616040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</si>
</sst>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\ 0000\ 0000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6" fillId="0" borderId="0">
      <alignment vertical="center"/>
    </xf>
    <xf numFmtId="165" fontId="7" fillId="0" borderId="0">
      <alignment vertical="top"/>
      <protection locked="0"/>
    </xf>
    <xf numFmtId="165" fontId="1" fillId="0" borderId="0" applyFont="0" applyFill="0" applyBorder="0" applyAlignment="0" applyProtection="0"/>
  </cellStyleXfs>
  <cellXfs count="36">
    <xf numFmtId="0" fontId="0" fillId="0" borderId="0" xfId="0"/>
    <xf numFmtId="165" fontId="2" fillId="0" borderId="1" xfId="1" applyNumberFormat="1" applyFont="1" applyFill="1" applyBorder="1" applyAlignment="1">
      <alignment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" xfId="2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5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/>
    <xf numFmtId="0" fontId="4" fillId="3" borderId="2" xfId="0" applyFont="1" applyFill="1" applyBorder="1" applyAlignment="1">
      <alignment horizontal="center" vertical="center"/>
    </xf>
  </cellXfs>
  <cellStyles count="7">
    <cellStyle name="Comma" xfId="1" builtinId="3"/>
    <cellStyle name="Comma 2" xfId="5" xr:uid="{47CB314D-517C-4511-9392-2B56C676A93F}"/>
    <cellStyle name="Comma 3" xfId="6" xr:uid="{AF59ECBD-2682-4BC5-9B6A-E92EBC14D6E1}"/>
    <cellStyle name="Comma 4" xfId="3" xr:uid="{C94B8CCA-995A-4F65-A8DD-88EDBF76E6CC}"/>
    <cellStyle name="Normal" xfId="0" builtinId="0"/>
    <cellStyle name="Normal 2" xfId="4" xr:uid="{6BF8C1A2-D88C-4B94-96BD-AD90F2D27FDE}"/>
    <cellStyle name="Normal 3" xfId="2" xr:uid="{CCEF05C9-9D48-4A9D-B2FA-F7A0D350303A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BCA5E3-97E0-435A-BC12-C62B888D4A7B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CFE8-DBC0-426A-8BE2-5B124CAF157F}">
  <sheetPr>
    <tabColor rgb="FF00B050"/>
  </sheetPr>
  <dimension ref="A1:X1139"/>
  <sheetViews>
    <sheetView topLeftCell="E1097" zoomScale="85" zoomScaleNormal="85" workbookViewId="0">
      <selection activeCell="E1097" sqref="A1:XFD1048576"/>
    </sheetView>
  </sheetViews>
  <sheetFormatPr defaultRowHeight="14.4" x14ac:dyDescent="0.3"/>
  <cols>
    <col min="1" max="1" width="6.5546875" bestFit="1" customWidth="1"/>
    <col min="2" max="2" width="8.109375" bestFit="1" customWidth="1"/>
    <col min="3" max="3" width="16.5546875" bestFit="1" customWidth="1"/>
    <col min="4" max="4" width="37.88671875" bestFit="1" customWidth="1"/>
    <col min="5" max="5" width="14.88671875" bestFit="1" customWidth="1"/>
    <col min="6" max="6" width="39.33203125" bestFit="1" customWidth="1"/>
    <col min="20" max="20" width="13" bestFit="1" customWidth="1"/>
    <col min="23" max="23" width="14.33203125" customWidth="1"/>
    <col min="24" max="24" width="13.88671875" bestFit="1" customWidth="1"/>
  </cols>
  <sheetData>
    <row r="1" spans="1:24" ht="15.6" x14ac:dyDescent="0.3">
      <c r="A1" s="34" t="s">
        <v>4153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40.4" x14ac:dyDescent="0.3">
      <c r="A2" s="23" t="s">
        <v>42</v>
      </c>
      <c r="B2" s="23" t="s">
        <v>43</v>
      </c>
      <c r="C2" s="24" t="s">
        <v>44</v>
      </c>
      <c r="D2" s="24" t="s">
        <v>4154</v>
      </c>
      <c r="E2" s="24" t="s">
        <v>4155</v>
      </c>
      <c r="F2" s="24" t="s">
        <v>4156</v>
      </c>
      <c r="G2" s="24" t="s">
        <v>45</v>
      </c>
      <c r="H2" s="24" t="s">
        <v>4157</v>
      </c>
      <c r="I2" s="24" t="s">
        <v>46</v>
      </c>
      <c r="J2" s="24" t="s">
        <v>4158</v>
      </c>
      <c r="K2" s="24" t="s">
        <v>4159</v>
      </c>
      <c r="L2" s="24" t="s">
        <v>4160</v>
      </c>
      <c r="M2" s="24" t="s">
        <v>4161</v>
      </c>
      <c r="N2" s="24" t="s">
        <v>47</v>
      </c>
      <c r="O2" s="24" t="s">
        <v>48</v>
      </c>
      <c r="P2" s="24" t="s">
        <v>49</v>
      </c>
      <c r="Q2" s="24" t="s">
        <v>50</v>
      </c>
      <c r="R2" s="23" t="s">
        <v>4162</v>
      </c>
      <c r="S2" s="23" t="s">
        <v>4163</v>
      </c>
      <c r="T2" s="23" t="s">
        <v>4164</v>
      </c>
      <c r="U2" s="23" t="s">
        <v>4165</v>
      </c>
      <c r="V2" s="24" t="s">
        <v>51</v>
      </c>
      <c r="W2" s="24" t="s">
        <v>52</v>
      </c>
      <c r="X2" s="24" t="s">
        <v>53</v>
      </c>
    </row>
    <row r="3" spans="1:24" ht="15" x14ac:dyDescent="0.3">
      <c r="A3" s="3">
        <v>1</v>
      </c>
      <c r="B3" s="3" t="s">
        <v>4166</v>
      </c>
      <c r="C3" s="14" t="s">
        <v>710</v>
      </c>
      <c r="D3" s="14" t="s">
        <v>2888</v>
      </c>
      <c r="E3" s="14" t="s">
        <v>4167</v>
      </c>
      <c r="F3" s="14" t="s">
        <v>2889</v>
      </c>
      <c r="G3" s="14" t="s">
        <v>3</v>
      </c>
      <c r="H3" s="14" t="s">
        <v>4168</v>
      </c>
      <c r="I3" s="14" t="s">
        <v>2890</v>
      </c>
      <c r="J3" s="14" t="s">
        <v>60</v>
      </c>
      <c r="K3" s="14" t="s">
        <v>60</v>
      </c>
      <c r="L3" s="14" t="s">
        <v>60</v>
      </c>
      <c r="M3" s="14" t="s">
        <v>2891</v>
      </c>
      <c r="N3" s="14" t="s">
        <v>60</v>
      </c>
      <c r="O3" s="14" t="s">
        <v>60</v>
      </c>
      <c r="P3" s="14" t="s">
        <v>4169</v>
      </c>
      <c r="Q3" s="14" t="s">
        <v>5</v>
      </c>
      <c r="R3" s="3" t="s">
        <v>4170</v>
      </c>
      <c r="S3" s="3">
        <f t="shared" ref="S3:S66" si="0">IF(RIGHT(C3,3)="MAZ",550,IF(RIGHT(C3,4)="MATE",570,IF(RIGHT(C3,7)="SKD-III",640,IF(RIGHT(C3,6)="SKD-II",770,IF(RIGHT(C3,5)="SKD-I",900,IF(RIGHT(C3,5)="CPDVR",770,""))))))</f>
        <v>900</v>
      </c>
      <c r="T3" s="3">
        <f t="shared" ref="T3:T66" si="1">R3*S3</f>
        <v>27900</v>
      </c>
      <c r="U3" s="3" t="s">
        <v>60</v>
      </c>
      <c r="V3" s="14" t="s">
        <v>6</v>
      </c>
      <c r="W3" s="14" t="s">
        <v>2892</v>
      </c>
      <c r="X3" s="14" t="s">
        <v>60</v>
      </c>
    </row>
    <row r="4" spans="1:24" ht="15" x14ac:dyDescent="0.3">
      <c r="A4" s="3">
        <v>2</v>
      </c>
      <c r="B4" s="3" t="s">
        <v>4171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</v>
      </c>
      <c r="H4" s="14" t="s">
        <v>4172</v>
      </c>
      <c r="I4" s="14" t="s">
        <v>30</v>
      </c>
      <c r="J4" s="14" t="s">
        <v>60</v>
      </c>
      <c r="K4" s="14" t="s">
        <v>60</v>
      </c>
      <c r="L4" s="14" t="s">
        <v>60</v>
      </c>
      <c r="M4" s="14" t="s">
        <v>60</v>
      </c>
      <c r="N4" s="14" t="s">
        <v>60</v>
      </c>
      <c r="O4" s="14" t="s">
        <v>31</v>
      </c>
      <c r="P4" s="14" t="s">
        <v>4173</v>
      </c>
      <c r="Q4" s="14" t="s">
        <v>32</v>
      </c>
      <c r="R4" s="3" t="s">
        <v>4170</v>
      </c>
      <c r="S4" s="3">
        <f t="shared" si="0"/>
        <v>770</v>
      </c>
      <c r="T4" s="3">
        <f t="shared" si="1"/>
        <v>23870</v>
      </c>
      <c r="U4" s="3" t="s">
        <v>60</v>
      </c>
      <c r="V4" s="14" t="s">
        <v>6</v>
      </c>
      <c r="W4" s="14" t="s">
        <v>33</v>
      </c>
      <c r="X4" s="14" t="s">
        <v>60</v>
      </c>
    </row>
    <row r="5" spans="1:24" ht="15" x14ac:dyDescent="0.3">
      <c r="A5" s="3">
        <v>3</v>
      </c>
      <c r="B5" s="3" t="s">
        <v>4174</v>
      </c>
      <c r="C5" s="14" t="s">
        <v>710</v>
      </c>
      <c r="D5" s="14" t="s">
        <v>2938</v>
      </c>
      <c r="E5" s="14" t="s">
        <v>4175</v>
      </c>
      <c r="F5" s="14" t="s">
        <v>2939</v>
      </c>
      <c r="G5" s="14" t="s">
        <v>3</v>
      </c>
      <c r="H5" s="14" t="s">
        <v>4176</v>
      </c>
      <c r="I5" s="14" t="s">
        <v>4177</v>
      </c>
      <c r="J5" s="14" t="s">
        <v>60</v>
      </c>
      <c r="K5" s="14" t="s">
        <v>60</v>
      </c>
      <c r="L5" s="14" t="s">
        <v>60</v>
      </c>
      <c r="M5" s="14" t="s">
        <v>60</v>
      </c>
      <c r="N5" s="14" t="s">
        <v>60</v>
      </c>
      <c r="O5" s="14" t="s">
        <v>4</v>
      </c>
      <c r="P5" s="14" t="s">
        <v>4178</v>
      </c>
      <c r="Q5" s="14" t="s">
        <v>11</v>
      </c>
      <c r="R5" s="3" t="s">
        <v>4170</v>
      </c>
      <c r="S5" s="3">
        <f t="shared" si="0"/>
        <v>900</v>
      </c>
      <c r="T5" s="3">
        <f t="shared" si="1"/>
        <v>27900</v>
      </c>
      <c r="U5" s="3" t="s">
        <v>60</v>
      </c>
      <c r="V5" s="14" t="s">
        <v>6</v>
      </c>
      <c r="W5" s="14" t="s">
        <v>7</v>
      </c>
      <c r="X5" s="14" t="s">
        <v>60</v>
      </c>
    </row>
    <row r="6" spans="1:24" ht="15" x14ac:dyDescent="0.3">
      <c r="A6" s="3">
        <v>4</v>
      </c>
      <c r="B6" s="3" t="s">
        <v>4179</v>
      </c>
      <c r="C6" s="14" t="s">
        <v>0</v>
      </c>
      <c r="D6" s="14" t="s">
        <v>3074</v>
      </c>
      <c r="E6" s="14" t="s">
        <v>4180</v>
      </c>
      <c r="F6" s="14" t="s">
        <v>3075</v>
      </c>
      <c r="G6" s="14" t="s">
        <v>3</v>
      </c>
      <c r="H6" s="14" t="s">
        <v>4181</v>
      </c>
      <c r="I6" s="14" t="s">
        <v>4182</v>
      </c>
      <c r="J6" s="14" t="s">
        <v>60</v>
      </c>
      <c r="K6" s="14" t="s">
        <v>60</v>
      </c>
      <c r="L6" s="14" t="s">
        <v>60</v>
      </c>
      <c r="M6" s="14" t="s">
        <v>3076</v>
      </c>
      <c r="N6" s="14" t="s">
        <v>60</v>
      </c>
      <c r="O6" s="14" t="s">
        <v>60</v>
      </c>
      <c r="P6" s="14" t="s">
        <v>4183</v>
      </c>
      <c r="Q6" s="14" t="s">
        <v>5</v>
      </c>
      <c r="R6" s="3" t="s">
        <v>4170</v>
      </c>
      <c r="S6" s="3">
        <f t="shared" si="0"/>
        <v>550</v>
      </c>
      <c r="T6" s="3">
        <f t="shared" si="1"/>
        <v>17050</v>
      </c>
      <c r="U6" s="3" t="s">
        <v>60</v>
      </c>
      <c r="V6" s="14" t="s">
        <v>6</v>
      </c>
      <c r="W6" s="14" t="s">
        <v>20</v>
      </c>
      <c r="X6" s="14" t="s">
        <v>60</v>
      </c>
    </row>
    <row r="7" spans="1:24" ht="15" x14ac:dyDescent="0.3">
      <c r="A7" s="3">
        <v>5</v>
      </c>
      <c r="B7" s="3" t="s">
        <v>4184</v>
      </c>
      <c r="C7" s="14" t="s">
        <v>0</v>
      </c>
      <c r="D7" s="14" t="s">
        <v>3077</v>
      </c>
      <c r="E7" s="14" t="s">
        <v>4185</v>
      </c>
      <c r="F7" s="14" t="s">
        <v>3078</v>
      </c>
      <c r="G7" s="14" t="s">
        <v>3</v>
      </c>
      <c r="H7" s="14" t="s">
        <v>4186</v>
      </c>
      <c r="I7" s="14" t="s">
        <v>4187</v>
      </c>
      <c r="J7" s="14" t="s">
        <v>60</v>
      </c>
      <c r="K7" s="14" t="s">
        <v>60</v>
      </c>
      <c r="L7" s="14" t="s">
        <v>60</v>
      </c>
      <c r="M7" s="14" t="s">
        <v>3079</v>
      </c>
      <c r="N7" s="14" t="s">
        <v>60</v>
      </c>
      <c r="O7" s="14" t="s">
        <v>60</v>
      </c>
      <c r="P7" s="14" t="s">
        <v>4188</v>
      </c>
      <c r="Q7" s="14" t="s">
        <v>5</v>
      </c>
      <c r="R7" s="3" t="s">
        <v>4170</v>
      </c>
      <c r="S7" s="3">
        <f t="shared" si="0"/>
        <v>550</v>
      </c>
      <c r="T7" s="3">
        <f t="shared" si="1"/>
        <v>17050</v>
      </c>
      <c r="U7" s="3" t="s">
        <v>60</v>
      </c>
      <c r="V7" s="14" t="s">
        <v>6</v>
      </c>
      <c r="W7" s="14" t="s">
        <v>20</v>
      </c>
      <c r="X7" s="14" t="s">
        <v>60</v>
      </c>
    </row>
    <row r="8" spans="1:24" ht="15" x14ac:dyDescent="0.3">
      <c r="A8" s="3">
        <v>6</v>
      </c>
      <c r="B8" s="3" t="s">
        <v>4189</v>
      </c>
      <c r="C8" s="14" t="s">
        <v>0</v>
      </c>
      <c r="D8" s="14" t="s">
        <v>3080</v>
      </c>
      <c r="E8" s="14" t="s">
        <v>4190</v>
      </c>
      <c r="F8" s="14" t="s">
        <v>3081</v>
      </c>
      <c r="G8" s="14" t="s">
        <v>3</v>
      </c>
      <c r="H8" s="14" t="s">
        <v>4191</v>
      </c>
      <c r="I8" s="14" t="s">
        <v>3082</v>
      </c>
      <c r="J8" s="14" t="s">
        <v>60</v>
      </c>
      <c r="K8" s="14" t="s">
        <v>60</v>
      </c>
      <c r="L8" s="14" t="s">
        <v>60</v>
      </c>
      <c r="M8" s="14" t="s">
        <v>3083</v>
      </c>
      <c r="N8" s="14" t="s">
        <v>60</v>
      </c>
      <c r="O8" s="14" t="s">
        <v>60</v>
      </c>
      <c r="P8" s="14" t="s">
        <v>4192</v>
      </c>
      <c r="Q8" s="14" t="s">
        <v>11</v>
      </c>
      <c r="R8" s="3" t="s">
        <v>4170</v>
      </c>
      <c r="S8" s="3">
        <f t="shared" si="0"/>
        <v>550</v>
      </c>
      <c r="T8" s="3">
        <f t="shared" si="1"/>
        <v>17050</v>
      </c>
      <c r="U8" s="3" t="s">
        <v>60</v>
      </c>
      <c r="V8" s="14" t="s">
        <v>6</v>
      </c>
      <c r="W8" s="14" t="s">
        <v>4193</v>
      </c>
      <c r="X8" s="14" t="s">
        <v>60</v>
      </c>
    </row>
    <row r="9" spans="1:24" ht="15" x14ac:dyDescent="0.3">
      <c r="A9" s="3">
        <v>7</v>
      </c>
      <c r="B9" s="3" t="s">
        <v>4194</v>
      </c>
      <c r="C9" s="14" t="s">
        <v>0</v>
      </c>
      <c r="D9" s="14" t="s">
        <v>3084</v>
      </c>
      <c r="E9" s="14" t="s">
        <v>4195</v>
      </c>
      <c r="F9" s="14" t="s">
        <v>3085</v>
      </c>
      <c r="G9" s="14" t="s">
        <v>3</v>
      </c>
      <c r="H9" s="14" t="s">
        <v>4196</v>
      </c>
      <c r="I9" s="14" t="s">
        <v>3086</v>
      </c>
      <c r="J9" s="14" t="s">
        <v>60</v>
      </c>
      <c r="K9" s="14" t="s">
        <v>60</v>
      </c>
      <c r="L9" s="14" t="s">
        <v>60</v>
      </c>
      <c r="M9" s="14" t="s">
        <v>60</v>
      </c>
      <c r="N9" s="14" t="s">
        <v>60</v>
      </c>
      <c r="O9" s="14" t="s">
        <v>60</v>
      </c>
      <c r="P9" s="14" t="s">
        <v>4197</v>
      </c>
      <c r="Q9" s="14" t="s">
        <v>1718</v>
      </c>
      <c r="R9" s="3" t="s">
        <v>4170</v>
      </c>
      <c r="S9" s="3">
        <f t="shared" si="0"/>
        <v>550</v>
      </c>
      <c r="T9" s="3">
        <f t="shared" si="1"/>
        <v>17050</v>
      </c>
      <c r="U9" s="3" t="s">
        <v>60</v>
      </c>
      <c r="V9" s="14" t="s">
        <v>6</v>
      </c>
      <c r="W9" s="14" t="s">
        <v>4198</v>
      </c>
      <c r="X9" s="14" t="s">
        <v>60</v>
      </c>
    </row>
    <row r="10" spans="1:24" ht="15" x14ac:dyDescent="0.3">
      <c r="A10" s="3">
        <v>8</v>
      </c>
      <c r="B10" s="3" t="s">
        <v>4199</v>
      </c>
      <c r="C10" s="14" t="s">
        <v>0</v>
      </c>
      <c r="D10" s="14" t="s">
        <v>3087</v>
      </c>
      <c r="E10" s="14" t="s">
        <v>4200</v>
      </c>
      <c r="F10" s="14" t="s">
        <v>3088</v>
      </c>
      <c r="G10" s="14" t="s">
        <v>3</v>
      </c>
      <c r="H10" s="14" t="s">
        <v>3089</v>
      </c>
      <c r="I10" s="14" t="s">
        <v>3090</v>
      </c>
      <c r="J10" s="14" t="s">
        <v>60</v>
      </c>
      <c r="K10" s="14" t="s">
        <v>60</v>
      </c>
      <c r="L10" s="14" t="s">
        <v>60</v>
      </c>
      <c r="M10" s="14" t="s">
        <v>3091</v>
      </c>
      <c r="N10" s="14" t="s">
        <v>60</v>
      </c>
      <c r="O10" s="14" t="s">
        <v>261</v>
      </c>
      <c r="P10" s="14" t="s">
        <v>4201</v>
      </c>
      <c r="Q10" s="14" t="s">
        <v>2723</v>
      </c>
      <c r="R10" s="3" t="s">
        <v>68</v>
      </c>
      <c r="S10" s="3">
        <f t="shared" si="0"/>
        <v>550</v>
      </c>
      <c r="T10" s="3">
        <f t="shared" si="1"/>
        <v>0</v>
      </c>
      <c r="U10" s="3" t="s">
        <v>60</v>
      </c>
      <c r="V10" s="14" t="s">
        <v>3889</v>
      </c>
      <c r="W10" s="14" t="s">
        <v>4202</v>
      </c>
      <c r="X10" s="14" t="s">
        <v>4203</v>
      </c>
    </row>
    <row r="11" spans="1:24" ht="15" x14ac:dyDescent="0.3">
      <c r="A11" s="3">
        <v>9</v>
      </c>
      <c r="B11" s="3" t="s">
        <v>4204</v>
      </c>
      <c r="C11" s="14" t="s">
        <v>0</v>
      </c>
      <c r="D11" s="14" t="s">
        <v>3092</v>
      </c>
      <c r="E11" s="14" t="s">
        <v>4205</v>
      </c>
      <c r="F11" s="14" t="s">
        <v>3093</v>
      </c>
      <c r="G11" s="14" t="s">
        <v>121</v>
      </c>
      <c r="H11" s="14" t="s">
        <v>4206</v>
      </c>
      <c r="I11" s="14" t="s">
        <v>3094</v>
      </c>
      <c r="J11" s="14" t="s">
        <v>60</v>
      </c>
      <c r="K11" s="14" t="s">
        <v>60</v>
      </c>
      <c r="L11" s="14" t="s">
        <v>60</v>
      </c>
      <c r="M11" s="14" t="s">
        <v>3095</v>
      </c>
      <c r="N11" s="14" t="s">
        <v>60</v>
      </c>
      <c r="O11" s="14" t="s">
        <v>60</v>
      </c>
      <c r="P11" s="14" t="s">
        <v>4207</v>
      </c>
      <c r="Q11" s="14" t="s">
        <v>11</v>
      </c>
      <c r="R11" s="3" t="s">
        <v>4170</v>
      </c>
      <c r="S11" s="3">
        <f t="shared" si="0"/>
        <v>550</v>
      </c>
      <c r="T11" s="3">
        <f t="shared" si="1"/>
        <v>17050</v>
      </c>
      <c r="U11" s="3" t="s">
        <v>60</v>
      </c>
      <c r="V11" s="14" t="s">
        <v>4208</v>
      </c>
      <c r="W11" s="14" t="s">
        <v>4209</v>
      </c>
      <c r="X11" s="14" t="s">
        <v>60</v>
      </c>
    </row>
    <row r="12" spans="1:24" ht="15" x14ac:dyDescent="0.3">
      <c r="A12" s="3">
        <v>10</v>
      </c>
      <c r="B12" s="3" t="s">
        <v>4210</v>
      </c>
      <c r="C12" s="14" t="s">
        <v>0</v>
      </c>
      <c r="D12" s="14" t="s">
        <v>2939</v>
      </c>
      <c r="E12" s="14" t="s">
        <v>4211</v>
      </c>
      <c r="F12" s="14" t="s">
        <v>171</v>
      </c>
      <c r="G12" s="14" t="s">
        <v>3</v>
      </c>
      <c r="H12" s="14" t="s">
        <v>4212</v>
      </c>
      <c r="I12" s="14" t="s">
        <v>3096</v>
      </c>
      <c r="J12" s="14" t="s">
        <v>60</v>
      </c>
      <c r="K12" s="14" t="s">
        <v>60</v>
      </c>
      <c r="L12" s="14" t="s">
        <v>60</v>
      </c>
      <c r="M12" s="14" t="s">
        <v>3097</v>
      </c>
      <c r="N12" s="14" t="s">
        <v>60</v>
      </c>
      <c r="O12" s="14" t="s">
        <v>60</v>
      </c>
      <c r="P12" s="14" t="s">
        <v>4213</v>
      </c>
      <c r="Q12" s="14" t="s">
        <v>11</v>
      </c>
      <c r="R12" s="3" t="s">
        <v>4170</v>
      </c>
      <c r="S12" s="3">
        <f t="shared" si="0"/>
        <v>550</v>
      </c>
      <c r="T12" s="3">
        <f t="shared" si="1"/>
        <v>17050</v>
      </c>
      <c r="U12" s="3" t="s">
        <v>60</v>
      </c>
      <c r="V12" s="14" t="s">
        <v>4208</v>
      </c>
      <c r="W12" s="14" t="s">
        <v>4214</v>
      </c>
      <c r="X12" s="14" t="s">
        <v>60</v>
      </c>
    </row>
    <row r="13" spans="1:24" ht="15" x14ac:dyDescent="0.3">
      <c r="A13" s="3">
        <v>11</v>
      </c>
      <c r="B13" s="3" t="s">
        <v>4215</v>
      </c>
      <c r="C13" s="14" t="s">
        <v>0</v>
      </c>
      <c r="D13" s="14" t="s">
        <v>2383</v>
      </c>
      <c r="E13" s="14" t="s">
        <v>4216</v>
      </c>
      <c r="F13" s="14" t="s">
        <v>3098</v>
      </c>
      <c r="G13" s="14" t="s">
        <v>3</v>
      </c>
      <c r="H13" s="14" t="s">
        <v>4217</v>
      </c>
      <c r="I13" s="14" t="s">
        <v>3099</v>
      </c>
      <c r="J13" s="14" t="s">
        <v>60</v>
      </c>
      <c r="K13" s="14" t="s">
        <v>60</v>
      </c>
      <c r="L13" s="14" t="s">
        <v>60</v>
      </c>
      <c r="M13" s="14" t="s">
        <v>3100</v>
      </c>
      <c r="N13" s="14" t="s">
        <v>60</v>
      </c>
      <c r="O13" s="14" t="s">
        <v>60</v>
      </c>
      <c r="P13" s="14" t="s">
        <v>4218</v>
      </c>
      <c r="Q13" s="14" t="s">
        <v>11</v>
      </c>
      <c r="R13" s="3" t="s">
        <v>4170</v>
      </c>
      <c r="S13" s="3">
        <f t="shared" si="0"/>
        <v>550</v>
      </c>
      <c r="T13" s="3">
        <f t="shared" si="1"/>
        <v>17050</v>
      </c>
      <c r="U13" s="3" t="s">
        <v>60</v>
      </c>
      <c r="V13" s="14" t="s">
        <v>4208</v>
      </c>
      <c r="W13" s="14" t="s">
        <v>4214</v>
      </c>
      <c r="X13" s="14" t="s">
        <v>60</v>
      </c>
    </row>
    <row r="14" spans="1:24" ht="15" x14ac:dyDescent="0.3">
      <c r="A14" s="3">
        <v>12</v>
      </c>
      <c r="B14" s="3" t="s">
        <v>4219</v>
      </c>
      <c r="C14" s="14" t="s">
        <v>0</v>
      </c>
      <c r="D14" s="14" t="s">
        <v>3101</v>
      </c>
      <c r="E14" s="14" t="s">
        <v>3102</v>
      </c>
      <c r="F14" s="14" t="s">
        <v>3103</v>
      </c>
      <c r="G14" s="14" t="s">
        <v>3</v>
      </c>
      <c r="H14" s="14" t="s">
        <v>4220</v>
      </c>
      <c r="I14" s="14" t="s">
        <v>4221</v>
      </c>
      <c r="J14" s="14" t="s">
        <v>60</v>
      </c>
      <c r="K14" s="14" t="s">
        <v>60</v>
      </c>
      <c r="L14" s="14" t="s">
        <v>60</v>
      </c>
      <c r="M14" s="14" t="s">
        <v>60</v>
      </c>
      <c r="N14" s="14" t="s">
        <v>60</v>
      </c>
      <c r="O14" s="14" t="s">
        <v>4</v>
      </c>
      <c r="P14" s="14" t="s">
        <v>4222</v>
      </c>
      <c r="Q14" s="14" t="s">
        <v>5</v>
      </c>
      <c r="R14" s="3" t="s">
        <v>4223</v>
      </c>
      <c r="S14" s="3">
        <f t="shared" si="0"/>
        <v>550</v>
      </c>
      <c r="T14" s="3">
        <f t="shared" si="1"/>
        <v>8800</v>
      </c>
      <c r="U14" s="3" t="s">
        <v>60</v>
      </c>
      <c r="V14" s="14" t="s">
        <v>6</v>
      </c>
      <c r="W14" s="14" t="s">
        <v>7</v>
      </c>
      <c r="X14" s="14" t="s">
        <v>60</v>
      </c>
    </row>
    <row r="15" spans="1:24" ht="15" x14ac:dyDescent="0.3">
      <c r="A15" s="3">
        <v>13</v>
      </c>
      <c r="B15" s="3" t="s">
        <v>4224</v>
      </c>
      <c r="C15" s="14" t="s">
        <v>0</v>
      </c>
      <c r="D15" s="14" t="s">
        <v>3104</v>
      </c>
      <c r="E15" s="14" t="s">
        <v>991</v>
      </c>
      <c r="F15" s="14" t="s">
        <v>3105</v>
      </c>
      <c r="G15" s="14" t="s">
        <v>3</v>
      </c>
      <c r="H15" s="14" t="s">
        <v>3106</v>
      </c>
      <c r="I15" s="14" t="s">
        <v>4225</v>
      </c>
      <c r="J15" s="14" t="s">
        <v>60</v>
      </c>
      <c r="K15" s="14" t="s">
        <v>60</v>
      </c>
      <c r="L15" s="14" t="s">
        <v>4226</v>
      </c>
      <c r="M15" s="14" t="s">
        <v>60</v>
      </c>
      <c r="N15" s="14" t="s">
        <v>60</v>
      </c>
      <c r="O15" s="14" t="s">
        <v>4</v>
      </c>
      <c r="P15" s="14" t="s">
        <v>4227</v>
      </c>
      <c r="Q15" s="14" t="s">
        <v>349</v>
      </c>
      <c r="R15" s="3" t="s">
        <v>4170</v>
      </c>
      <c r="S15" s="3">
        <f t="shared" si="0"/>
        <v>550</v>
      </c>
      <c r="T15" s="3">
        <f t="shared" si="1"/>
        <v>17050</v>
      </c>
      <c r="U15" s="3" t="s">
        <v>60</v>
      </c>
      <c r="V15" s="14" t="s">
        <v>6</v>
      </c>
      <c r="W15" s="14" t="s">
        <v>7</v>
      </c>
      <c r="X15" s="14" t="s">
        <v>60</v>
      </c>
    </row>
    <row r="16" spans="1:24" ht="15" x14ac:dyDescent="0.3">
      <c r="A16" s="3">
        <v>14</v>
      </c>
      <c r="B16" s="3" t="s">
        <v>4228</v>
      </c>
      <c r="C16" s="14" t="s">
        <v>0</v>
      </c>
      <c r="D16" s="14" t="s">
        <v>3107</v>
      </c>
      <c r="E16" s="14" t="s">
        <v>3108</v>
      </c>
      <c r="F16" s="14" t="s">
        <v>3109</v>
      </c>
      <c r="G16" s="14" t="s">
        <v>3</v>
      </c>
      <c r="H16" s="14" t="s">
        <v>4229</v>
      </c>
      <c r="I16" s="14" t="s">
        <v>4230</v>
      </c>
      <c r="J16" s="14" t="s">
        <v>60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4</v>
      </c>
      <c r="P16" s="14" t="s">
        <v>4231</v>
      </c>
      <c r="Q16" s="14" t="s">
        <v>5</v>
      </c>
      <c r="R16" s="3" t="s">
        <v>4170</v>
      </c>
      <c r="S16" s="3">
        <f t="shared" si="0"/>
        <v>550</v>
      </c>
      <c r="T16" s="3">
        <f t="shared" si="1"/>
        <v>17050</v>
      </c>
      <c r="U16" s="3" t="s">
        <v>60</v>
      </c>
      <c r="V16" s="14" t="s">
        <v>6</v>
      </c>
      <c r="W16" s="14" t="s">
        <v>7</v>
      </c>
      <c r="X16" s="14" t="s">
        <v>60</v>
      </c>
    </row>
    <row r="17" spans="1:24" ht="15" x14ac:dyDescent="0.3">
      <c r="A17" s="3">
        <v>15</v>
      </c>
      <c r="B17" s="3" t="s">
        <v>4232</v>
      </c>
      <c r="C17" s="14" t="s">
        <v>0</v>
      </c>
      <c r="D17" s="14" t="s">
        <v>3110</v>
      </c>
      <c r="E17" s="14" t="s">
        <v>3111</v>
      </c>
      <c r="F17" s="14" t="s">
        <v>3112</v>
      </c>
      <c r="G17" s="14" t="s">
        <v>3</v>
      </c>
      <c r="H17" s="14" t="s">
        <v>4233</v>
      </c>
      <c r="I17" s="14" t="s">
        <v>4234</v>
      </c>
      <c r="J17" s="14" t="s">
        <v>60</v>
      </c>
      <c r="K17" s="14" t="s">
        <v>60</v>
      </c>
      <c r="L17" s="14" t="s">
        <v>60</v>
      </c>
      <c r="M17" s="14" t="s">
        <v>60</v>
      </c>
      <c r="N17" s="14" t="s">
        <v>60</v>
      </c>
      <c r="O17" s="14" t="s">
        <v>4</v>
      </c>
      <c r="P17" s="14" t="s">
        <v>4235</v>
      </c>
      <c r="Q17" s="14" t="s">
        <v>5</v>
      </c>
      <c r="R17" s="3" t="s">
        <v>4170</v>
      </c>
      <c r="S17" s="3">
        <f t="shared" si="0"/>
        <v>550</v>
      </c>
      <c r="T17" s="3">
        <f t="shared" si="1"/>
        <v>17050</v>
      </c>
      <c r="U17" s="3" t="s">
        <v>60</v>
      </c>
      <c r="V17" s="14" t="s">
        <v>6</v>
      </c>
      <c r="W17" s="14" t="s">
        <v>7</v>
      </c>
      <c r="X17" s="14" t="s">
        <v>60</v>
      </c>
    </row>
    <row r="18" spans="1:24" ht="15" x14ac:dyDescent="0.3">
      <c r="A18" s="3">
        <v>16</v>
      </c>
      <c r="B18" s="3" t="s">
        <v>4236</v>
      </c>
      <c r="C18" s="14" t="s">
        <v>0</v>
      </c>
      <c r="D18" s="14" t="s">
        <v>3113</v>
      </c>
      <c r="E18" s="14" t="s">
        <v>4237</v>
      </c>
      <c r="F18" s="14" t="s">
        <v>3114</v>
      </c>
      <c r="G18" s="14" t="s">
        <v>3</v>
      </c>
      <c r="H18" s="14" t="s">
        <v>4238</v>
      </c>
      <c r="I18" s="14" t="s">
        <v>4239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4</v>
      </c>
      <c r="P18" s="14" t="s">
        <v>4240</v>
      </c>
      <c r="Q18" s="14" t="s">
        <v>81</v>
      </c>
      <c r="R18" s="3" t="s">
        <v>4241</v>
      </c>
      <c r="S18" s="3">
        <f t="shared" si="0"/>
        <v>550</v>
      </c>
      <c r="T18" s="3">
        <f t="shared" si="1"/>
        <v>10450</v>
      </c>
      <c r="U18" s="3" t="s">
        <v>60</v>
      </c>
      <c r="V18" s="14" t="s">
        <v>6</v>
      </c>
      <c r="W18" s="14" t="s">
        <v>7</v>
      </c>
      <c r="X18" s="14" t="s">
        <v>60</v>
      </c>
    </row>
    <row r="19" spans="1:24" ht="15" x14ac:dyDescent="0.3">
      <c r="A19" s="3">
        <v>17</v>
      </c>
      <c r="B19" s="3" t="s">
        <v>4242</v>
      </c>
      <c r="C19" s="14" t="s">
        <v>0</v>
      </c>
      <c r="D19" s="14" t="s">
        <v>3115</v>
      </c>
      <c r="E19" s="14" t="s">
        <v>3116</v>
      </c>
      <c r="F19" s="14" t="s">
        <v>3117</v>
      </c>
      <c r="G19" s="14" t="s">
        <v>3</v>
      </c>
      <c r="H19" s="14" t="s">
        <v>4243</v>
      </c>
      <c r="I19" s="14" t="s">
        <v>4244</v>
      </c>
      <c r="J19" s="14" t="s">
        <v>60</v>
      </c>
      <c r="K19" s="14" t="s">
        <v>60</v>
      </c>
      <c r="L19" s="14" t="s">
        <v>60</v>
      </c>
      <c r="M19" s="14" t="s">
        <v>60</v>
      </c>
      <c r="N19" s="14" t="s">
        <v>60</v>
      </c>
      <c r="O19" s="14" t="s">
        <v>4</v>
      </c>
      <c r="P19" s="14" t="s">
        <v>4245</v>
      </c>
      <c r="Q19" s="14" t="s">
        <v>32</v>
      </c>
      <c r="R19" s="3" t="s">
        <v>4170</v>
      </c>
      <c r="S19" s="3">
        <f t="shared" si="0"/>
        <v>550</v>
      </c>
      <c r="T19" s="3">
        <f t="shared" si="1"/>
        <v>17050</v>
      </c>
      <c r="U19" s="3" t="s">
        <v>60</v>
      </c>
      <c r="V19" s="14" t="s">
        <v>6</v>
      </c>
      <c r="W19" s="14" t="s">
        <v>7</v>
      </c>
      <c r="X19" s="14" t="s">
        <v>60</v>
      </c>
    </row>
    <row r="20" spans="1:24" ht="15" x14ac:dyDescent="0.3">
      <c r="A20" s="3">
        <v>18</v>
      </c>
      <c r="B20" s="3" t="s">
        <v>4246</v>
      </c>
      <c r="C20" s="14" t="s">
        <v>0</v>
      </c>
      <c r="D20" s="14" t="s">
        <v>4247</v>
      </c>
      <c r="E20" s="14" t="s">
        <v>4248</v>
      </c>
      <c r="F20" s="14" t="s">
        <v>3122</v>
      </c>
      <c r="G20" s="14" t="s">
        <v>121</v>
      </c>
      <c r="H20" s="14" t="s">
        <v>4249</v>
      </c>
      <c r="I20" s="14" t="s">
        <v>3123</v>
      </c>
      <c r="J20" s="14" t="s">
        <v>60</v>
      </c>
      <c r="K20" s="14" t="s">
        <v>60</v>
      </c>
      <c r="L20" s="14" t="s">
        <v>60</v>
      </c>
      <c r="M20" s="14" t="s">
        <v>3124</v>
      </c>
      <c r="N20" s="14" t="s">
        <v>60</v>
      </c>
      <c r="O20" s="14" t="s">
        <v>114</v>
      </c>
      <c r="P20" s="14" t="s">
        <v>4250</v>
      </c>
      <c r="Q20" s="14" t="s">
        <v>11</v>
      </c>
      <c r="R20" s="3" t="s">
        <v>4170</v>
      </c>
      <c r="S20" s="3">
        <f t="shared" si="0"/>
        <v>550</v>
      </c>
      <c r="T20" s="3">
        <f t="shared" si="1"/>
        <v>17050</v>
      </c>
      <c r="U20" s="3" t="s">
        <v>60</v>
      </c>
      <c r="V20" s="14" t="s">
        <v>6</v>
      </c>
      <c r="W20" s="14" t="s">
        <v>4251</v>
      </c>
      <c r="X20" s="14" t="s">
        <v>60</v>
      </c>
    </row>
    <row r="21" spans="1:24" ht="15" x14ac:dyDescent="0.3">
      <c r="A21" s="3">
        <v>19</v>
      </c>
      <c r="B21" s="3" t="s">
        <v>4252</v>
      </c>
      <c r="C21" s="14" t="s">
        <v>0</v>
      </c>
      <c r="D21" s="14" t="s">
        <v>3125</v>
      </c>
      <c r="E21" s="14" t="s">
        <v>4253</v>
      </c>
      <c r="F21" s="14" t="s">
        <v>3126</v>
      </c>
      <c r="G21" s="14" t="s">
        <v>121</v>
      </c>
      <c r="H21" s="14" t="s">
        <v>3127</v>
      </c>
      <c r="I21" s="14" t="s">
        <v>3128</v>
      </c>
      <c r="J21" s="14" t="s">
        <v>60</v>
      </c>
      <c r="K21" s="14" t="s">
        <v>60</v>
      </c>
      <c r="L21" s="14" t="s">
        <v>60</v>
      </c>
      <c r="M21" s="14" t="s">
        <v>60</v>
      </c>
      <c r="N21" s="14" t="s">
        <v>60</v>
      </c>
      <c r="O21" s="14" t="s">
        <v>60</v>
      </c>
      <c r="P21" s="14" t="s">
        <v>4254</v>
      </c>
      <c r="Q21" s="14" t="s">
        <v>32</v>
      </c>
      <c r="R21" s="3" t="s">
        <v>4170</v>
      </c>
      <c r="S21" s="3">
        <f t="shared" si="0"/>
        <v>550</v>
      </c>
      <c r="T21" s="3">
        <f t="shared" si="1"/>
        <v>17050</v>
      </c>
      <c r="U21" s="3" t="s">
        <v>60</v>
      </c>
      <c r="V21" s="14" t="s">
        <v>6</v>
      </c>
      <c r="W21" s="14" t="s">
        <v>2892</v>
      </c>
      <c r="X21" s="14" t="s">
        <v>60</v>
      </c>
    </row>
    <row r="22" spans="1:24" ht="15" x14ac:dyDescent="0.3">
      <c r="A22" s="3">
        <v>20</v>
      </c>
      <c r="B22" s="3" t="s">
        <v>4255</v>
      </c>
      <c r="C22" s="14" t="s">
        <v>0</v>
      </c>
      <c r="D22" s="14" t="s">
        <v>4256</v>
      </c>
      <c r="E22" s="14" t="s">
        <v>4257</v>
      </c>
      <c r="F22" s="14" t="s">
        <v>3129</v>
      </c>
      <c r="G22" s="14" t="s">
        <v>3</v>
      </c>
      <c r="H22" s="14" t="s">
        <v>4258</v>
      </c>
      <c r="I22" s="14" t="s">
        <v>3130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4259</v>
      </c>
      <c r="Q22" s="14" t="s">
        <v>5</v>
      </c>
      <c r="R22" s="3" t="s">
        <v>4170</v>
      </c>
      <c r="S22" s="3">
        <f t="shared" si="0"/>
        <v>550</v>
      </c>
      <c r="T22" s="3">
        <f t="shared" si="1"/>
        <v>17050</v>
      </c>
      <c r="U22" s="3" t="s">
        <v>4260</v>
      </c>
      <c r="V22" s="14" t="s">
        <v>6</v>
      </c>
      <c r="W22" s="14" t="s">
        <v>2892</v>
      </c>
      <c r="X22" s="14" t="s">
        <v>60</v>
      </c>
    </row>
    <row r="23" spans="1:24" ht="15" x14ac:dyDescent="0.3">
      <c r="A23" s="3">
        <v>21</v>
      </c>
      <c r="B23" s="3" t="s">
        <v>4261</v>
      </c>
      <c r="C23" s="14" t="s">
        <v>0</v>
      </c>
      <c r="D23" s="14" t="s">
        <v>3131</v>
      </c>
      <c r="E23" s="14" t="s">
        <v>4262</v>
      </c>
      <c r="F23" s="14" t="s">
        <v>3132</v>
      </c>
      <c r="G23" s="14" t="s">
        <v>121</v>
      </c>
      <c r="H23" s="14" t="s">
        <v>4263</v>
      </c>
      <c r="I23" s="14" t="s">
        <v>3133</v>
      </c>
      <c r="J23" s="14" t="s">
        <v>60</v>
      </c>
      <c r="K23" s="14" t="s">
        <v>60</v>
      </c>
      <c r="L23" s="14" t="s">
        <v>60</v>
      </c>
      <c r="M23" s="14" t="s">
        <v>3134</v>
      </c>
      <c r="N23" s="14" t="s">
        <v>60</v>
      </c>
      <c r="O23" s="14" t="s">
        <v>961</v>
      </c>
      <c r="P23" s="14" t="s">
        <v>4264</v>
      </c>
      <c r="Q23" s="14" t="s">
        <v>11</v>
      </c>
      <c r="R23" s="3" t="s">
        <v>4170</v>
      </c>
      <c r="S23" s="3">
        <f t="shared" si="0"/>
        <v>550</v>
      </c>
      <c r="T23" s="3">
        <f t="shared" si="1"/>
        <v>17050</v>
      </c>
      <c r="U23" s="3" t="s">
        <v>60</v>
      </c>
      <c r="V23" s="14" t="s">
        <v>6</v>
      </c>
      <c r="W23" s="14" t="s">
        <v>4265</v>
      </c>
      <c r="X23" s="14" t="s">
        <v>60</v>
      </c>
    </row>
    <row r="24" spans="1:24" ht="15" x14ac:dyDescent="0.3">
      <c r="A24" s="3">
        <v>22</v>
      </c>
      <c r="B24" s="3" t="s">
        <v>4266</v>
      </c>
      <c r="C24" s="14" t="s">
        <v>0</v>
      </c>
      <c r="D24" s="14" t="s">
        <v>3135</v>
      </c>
      <c r="E24" s="14" t="s">
        <v>3136</v>
      </c>
      <c r="F24" s="14" t="s">
        <v>3137</v>
      </c>
      <c r="G24" s="14" t="s">
        <v>121</v>
      </c>
      <c r="H24" s="14" t="s">
        <v>4267</v>
      </c>
      <c r="I24" s="14" t="s">
        <v>3138</v>
      </c>
      <c r="J24" s="14" t="s">
        <v>60</v>
      </c>
      <c r="K24" s="14" t="s">
        <v>60</v>
      </c>
      <c r="L24" s="14" t="s">
        <v>60</v>
      </c>
      <c r="M24" s="14" t="s">
        <v>3139</v>
      </c>
      <c r="N24" s="14" t="s">
        <v>60</v>
      </c>
      <c r="O24" s="14" t="s">
        <v>3140</v>
      </c>
      <c r="P24" s="14" t="s">
        <v>4268</v>
      </c>
      <c r="Q24" s="14" t="s">
        <v>5</v>
      </c>
      <c r="R24" s="3" t="s">
        <v>4241</v>
      </c>
      <c r="S24" s="3">
        <f t="shared" si="0"/>
        <v>550</v>
      </c>
      <c r="T24" s="3">
        <f t="shared" si="1"/>
        <v>10450</v>
      </c>
      <c r="U24" s="3" t="s">
        <v>60</v>
      </c>
      <c r="V24" s="14" t="s">
        <v>6</v>
      </c>
      <c r="W24" s="14" t="s">
        <v>4269</v>
      </c>
      <c r="X24" s="14" t="s">
        <v>60</v>
      </c>
    </row>
    <row r="25" spans="1:24" ht="15" x14ac:dyDescent="0.3">
      <c r="A25" s="3">
        <v>23</v>
      </c>
      <c r="B25" s="3" t="s">
        <v>4270</v>
      </c>
      <c r="C25" s="14" t="s">
        <v>0</v>
      </c>
      <c r="D25" s="14" t="s">
        <v>3141</v>
      </c>
      <c r="E25" s="14" t="s">
        <v>4271</v>
      </c>
      <c r="F25" s="14" t="s">
        <v>3024</v>
      </c>
      <c r="G25" s="14" t="s">
        <v>3</v>
      </c>
      <c r="H25" s="14" t="s">
        <v>4272</v>
      </c>
      <c r="I25" s="14" t="s">
        <v>3142</v>
      </c>
      <c r="J25" s="14" t="s">
        <v>60</v>
      </c>
      <c r="K25" s="14" t="s">
        <v>60</v>
      </c>
      <c r="L25" s="14" t="s">
        <v>60</v>
      </c>
      <c r="M25" s="14" t="s">
        <v>3143</v>
      </c>
      <c r="N25" s="14" t="s">
        <v>60</v>
      </c>
      <c r="O25" s="14" t="s">
        <v>487</v>
      </c>
      <c r="P25" s="14" t="s">
        <v>4273</v>
      </c>
      <c r="Q25" s="14" t="s">
        <v>11</v>
      </c>
      <c r="R25" s="3" t="s">
        <v>4170</v>
      </c>
      <c r="S25" s="3">
        <f t="shared" si="0"/>
        <v>550</v>
      </c>
      <c r="T25" s="3">
        <f t="shared" si="1"/>
        <v>17050</v>
      </c>
      <c r="U25" s="3" t="s">
        <v>60</v>
      </c>
      <c r="V25" s="14" t="s">
        <v>6</v>
      </c>
      <c r="W25" s="14" t="s">
        <v>4274</v>
      </c>
      <c r="X25" s="14" t="s">
        <v>60</v>
      </c>
    </row>
    <row r="26" spans="1:24" ht="15" x14ac:dyDescent="0.3">
      <c r="A26" s="3">
        <v>24</v>
      </c>
      <c r="B26" s="3" t="s">
        <v>4275</v>
      </c>
      <c r="C26" s="14" t="s">
        <v>313</v>
      </c>
      <c r="D26" s="14" t="s">
        <v>3144</v>
      </c>
      <c r="E26" s="14" t="s">
        <v>3145</v>
      </c>
      <c r="F26" s="14" t="s">
        <v>3146</v>
      </c>
      <c r="G26" s="14" t="s">
        <v>3</v>
      </c>
      <c r="H26" s="14" t="s">
        <v>4276</v>
      </c>
      <c r="I26" s="14" t="s">
        <v>3147</v>
      </c>
      <c r="J26" s="14" t="s">
        <v>60</v>
      </c>
      <c r="K26" s="14" t="s">
        <v>60</v>
      </c>
      <c r="L26" s="14" t="s">
        <v>60</v>
      </c>
      <c r="M26" s="14" t="s">
        <v>3148</v>
      </c>
      <c r="N26" s="14" t="s">
        <v>60</v>
      </c>
      <c r="O26" s="14" t="s">
        <v>246</v>
      </c>
      <c r="P26" s="14" t="s">
        <v>4277</v>
      </c>
      <c r="Q26" s="14" t="s">
        <v>3149</v>
      </c>
      <c r="R26" s="3" t="s">
        <v>4170</v>
      </c>
      <c r="S26" s="3">
        <f t="shared" si="0"/>
        <v>550</v>
      </c>
      <c r="T26" s="3">
        <f t="shared" si="1"/>
        <v>17050</v>
      </c>
      <c r="U26" s="3" t="s">
        <v>60</v>
      </c>
      <c r="V26" s="14" t="s">
        <v>6</v>
      </c>
      <c r="W26" s="14" t="s">
        <v>4278</v>
      </c>
      <c r="X26" s="14" t="s">
        <v>60</v>
      </c>
    </row>
    <row r="27" spans="1:24" ht="15" x14ac:dyDescent="0.3">
      <c r="A27" s="3">
        <v>25</v>
      </c>
      <c r="B27" s="3" t="s">
        <v>4279</v>
      </c>
      <c r="C27" s="14" t="s">
        <v>0</v>
      </c>
      <c r="D27" s="14" t="s">
        <v>3150</v>
      </c>
      <c r="E27" s="14" t="s">
        <v>4280</v>
      </c>
      <c r="F27" s="14" t="s">
        <v>3151</v>
      </c>
      <c r="G27" s="14" t="s">
        <v>3</v>
      </c>
      <c r="H27" s="14" t="s">
        <v>4281</v>
      </c>
      <c r="I27" s="14" t="s">
        <v>3152</v>
      </c>
      <c r="J27" s="14" t="s">
        <v>60</v>
      </c>
      <c r="K27" s="14" t="s">
        <v>60</v>
      </c>
      <c r="L27" s="14" t="s">
        <v>60</v>
      </c>
      <c r="M27" s="14" t="s">
        <v>60</v>
      </c>
      <c r="N27" s="14" t="s">
        <v>60</v>
      </c>
      <c r="O27" s="14" t="s">
        <v>60</v>
      </c>
      <c r="P27" s="14" t="s">
        <v>4282</v>
      </c>
      <c r="Q27" s="14" t="s">
        <v>11</v>
      </c>
      <c r="R27" s="3" t="s">
        <v>4170</v>
      </c>
      <c r="S27" s="3">
        <f t="shared" si="0"/>
        <v>550</v>
      </c>
      <c r="T27" s="3">
        <f t="shared" si="1"/>
        <v>17050</v>
      </c>
      <c r="U27" s="3" t="s">
        <v>60</v>
      </c>
      <c r="V27" s="14" t="s">
        <v>6</v>
      </c>
      <c r="W27" s="14" t="s">
        <v>2892</v>
      </c>
      <c r="X27" s="14" t="s">
        <v>60</v>
      </c>
    </row>
    <row r="28" spans="1:24" ht="15" x14ac:dyDescent="0.3">
      <c r="A28" s="3">
        <v>26</v>
      </c>
      <c r="B28" s="3" t="s">
        <v>4283</v>
      </c>
      <c r="C28" s="14" t="s">
        <v>14</v>
      </c>
      <c r="D28" s="14" t="s">
        <v>3153</v>
      </c>
      <c r="E28" s="14" t="s">
        <v>4284</v>
      </c>
      <c r="F28" s="14" t="s">
        <v>3154</v>
      </c>
      <c r="G28" s="14" t="s">
        <v>3</v>
      </c>
      <c r="H28" s="14" t="s">
        <v>4285</v>
      </c>
      <c r="I28" s="14" t="s">
        <v>3155</v>
      </c>
      <c r="J28" s="14" t="s">
        <v>60</v>
      </c>
      <c r="K28" s="14" t="s">
        <v>60</v>
      </c>
      <c r="L28" s="14" t="s">
        <v>60</v>
      </c>
      <c r="M28" s="14" t="s">
        <v>60</v>
      </c>
      <c r="N28" s="14" t="s">
        <v>60</v>
      </c>
      <c r="O28" s="14" t="s">
        <v>3156</v>
      </c>
      <c r="P28" s="14" t="s">
        <v>4286</v>
      </c>
      <c r="Q28" s="14" t="s">
        <v>32</v>
      </c>
      <c r="R28" s="3" t="s">
        <v>4170</v>
      </c>
      <c r="S28" s="3">
        <f t="shared" si="0"/>
        <v>640</v>
      </c>
      <c r="T28" s="3">
        <f t="shared" si="1"/>
        <v>19840</v>
      </c>
      <c r="U28" s="3" t="s">
        <v>60</v>
      </c>
      <c r="V28" s="14" t="s">
        <v>6</v>
      </c>
      <c r="W28" s="14" t="s">
        <v>4287</v>
      </c>
      <c r="X28" s="14" t="s">
        <v>60</v>
      </c>
    </row>
    <row r="29" spans="1:24" ht="15" x14ac:dyDescent="0.3">
      <c r="A29" s="3">
        <v>27</v>
      </c>
      <c r="B29" s="3" t="s">
        <v>4288</v>
      </c>
      <c r="C29" s="14" t="s">
        <v>69</v>
      </c>
      <c r="D29" s="14" t="s">
        <v>3157</v>
      </c>
      <c r="E29" s="14" t="s">
        <v>4289</v>
      </c>
      <c r="F29" s="14" t="s">
        <v>3158</v>
      </c>
      <c r="G29" s="14" t="s">
        <v>3</v>
      </c>
      <c r="H29" s="14" t="s">
        <v>4290</v>
      </c>
      <c r="I29" s="14" t="s">
        <v>3159</v>
      </c>
      <c r="J29" s="14" t="s">
        <v>60</v>
      </c>
      <c r="K29" s="14" t="s">
        <v>60</v>
      </c>
      <c r="L29" s="14" t="s">
        <v>60</v>
      </c>
      <c r="M29" s="14" t="s">
        <v>60</v>
      </c>
      <c r="N29" s="14" t="s">
        <v>60</v>
      </c>
      <c r="O29" s="14" t="s">
        <v>3160</v>
      </c>
      <c r="P29" s="14" t="s">
        <v>4291</v>
      </c>
      <c r="Q29" s="14" t="s">
        <v>32</v>
      </c>
      <c r="R29" s="3" t="s">
        <v>4170</v>
      </c>
      <c r="S29" s="3">
        <f t="shared" si="0"/>
        <v>570</v>
      </c>
      <c r="T29" s="3">
        <f t="shared" si="1"/>
        <v>17670</v>
      </c>
      <c r="U29" s="3" t="s">
        <v>60</v>
      </c>
      <c r="V29" s="14" t="s">
        <v>6</v>
      </c>
      <c r="W29" s="14" t="s">
        <v>4287</v>
      </c>
      <c r="X29" s="14" t="s">
        <v>60</v>
      </c>
    </row>
    <row r="30" spans="1:24" ht="15" x14ac:dyDescent="0.3">
      <c r="A30" s="3">
        <v>28</v>
      </c>
      <c r="B30" s="3" t="s">
        <v>4292</v>
      </c>
      <c r="C30" s="14" t="s">
        <v>0</v>
      </c>
      <c r="D30" s="14" t="s">
        <v>3161</v>
      </c>
      <c r="E30" s="14" t="s">
        <v>4293</v>
      </c>
      <c r="F30" s="14" t="s">
        <v>3162</v>
      </c>
      <c r="G30" s="14" t="s">
        <v>3</v>
      </c>
      <c r="H30" s="14" t="s">
        <v>4294</v>
      </c>
      <c r="I30" s="14" t="s">
        <v>3163</v>
      </c>
      <c r="J30" s="14" t="s">
        <v>60</v>
      </c>
      <c r="K30" s="14" t="s">
        <v>60</v>
      </c>
      <c r="L30" s="14" t="s">
        <v>60</v>
      </c>
      <c r="M30" s="14" t="s">
        <v>60</v>
      </c>
      <c r="N30" s="14" t="s">
        <v>60</v>
      </c>
      <c r="O30" s="14" t="s">
        <v>60</v>
      </c>
      <c r="P30" s="14" t="s">
        <v>4295</v>
      </c>
      <c r="Q30" s="14" t="s">
        <v>240</v>
      </c>
      <c r="R30" s="3" t="s">
        <v>4170</v>
      </c>
      <c r="S30" s="3">
        <f t="shared" si="0"/>
        <v>550</v>
      </c>
      <c r="T30" s="3">
        <f t="shared" si="1"/>
        <v>17050</v>
      </c>
      <c r="U30" s="3" t="s">
        <v>60</v>
      </c>
      <c r="V30" s="14" t="s">
        <v>6</v>
      </c>
      <c r="W30" s="14" t="s">
        <v>2892</v>
      </c>
      <c r="X30" s="14" t="s">
        <v>60</v>
      </c>
    </row>
    <row r="31" spans="1:24" ht="15" x14ac:dyDescent="0.3">
      <c r="A31" s="3">
        <v>29</v>
      </c>
      <c r="B31" s="3" t="s">
        <v>4296</v>
      </c>
      <c r="C31" s="14" t="s">
        <v>0</v>
      </c>
      <c r="D31" s="14" t="s">
        <v>3164</v>
      </c>
      <c r="E31" s="14" t="s">
        <v>4297</v>
      </c>
      <c r="F31" s="14" t="s">
        <v>3165</v>
      </c>
      <c r="G31" s="14" t="s">
        <v>3</v>
      </c>
      <c r="H31" s="14" t="s">
        <v>4298</v>
      </c>
      <c r="I31" s="14" t="s">
        <v>3166</v>
      </c>
      <c r="J31" s="14" t="s">
        <v>60</v>
      </c>
      <c r="K31" s="14" t="s">
        <v>60</v>
      </c>
      <c r="L31" s="14" t="s">
        <v>60</v>
      </c>
      <c r="M31" s="14" t="s">
        <v>3167</v>
      </c>
      <c r="N31" s="14" t="s">
        <v>60</v>
      </c>
      <c r="O31" s="14" t="s">
        <v>60</v>
      </c>
      <c r="P31" s="14" t="s">
        <v>4299</v>
      </c>
      <c r="Q31" s="14" t="s">
        <v>11</v>
      </c>
      <c r="R31" s="3" t="s">
        <v>4300</v>
      </c>
      <c r="S31" s="3">
        <f t="shared" si="0"/>
        <v>550</v>
      </c>
      <c r="T31" s="3">
        <f t="shared" si="1"/>
        <v>15950</v>
      </c>
      <c r="U31" s="3" t="s">
        <v>60</v>
      </c>
      <c r="V31" s="14" t="s">
        <v>4301</v>
      </c>
      <c r="W31" s="14" t="s">
        <v>4302</v>
      </c>
      <c r="X31" s="14" t="s">
        <v>60</v>
      </c>
    </row>
    <row r="32" spans="1:24" ht="15" x14ac:dyDescent="0.3">
      <c r="A32" s="3">
        <v>30</v>
      </c>
      <c r="B32" s="3" t="s">
        <v>4303</v>
      </c>
      <c r="C32" s="14" t="s">
        <v>0</v>
      </c>
      <c r="D32" s="14" t="s">
        <v>3168</v>
      </c>
      <c r="E32" s="14" t="s">
        <v>4304</v>
      </c>
      <c r="F32" s="14" t="s">
        <v>3169</v>
      </c>
      <c r="G32" s="14" t="s">
        <v>3</v>
      </c>
      <c r="H32" s="14" t="s">
        <v>4305</v>
      </c>
      <c r="I32" s="14" t="s">
        <v>3170</v>
      </c>
      <c r="J32" s="14" t="s">
        <v>60</v>
      </c>
      <c r="K32" s="14" t="s">
        <v>60</v>
      </c>
      <c r="L32" s="14" t="s">
        <v>60</v>
      </c>
      <c r="M32" s="14" t="s">
        <v>3171</v>
      </c>
      <c r="N32" s="14" t="s">
        <v>60</v>
      </c>
      <c r="O32" s="14" t="s">
        <v>60</v>
      </c>
      <c r="P32" s="14" t="s">
        <v>4306</v>
      </c>
      <c r="Q32" s="14" t="s">
        <v>11</v>
      </c>
      <c r="R32" s="3" t="s">
        <v>4170</v>
      </c>
      <c r="S32" s="3">
        <f t="shared" si="0"/>
        <v>550</v>
      </c>
      <c r="T32" s="3">
        <f t="shared" si="1"/>
        <v>17050</v>
      </c>
      <c r="U32" s="3" t="s">
        <v>60</v>
      </c>
      <c r="V32" s="14" t="s">
        <v>4301</v>
      </c>
      <c r="W32" s="14" t="s">
        <v>4302</v>
      </c>
      <c r="X32" s="14" t="s">
        <v>60</v>
      </c>
    </row>
    <row r="33" spans="1:24" ht="15" x14ac:dyDescent="0.3">
      <c r="A33" s="3">
        <v>31</v>
      </c>
      <c r="B33" s="3" t="s">
        <v>4307</v>
      </c>
      <c r="C33" s="14" t="s">
        <v>0</v>
      </c>
      <c r="D33" s="14" t="s">
        <v>3172</v>
      </c>
      <c r="E33" s="14" t="s">
        <v>4308</v>
      </c>
      <c r="F33" s="14" t="s">
        <v>3173</v>
      </c>
      <c r="G33" s="14" t="s">
        <v>3</v>
      </c>
      <c r="H33" s="14" t="s">
        <v>4309</v>
      </c>
      <c r="I33" s="14" t="s">
        <v>3174</v>
      </c>
      <c r="J33" s="14" t="s">
        <v>60</v>
      </c>
      <c r="K33" s="14" t="s">
        <v>60</v>
      </c>
      <c r="L33" s="14" t="s">
        <v>60</v>
      </c>
      <c r="M33" s="14" t="s">
        <v>3175</v>
      </c>
      <c r="N33" s="14" t="s">
        <v>60</v>
      </c>
      <c r="O33" s="14" t="s">
        <v>60</v>
      </c>
      <c r="P33" s="14" t="s">
        <v>4310</v>
      </c>
      <c r="Q33" s="14" t="s">
        <v>11</v>
      </c>
      <c r="R33" s="3" t="s">
        <v>4311</v>
      </c>
      <c r="S33" s="3">
        <f t="shared" si="0"/>
        <v>550</v>
      </c>
      <c r="T33" s="3">
        <f t="shared" si="1"/>
        <v>16500</v>
      </c>
      <c r="U33" s="3" t="s">
        <v>60</v>
      </c>
      <c r="V33" s="14" t="s">
        <v>4301</v>
      </c>
      <c r="W33" s="14" t="s">
        <v>4302</v>
      </c>
      <c r="X33" s="14" t="s">
        <v>60</v>
      </c>
    </row>
    <row r="34" spans="1:24" ht="15" x14ac:dyDescent="0.3">
      <c r="A34" s="3">
        <v>32</v>
      </c>
      <c r="B34" s="3" t="s">
        <v>4312</v>
      </c>
      <c r="C34" s="14" t="s">
        <v>0</v>
      </c>
      <c r="D34" s="14" t="s">
        <v>3176</v>
      </c>
      <c r="E34" s="14" t="s">
        <v>4313</v>
      </c>
      <c r="F34" s="14" t="s">
        <v>3177</v>
      </c>
      <c r="G34" s="14" t="s">
        <v>3</v>
      </c>
      <c r="H34" s="14" t="s">
        <v>4314</v>
      </c>
      <c r="I34" s="14" t="s">
        <v>3178</v>
      </c>
      <c r="J34" s="14" t="s">
        <v>60</v>
      </c>
      <c r="K34" s="14" t="s">
        <v>60</v>
      </c>
      <c r="L34" s="14" t="s">
        <v>60</v>
      </c>
      <c r="M34" s="14" t="s">
        <v>3179</v>
      </c>
      <c r="N34" s="14" t="s">
        <v>60</v>
      </c>
      <c r="O34" s="14" t="s">
        <v>60</v>
      </c>
      <c r="P34" s="14" t="s">
        <v>4315</v>
      </c>
      <c r="Q34" s="14" t="s">
        <v>32</v>
      </c>
      <c r="R34" s="3" t="s">
        <v>4316</v>
      </c>
      <c r="S34" s="3">
        <f t="shared" si="0"/>
        <v>550</v>
      </c>
      <c r="T34" s="3">
        <f t="shared" si="1"/>
        <v>13750</v>
      </c>
      <c r="U34" s="3" t="s">
        <v>60</v>
      </c>
      <c r="V34" s="14" t="s">
        <v>6</v>
      </c>
      <c r="W34" s="14" t="s">
        <v>4317</v>
      </c>
      <c r="X34" s="14" t="s">
        <v>60</v>
      </c>
    </row>
    <row r="35" spans="1:24" ht="15" x14ac:dyDescent="0.3">
      <c r="A35" s="3">
        <v>33</v>
      </c>
      <c r="B35" s="3" t="s">
        <v>4318</v>
      </c>
      <c r="C35" s="14" t="s">
        <v>390</v>
      </c>
      <c r="D35" s="14" t="s">
        <v>3180</v>
      </c>
      <c r="E35" s="14" t="s">
        <v>4319</v>
      </c>
      <c r="F35" s="14" t="s">
        <v>3181</v>
      </c>
      <c r="G35" s="14" t="s">
        <v>3</v>
      </c>
      <c r="H35" s="14" t="s">
        <v>4320</v>
      </c>
      <c r="I35" s="14" t="s">
        <v>3182</v>
      </c>
      <c r="J35" s="14" t="s">
        <v>60</v>
      </c>
      <c r="K35" s="14" t="s">
        <v>60</v>
      </c>
      <c r="L35" s="14" t="s">
        <v>60</v>
      </c>
      <c r="M35" s="14" t="s">
        <v>60</v>
      </c>
      <c r="N35" s="14" t="s">
        <v>60</v>
      </c>
      <c r="O35" s="14" t="s">
        <v>31</v>
      </c>
      <c r="P35" s="14" t="s">
        <v>4321</v>
      </c>
      <c r="Q35" s="14" t="s">
        <v>11</v>
      </c>
      <c r="R35" s="3" t="s">
        <v>4170</v>
      </c>
      <c r="S35" s="3">
        <f t="shared" si="0"/>
        <v>770</v>
      </c>
      <c r="T35" s="3">
        <f t="shared" si="1"/>
        <v>23870</v>
      </c>
      <c r="U35" s="3" t="s">
        <v>60</v>
      </c>
      <c r="V35" s="14" t="s">
        <v>6</v>
      </c>
      <c r="W35" s="14" t="s">
        <v>33</v>
      </c>
      <c r="X35" s="14" t="s">
        <v>60</v>
      </c>
    </row>
    <row r="36" spans="1:24" ht="15" x14ac:dyDescent="0.3">
      <c r="A36" s="3">
        <v>34</v>
      </c>
      <c r="B36" s="3" t="s">
        <v>4322</v>
      </c>
      <c r="C36" s="14" t="s">
        <v>0</v>
      </c>
      <c r="D36" s="14" t="s">
        <v>3183</v>
      </c>
      <c r="E36" s="14" t="s">
        <v>4323</v>
      </c>
      <c r="F36" s="14" t="s">
        <v>3184</v>
      </c>
      <c r="G36" s="14" t="s">
        <v>3</v>
      </c>
      <c r="H36" s="14" t="s">
        <v>4324</v>
      </c>
      <c r="I36" s="14" t="s">
        <v>3185</v>
      </c>
      <c r="J36" s="14" t="s">
        <v>60</v>
      </c>
      <c r="K36" s="14" t="s">
        <v>60</v>
      </c>
      <c r="L36" s="14" t="s">
        <v>60</v>
      </c>
      <c r="M36" s="14" t="s">
        <v>3186</v>
      </c>
      <c r="N36" s="14" t="s">
        <v>60</v>
      </c>
      <c r="O36" s="14" t="s">
        <v>169</v>
      </c>
      <c r="P36" s="14" t="s">
        <v>4325</v>
      </c>
      <c r="Q36" s="14" t="s">
        <v>11</v>
      </c>
      <c r="R36" s="3" t="s">
        <v>4326</v>
      </c>
      <c r="S36" s="3">
        <f t="shared" si="0"/>
        <v>550</v>
      </c>
      <c r="T36" s="3">
        <f t="shared" si="1"/>
        <v>8250</v>
      </c>
      <c r="U36" s="3" t="s">
        <v>60</v>
      </c>
      <c r="V36" s="14" t="s">
        <v>6</v>
      </c>
      <c r="W36" s="14" t="s">
        <v>4327</v>
      </c>
      <c r="X36" s="14" t="s">
        <v>60</v>
      </c>
    </row>
    <row r="37" spans="1:24" ht="15" x14ac:dyDescent="0.3">
      <c r="A37" s="3">
        <v>35</v>
      </c>
      <c r="B37" s="3" t="s">
        <v>4328</v>
      </c>
      <c r="C37" s="14" t="s">
        <v>0</v>
      </c>
      <c r="D37" s="14" t="s">
        <v>3187</v>
      </c>
      <c r="E37" s="14" t="s">
        <v>4329</v>
      </c>
      <c r="F37" s="14" t="s">
        <v>3188</v>
      </c>
      <c r="G37" s="14" t="s">
        <v>3</v>
      </c>
      <c r="H37" s="14" t="s">
        <v>3189</v>
      </c>
      <c r="I37" s="14" t="s">
        <v>3190</v>
      </c>
      <c r="J37" s="14" t="s">
        <v>60</v>
      </c>
      <c r="K37" s="14" t="s">
        <v>60</v>
      </c>
      <c r="L37" s="14" t="s">
        <v>60</v>
      </c>
      <c r="M37" s="14" t="s">
        <v>60</v>
      </c>
      <c r="N37" s="14" t="s">
        <v>60</v>
      </c>
      <c r="O37" s="14" t="s">
        <v>4330</v>
      </c>
      <c r="P37" s="14" t="s">
        <v>4331</v>
      </c>
      <c r="Q37" s="14" t="s">
        <v>5</v>
      </c>
      <c r="R37" s="3" t="s">
        <v>4170</v>
      </c>
      <c r="S37" s="3">
        <f t="shared" si="0"/>
        <v>550</v>
      </c>
      <c r="T37" s="3">
        <f t="shared" si="1"/>
        <v>17050</v>
      </c>
      <c r="U37" s="3" t="s">
        <v>60</v>
      </c>
      <c r="V37" s="14" t="s">
        <v>6</v>
      </c>
      <c r="W37" s="14" t="s">
        <v>7</v>
      </c>
      <c r="X37" s="14" t="s">
        <v>60</v>
      </c>
    </row>
    <row r="38" spans="1:24" ht="15" x14ac:dyDescent="0.3">
      <c r="A38" s="3">
        <v>36</v>
      </c>
      <c r="B38" s="3" t="s">
        <v>4332</v>
      </c>
      <c r="C38" s="14" t="s">
        <v>0</v>
      </c>
      <c r="D38" s="14" t="s">
        <v>3191</v>
      </c>
      <c r="E38" s="14" t="s">
        <v>4333</v>
      </c>
      <c r="F38" s="14" t="s">
        <v>3192</v>
      </c>
      <c r="G38" s="14" t="s">
        <v>121</v>
      </c>
      <c r="H38" s="14" t="s">
        <v>4334</v>
      </c>
      <c r="I38" s="14" t="s">
        <v>4335</v>
      </c>
      <c r="J38" s="14" t="s">
        <v>60</v>
      </c>
      <c r="K38" s="14" t="s">
        <v>60</v>
      </c>
      <c r="L38" s="14" t="s">
        <v>60</v>
      </c>
      <c r="M38" s="14" t="s">
        <v>3193</v>
      </c>
      <c r="N38" s="14" t="s">
        <v>60</v>
      </c>
      <c r="O38" s="14" t="s">
        <v>172</v>
      </c>
      <c r="P38" s="14" t="s">
        <v>4336</v>
      </c>
      <c r="Q38" s="14" t="s">
        <v>11</v>
      </c>
      <c r="R38" s="3" t="s">
        <v>4170</v>
      </c>
      <c r="S38" s="3">
        <f t="shared" si="0"/>
        <v>550</v>
      </c>
      <c r="T38" s="3">
        <f t="shared" si="1"/>
        <v>17050</v>
      </c>
      <c r="U38" s="3" t="s">
        <v>60</v>
      </c>
      <c r="V38" s="14" t="s">
        <v>6</v>
      </c>
      <c r="W38" s="14" t="s">
        <v>173</v>
      </c>
      <c r="X38" s="14" t="s">
        <v>60</v>
      </c>
    </row>
    <row r="39" spans="1:24" ht="15" x14ac:dyDescent="0.3">
      <c r="A39" s="3">
        <v>37</v>
      </c>
      <c r="B39" s="3" t="s">
        <v>4337</v>
      </c>
      <c r="C39" s="14" t="s">
        <v>0</v>
      </c>
      <c r="D39" s="14" t="s">
        <v>3194</v>
      </c>
      <c r="E39" s="14" t="s">
        <v>4338</v>
      </c>
      <c r="F39" s="14" t="s">
        <v>3195</v>
      </c>
      <c r="G39" s="14" t="s">
        <v>3</v>
      </c>
      <c r="H39" s="14" t="s">
        <v>4339</v>
      </c>
      <c r="I39" s="14" t="s">
        <v>4340</v>
      </c>
      <c r="J39" s="14" t="s">
        <v>60</v>
      </c>
      <c r="K39" s="14" t="s">
        <v>60</v>
      </c>
      <c r="L39" s="14" t="s">
        <v>60</v>
      </c>
      <c r="M39" s="14" t="s">
        <v>3196</v>
      </c>
      <c r="N39" s="14" t="s">
        <v>60</v>
      </c>
      <c r="O39" s="14" t="s">
        <v>172</v>
      </c>
      <c r="P39" s="14" t="s">
        <v>4341</v>
      </c>
      <c r="Q39" s="14" t="s">
        <v>81</v>
      </c>
      <c r="R39" s="3" t="s">
        <v>4170</v>
      </c>
      <c r="S39" s="3">
        <f t="shared" si="0"/>
        <v>550</v>
      </c>
      <c r="T39" s="3">
        <f t="shared" si="1"/>
        <v>17050</v>
      </c>
      <c r="U39" s="3" t="s">
        <v>60</v>
      </c>
      <c r="V39" s="14" t="s">
        <v>6</v>
      </c>
      <c r="W39" s="14" t="s">
        <v>173</v>
      </c>
      <c r="X39" s="14" t="s">
        <v>60</v>
      </c>
    </row>
    <row r="40" spans="1:24" ht="15" x14ac:dyDescent="0.3">
      <c r="A40" s="3">
        <v>38</v>
      </c>
      <c r="B40" s="3" t="s">
        <v>4342</v>
      </c>
      <c r="C40" s="14" t="s">
        <v>0</v>
      </c>
      <c r="D40" s="14" t="s">
        <v>3197</v>
      </c>
      <c r="E40" s="14" t="s">
        <v>4343</v>
      </c>
      <c r="F40" s="14" t="s">
        <v>3198</v>
      </c>
      <c r="G40" s="14" t="s">
        <v>3</v>
      </c>
      <c r="H40" s="14" t="s">
        <v>4344</v>
      </c>
      <c r="I40" s="14" t="s">
        <v>4345</v>
      </c>
      <c r="J40" s="14" t="s">
        <v>60</v>
      </c>
      <c r="K40" s="14" t="s">
        <v>60</v>
      </c>
      <c r="L40" s="14" t="s">
        <v>60</v>
      </c>
      <c r="M40" s="14" t="s">
        <v>3199</v>
      </c>
      <c r="N40" s="14" t="s">
        <v>60</v>
      </c>
      <c r="O40" s="14" t="s">
        <v>172</v>
      </c>
      <c r="P40" s="14" t="s">
        <v>4346</v>
      </c>
      <c r="Q40" s="14" t="s">
        <v>32</v>
      </c>
      <c r="R40" s="3" t="s">
        <v>4170</v>
      </c>
      <c r="S40" s="3">
        <f t="shared" si="0"/>
        <v>550</v>
      </c>
      <c r="T40" s="3">
        <f t="shared" si="1"/>
        <v>17050</v>
      </c>
      <c r="U40" s="3" t="s">
        <v>60</v>
      </c>
      <c r="V40" s="14" t="s">
        <v>6</v>
      </c>
      <c r="W40" s="14" t="s">
        <v>173</v>
      </c>
      <c r="X40" s="14" t="s">
        <v>60</v>
      </c>
    </row>
    <row r="41" spans="1:24" ht="15" x14ac:dyDescent="0.3">
      <c r="A41" s="3">
        <v>39</v>
      </c>
      <c r="B41" s="3" t="s">
        <v>4347</v>
      </c>
      <c r="C41" s="14" t="s">
        <v>0</v>
      </c>
      <c r="D41" s="14" t="s">
        <v>3200</v>
      </c>
      <c r="E41" s="14" t="s">
        <v>4348</v>
      </c>
      <c r="F41" s="14" t="s">
        <v>3201</v>
      </c>
      <c r="G41" s="14" t="s">
        <v>3</v>
      </c>
      <c r="H41" s="14" t="s">
        <v>2970</v>
      </c>
      <c r="I41" s="14" t="s">
        <v>4349</v>
      </c>
      <c r="J41" s="14" t="s">
        <v>60</v>
      </c>
      <c r="K41" s="14" t="s">
        <v>60</v>
      </c>
      <c r="L41" s="14" t="s">
        <v>60</v>
      </c>
      <c r="M41" s="14" t="s">
        <v>3202</v>
      </c>
      <c r="N41" s="14" t="s">
        <v>60</v>
      </c>
      <c r="O41" s="14" t="s">
        <v>172</v>
      </c>
      <c r="P41" s="14" t="s">
        <v>4350</v>
      </c>
      <c r="Q41" s="14" t="s">
        <v>32</v>
      </c>
      <c r="R41" s="3" t="s">
        <v>4170</v>
      </c>
      <c r="S41" s="3">
        <f t="shared" si="0"/>
        <v>550</v>
      </c>
      <c r="T41" s="3">
        <f t="shared" si="1"/>
        <v>17050</v>
      </c>
      <c r="U41" s="3" t="s">
        <v>60</v>
      </c>
      <c r="V41" s="14" t="s">
        <v>6</v>
      </c>
      <c r="W41" s="14" t="s">
        <v>173</v>
      </c>
      <c r="X41" s="14" t="s">
        <v>60</v>
      </c>
    </row>
    <row r="42" spans="1:24" ht="15" x14ac:dyDescent="0.3">
      <c r="A42" s="3">
        <v>40</v>
      </c>
      <c r="B42" s="3" t="s">
        <v>4351</v>
      </c>
      <c r="C42" s="14" t="s">
        <v>0</v>
      </c>
      <c r="D42" s="14" t="s">
        <v>3203</v>
      </c>
      <c r="E42" s="14" t="s">
        <v>4352</v>
      </c>
      <c r="F42" s="14" t="s">
        <v>3204</v>
      </c>
      <c r="G42" s="14" t="s">
        <v>3</v>
      </c>
      <c r="H42" s="14" t="s">
        <v>4353</v>
      </c>
      <c r="I42" s="14" t="s">
        <v>4354</v>
      </c>
      <c r="J42" s="14" t="s">
        <v>60</v>
      </c>
      <c r="K42" s="14" t="s">
        <v>60</v>
      </c>
      <c r="L42" s="14" t="s">
        <v>60</v>
      </c>
      <c r="M42" s="14" t="s">
        <v>3205</v>
      </c>
      <c r="N42" s="14" t="s">
        <v>60</v>
      </c>
      <c r="O42" s="14" t="s">
        <v>172</v>
      </c>
      <c r="P42" s="14" t="s">
        <v>4355</v>
      </c>
      <c r="Q42" s="14" t="s">
        <v>32</v>
      </c>
      <c r="R42" s="3" t="s">
        <v>4170</v>
      </c>
      <c r="S42" s="3">
        <f t="shared" si="0"/>
        <v>550</v>
      </c>
      <c r="T42" s="3">
        <f t="shared" si="1"/>
        <v>17050</v>
      </c>
      <c r="U42" s="3" t="s">
        <v>4356</v>
      </c>
      <c r="V42" s="14" t="s">
        <v>6</v>
      </c>
      <c r="W42" s="14" t="s">
        <v>173</v>
      </c>
      <c r="X42" s="14" t="s">
        <v>60</v>
      </c>
    </row>
    <row r="43" spans="1:24" ht="15" x14ac:dyDescent="0.3">
      <c r="A43" s="3">
        <v>41</v>
      </c>
      <c r="B43" s="3" t="s">
        <v>4357</v>
      </c>
      <c r="C43" s="14" t="s">
        <v>0</v>
      </c>
      <c r="D43" s="14" t="s">
        <v>3206</v>
      </c>
      <c r="E43" s="14" t="s">
        <v>4358</v>
      </c>
      <c r="F43" s="14" t="s">
        <v>3207</v>
      </c>
      <c r="G43" s="14" t="s">
        <v>3</v>
      </c>
      <c r="H43" s="14" t="s">
        <v>4359</v>
      </c>
      <c r="I43" s="14" t="s">
        <v>4360</v>
      </c>
      <c r="J43" s="14" t="s">
        <v>60</v>
      </c>
      <c r="K43" s="14" t="s">
        <v>60</v>
      </c>
      <c r="L43" s="14" t="s">
        <v>60</v>
      </c>
      <c r="M43" s="14" t="s">
        <v>3208</v>
      </c>
      <c r="N43" s="14" t="s">
        <v>60</v>
      </c>
      <c r="O43" s="14" t="s">
        <v>172</v>
      </c>
      <c r="P43" s="14" t="s">
        <v>4361</v>
      </c>
      <c r="Q43" s="14" t="s">
        <v>32</v>
      </c>
      <c r="R43" s="3" t="s">
        <v>4170</v>
      </c>
      <c r="S43" s="3">
        <f t="shared" si="0"/>
        <v>550</v>
      </c>
      <c r="T43" s="3">
        <f t="shared" si="1"/>
        <v>17050</v>
      </c>
      <c r="U43" s="3" t="s">
        <v>60</v>
      </c>
      <c r="V43" s="14" t="s">
        <v>6</v>
      </c>
      <c r="W43" s="14" t="s">
        <v>173</v>
      </c>
      <c r="X43" s="14" t="s">
        <v>60</v>
      </c>
    </row>
    <row r="44" spans="1:24" ht="15" x14ac:dyDescent="0.3">
      <c r="A44" s="3">
        <v>42</v>
      </c>
      <c r="B44" s="3" t="s">
        <v>4362</v>
      </c>
      <c r="C44" s="14" t="s">
        <v>0</v>
      </c>
      <c r="D44" s="14" t="s">
        <v>3209</v>
      </c>
      <c r="E44" s="14" t="s">
        <v>4205</v>
      </c>
      <c r="F44" s="14" t="s">
        <v>3210</v>
      </c>
      <c r="G44" s="14" t="s">
        <v>3</v>
      </c>
      <c r="H44" s="14" t="s">
        <v>4363</v>
      </c>
      <c r="I44" s="14" t="s">
        <v>4364</v>
      </c>
      <c r="J44" s="14" t="s">
        <v>60</v>
      </c>
      <c r="K44" s="14" t="s">
        <v>60</v>
      </c>
      <c r="L44" s="14" t="s">
        <v>60</v>
      </c>
      <c r="M44" s="14" t="s">
        <v>3211</v>
      </c>
      <c r="N44" s="14" t="s">
        <v>60</v>
      </c>
      <c r="O44" s="14" t="s">
        <v>172</v>
      </c>
      <c r="P44" s="14" t="s">
        <v>4365</v>
      </c>
      <c r="Q44" s="14" t="s">
        <v>11</v>
      </c>
      <c r="R44" s="3" t="s">
        <v>4170</v>
      </c>
      <c r="S44" s="3">
        <f t="shared" si="0"/>
        <v>550</v>
      </c>
      <c r="T44" s="3">
        <f t="shared" si="1"/>
        <v>17050</v>
      </c>
      <c r="U44" s="3" t="s">
        <v>60</v>
      </c>
      <c r="V44" s="14" t="s">
        <v>6</v>
      </c>
      <c r="W44" s="14" t="s">
        <v>173</v>
      </c>
      <c r="X44" s="14" t="s">
        <v>60</v>
      </c>
    </row>
    <row r="45" spans="1:24" ht="15" x14ac:dyDescent="0.3">
      <c r="A45" s="3">
        <v>43</v>
      </c>
      <c r="B45" s="3" t="s">
        <v>4366</v>
      </c>
      <c r="C45" s="14" t="s">
        <v>0</v>
      </c>
      <c r="D45" s="14" t="s">
        <v>3212</v>
      </c>
      <c r="E45" s="14" t="s">
        <v>4367</v>
      </c>
      <c r="F45" s="14" t="s">
        <v>3213</v>
      </c>
      <c r="G45" s="14" t="s">
        <v>3</v>
      </c>
      <c r="H45" s="14" t="s">
        <v>4368</v>
      </c>
      <c r="I45" s="14" t="s">
        <v>4369</v>
      </c>
      <c r="J45" s="14" t="s">
        <v>60</v>
      </c>
      <c r="K45" s="14" t="s">
        <v>60</v>
      </c>
      <c r="L45" s="14" t="s">
        <v>60</v>
      </c>
      <c r="M45" s="14" t="s">
        <v>3214</v>
      </c>
      <c r="N45" s="14" t="s">
        <v>60</v>
      </c>
      <c r="O45" s="14" t="s">
        <v>172</v>
      </c>
      <c r="P45" s="14" t="s">
        <v>4370</v>
      </c>
      <c r="Q45" s="14" t="s">
        <v>11</v>
      </c>
      <c r="R45" s="3" t="s">
        <v>4170</v>
      </c>
      <c r="S45" s="3">
        <f t="shared" si="0"/>
        <v>550</v>
      </c>
      <c r="T45" s="3">
        <f t="shared" si="1"/>
        <v>17050</v>
      </c>
      <c r="U45" s="3" t="s">
        <v>60</v>
      </c>
      <c r="V45" s="14" t="s">
        <v>6</v>
      </c>
      <c r="W45" s="14" t="s">
        <v>173</v>
      </c>
      <c r="X45" s="14" t="s">
        <v>60</v>
      </c>
    </row>
    <row r="46" spans="1:24" ht="15" x14ac:dyDescent="0.3">
      <c r="A46" s="3">
        <v>44</v>
      </c>
      <c r="B46" s="3" t="s">
        <v>4371</v>
      </c>
      <c r="C46" s="14" t="s">
        <v>0</v>
      </c>
      <c r="D46" s="14" t="s">
        <v>96</v>
      </c>
      <c r="E46" s="14" t="s">
        <v>4195</v>
      </c>
      <c r="F46" s="14" t="s">
        <v>3215</v>
      </c>
      <c r="G46" s="14" t="s">
        <v>3</v>
      </c>
      <c r="H46" s="14" t="s">
        <v>4372</v>
      </c>
      <c r="I46" s="14" t="s">
        <v>4373</v>
      </c>
      <c r="J46" s="14" t="s">
        <v>60</v>
      </c>
      <c r="K46" s="14" t="s">
        <v>60</v>
      </c>
      <c r="L46" s="14" t="s">
        <v>60</v>
      </c>
      <c r="M46" s="14" t="s">
        <v>3216</v>
      </c>
      <c r="N46" s="14" t="s">
        <v>60</v>
      </c>
      <c r="O46" s="14" t="s">
        <v>172</v>
      </c>
      <c r="P46" s="14" t="s">
        <v>4374</v>
      </c>
      <c r="Q46" s="14" t="s">
        <v>11</v>
      </c>
      <c r="R46" s="3" t="s">
        <v>4170</v>
      </c>
      <c r="S46" s="3">
        <f t="shared" si="0"/>
        <v>550</v>
      </c>
      <c r="T46" s="3">
        <f t="shared" si="1"/>
        <v>17050</v>
      </c>
      <c r="U46" s="3" t="s">
        <v>60</v>
      </c>
      <c r="V46" s="14" t="s">
        <v>6</v>
      </c>
      <c r="W46" s="14" t="s">
        <v>173</v>
      </c>
      <c r="X46" s="14" t="s">
        <v>60</v>
      </c>
    </row>
    <row r="47" spans="1:24" ht="15" x14ac:dyDescent="0.3">
      <c r="A47" s="3">
        <v>45</v>
      </c>
      <c r="B47" s="3" t="s">
        <v>4375</v>
      </c>
      <c r="C47" s="14" t="s">
        <v>0</v>
      </c>
      <c r="D47" s="14" t="s">
        <v>3217</v>
      </c>
      <c r="E47" s="14" t="s">
        <v>3218</v>
      </c>
      <c r="F47" s="14" t="s">
        <v>3219</v>
      </c>
      <c r="G47" s="14" t="s">
        <v>3</v>
      </c>
      <c r="H47" s="14" t="s">
        <v>4376</v>
      </c>
      <c r="I47" s="14" t="s">
        <v>3220</v>
      </c>
      <c r="J47" s="14" t="s">
        <v>60</v>
      </c>
      <c r="K47" s="14" t="s">
        <v>60</v>
      </c>
      <c r="L47" s="14" t="s">
        <v>60</v>
      </c>
      <c r="M47" s="14" t="s">
        <v>3221</v>
      </c>
      <c r="N47" s="14" t="s">
        <v>60</v>
      </c>
      <c r="O47" s="14" t="s">
        <v>60</v>
      </c>
      <c r="P47" s="14" t="s">
        <v>4377</v>
      </c>
      <c r="Q47" s="14" t="s">
        <v>3222</v>
      </c>
      <c r="R47" s="3" t="s">
        <v>4170</v>
      </c>
      <c r="S47" s="3">
        <f t="shared" si="0"/>
        <v>550</v>
      </c>
      <c r="T47" s="3">
        <f t="shared" si="1"/>
        <v>17050</v>
      </c>
      <c r="U47" s="3" t="s">
        <v>60</v>
      </c>
      <c r="V47" s="14" t="s">
        <v>6</v>
      </c>
      <c r="W47" s="14" t="s">
        <v>3223</v>
      </c>
      <c r="X47" s="14" t="s">
        <v>60</v>
      </c>
    </row>
    <row r="48" spans="1:24" ht="15" x14ac:dyDescent="0.3">
      <c r="A48" s="3">
        <v>46</v>
      </c>
      <c r="B48" s="3" t="s">
        <v>4378</v>
      </c>
      <c r="C48" s="14" t="s">
        <v>0</v>
      </c>
      <c r="D48" s="14" t="s">
        <v>3225</v>
      </c>
      <c r="E48" s="14" t="s">
        <v>3226</v>
      </c>
      <c r="F48" s="14" t="s">
        <v>3227</v>
      </c>
      <c r="G48" s="14" t="s">
        <v>3</v>
      </c>
      <c r="H48" s="14" t="s">
        <v>4379</v>
      </c>
      <c r="I48" s="14" t="s">
        <v>3228</v>
      </c>
      <c r="J48" s="14" t="s">
        <v>60</v>
      </c>
      <c r="K48" s="14" t="s">
        <v>60</v>
      </c>
      <c r="L48" s="14" t="s">
        <v>60</v>
      </c>
      <c r="M48" s="14" t="s">
        <v>3229</v>
      </c>
      <c r="N48" s="14" t="s">
        <v>60</v>
      </c>
      <c r="O48" s="14" t="s">
        <v>60</v>
      </c>
      <c r="P48" s="14" t="s">
        <v>4380</v>
      </c>
      <c r="Q48" s="14" t="s">
        <v>32</v>
      </c>
      <c r="R48" s="3" t="s">
        <v>4381</v>
      </c>
      <c r="S48" s="3">
        <f t="shared" si="0"/>
        <v>550</v>
      </c>
      <c r="T48" s="3">
        <f t="shared" si="1"/>
        <v>15400</v>
      </c>
      <c r="U48" s="3" t="s">
        <v>60</v>
      </c>
      <c r="V48" s="14" t="s">
        <v>6</v>
      </c>
      <c r="W48" s="14" t="s">
        <v>3223</v>
      </c>
      <c r="X48" s="14" t="s">
        <v>60</v>
      </c>
    </row>
    <row r="49" spans="1:24" ht="15" x14ac:dyDescent="0.3">
      <c r="A49" s="3">
        <v>47</v>
      </c>
      <c r="B49" s="3" t="s">
        <v>4382</v>
      </c>
      <c r="C49" s="14" t="s">
        <v>0</v>
      </c>
      <c r="D49" s="14" t="s">
        <v>3230</v>
      </c>
      <c r="E49" s="14" t="s">
        <v>4383</v>
      </c>
      <c r="F49" s="14" t="s">
        <v>3231</v>
      </c>
      <c r="G49" s="14" t="s">
        <v>3</v>
      </c>
      <c r="H49" s="14" t="s">
        <v>4384</v>
      </c>
      <c r="I49" s="14" t="s">
        <v>3232</v>
      </c>
      <c r="J49" s="14" t="s">
        <v>60</v>
      </c>
      <c r="K49" s="14" t="s">
        <v>60</v>
      </c>
      <c r="L49" s="14" t="s">
        <v>60</v>
      </c>
      <c r="M49" s="14" t="s">
        <v>3233</v>
      </c>
      <c r="N49" s="14" t="s">
        <v>60</v>
      </c>
      <c r="O49" s="14" t="s">
        <v>60</v>
      </c>
      <c r="P49" s="14" t="s">
        <v>4385</v>
      </c>
      <c r="Q49" s="14" t="s">
        <v>32</v>
      </c>
      <c r="R49" s="3" t="s">
        <v>4170</v>
      </c>
      <c r="S49" s="3">
        <f t="shared" si="0"/>
        <v>550</v>
      </c>
      <c r="T49" s="3">
        <f t="shared" si="1"/>
        <v>17050</v>
      </c>
      <c r="U49" s="3" t="s">
        <v>60</v>
      </c>
      <c r="V49" s="14" t="s">
        <v>6</v>
      </c>
      <c r="W49" s="14" t="s">
        <v>3223</v>
      </c>
      <c r="X49" s="14" t="s">
        <v>60</v>
      </c>
    </row>
    <row r="50" spans="1:24" ht="15" x14ac:dyDescent="0.3">
      <c r="A50" s="3">
        <v>48</v>
      </c>
      <c r="B50" s="3" t="s">
        <v>4386</v>
      </c>
      <c r="C50" s="14" t="s">
        <v>0</v>
      </c>
      <c r="D50" s="14" t="s">
        <v>3234</v>
      </c>
      <c r="E50" s="14" t="s">
        <v>4387</v>
      </c>
      <c r="F50" s="14" t="s">
        <v>3235</v>
      </c>
      <c r="G50" s="14" t="s">
        <v>3</v>
      </c>
      <c r="H50" s="14" t="s">
        <v>4388</v>
      </c>
      <c r="I50" s="14" t="s">
        <v>3236</v>
      </c>
      <c r="J50" s="14" t="s">
        <v>60</v>
      </c>
      <c r="K50" s="14" t="s">
        <v>60</v>
      </c>
      <c r="L50" s="14" t="s">
        <v>60</v>
      </c>
      <c r="M50" s="14" t="s">
        <v>3237</v>
      </c>
      <c r="N50" s="14" t="s">
        <v>60</v>
      </c>
      <c r="O50" s="14" t="s">
        <v>60</v>
      </c>
      <c r="P50" s="14" t="s">
        <v>4389</v>
      </c>
      <c r="Q50" s="14" t="s">
        <v>11</v>
      </c>
      <c r="R50" s="3" t="s">
        <v>4170</v>
      </c>
      <c r="S50" s="3">
        <f t="shared" si="0"/>
        <v>550</v>
      </c>
      <c r="T50" s="3">
        <f t="shared" si="1"/>
        <v>17050</v>
      </c>
      <c r="U50" s="3" t="s">
        <v>60</v>
      </c>
      <c r="V50" s="14" t="s">
        <v>6</v>
      </c>
      <c r="W50" s="14" t="s">
        <v>3223</v>
      </c>
      <c r="X50" s="14" t="s">
        <v>60</v>
      </c>
    </row>
    <row r="51" spans="1:24" ht="15" x14ac:dyDescent="0.3">
      <c r="A51" s="3">
        <v>49</v>
      </c>
      <c r="B51" s="3" t="s">
        <v>4390</v>
      </c>
      <c r="C51" s="14" t="s">
        <v>0</v>
      </c>
      <c r="D51" s="14" t="s">
        <v>3238</v>
      </c>
      <c r="E51" s="14" t="s">
        <v>4391</v>
      </c>
      <c r="F51" s="14" t="s">
        <v>3239</v>
      </c>
      <c r="G51" s="14" t="s">
        <v>3</v>
      </c>
      <c r="H51" s="14" t="s">
        <v>3240</v>
      </c>
      <c r="I51" s="14" t="s">
        <v>3241</v>
      </c>
      <c r="J51" s="14" t="s">
        <v>60</v>
      </c>
      <c r="K51" s="14" t="s">
        <v>60</v>
      </c>
      <c r="L51" s="14" t="s">
        <v>4226</v>
      </c>
      <c r="M51" s="14" t="s">
        <v>3242</v>
      </c>
      <c r="N51" s="14" t="s">
        <v>60</v>
      </c>
      <c r="O51" s="14" t="s">
        <v>60</v>
      </c>
      <c r="P51" s="14" t="s">
        <v>4392</v>
      </c>
      <c r="Q51" s="14" t="s">
        <v>32</v>
      </c>
      <c r="R51" s="3" t="s">
        <v>4170</v>
      </c>
      <c r="S51" s="3">
        <f t="shared" si="0"/>
        <v>550</v>
      </c>
      <c r="T51" s="3">
        <f t="shared" si="1"/>
        <v>17050</v>
      </c>
      <c r="U51" s="3" t="s">
        <v>60</v>
      </c>
      <c r="V51" s="14" t="s">
        <v>6</v>
      </c>
      <c r="W51" s="14" t="s">
        <v>3223</v>
      </c>
      <c r="X51" s="14" t="s">
        <v>60</v>
      </c>
    </row>
    <row r="52" spans="1:24" ht="15" x14ac:dyDescent="0.3">
      <c r="A52" s="3">
        <v>50</v>
      </c>
      <c r="B52" s="3" t="s">
        <v>4393</v>
      </c>
      <c r="C52" s="14" t="s">
        <v>0</v>
      </c>
      <c r="D52" s="14" t="s">
        <v>3243</v>
      </c>
      <c r="E52" s="14" t="s">
        <v>4394</v>
      </c>
      <c r="F52" s="14" t="s">
        <v>3244</v>
      </c>
      <c r="G52" s="14" t="s">
        <v>3</v>
      </c>
      <c r="H52" s="14" t="s">
        <v>3245</v>
      </c>
      <c r="I52" s="14" t="s">
        <v>3246</v>
      </c>
      <c r="J52" s="14" t="s">
        <v>60</v>
      </c>
      <c r="K52" s="14" t="s">
        <v>60</v>
      </c>
      <c r="L52" s="14" t="s">
        <v>4226</v>
      </c>
      <c r="M52" s="14" t="s">
        <v>3247</v>
      </c>
      <c r="N52" s="14" t="s">
        <v>60</v>
      </c>
      <c r="O52" s="14" t="s">
        <v>60</v>
      </c>
      <c r="P52" s="14" t="s">
        <v>4395</v>
      </c>
      <c r="Q52" s="14" t="s">
        <v>5</v>
      </c>
      <c r="R52" s="3" t="s">
        <v>4170</v>
      </c>
      <c r="S52" s="3">
        <f t="shared" si="0"/>
        <v>550</v>
      </c>
      <c r="T52" s="3">
        <f t="shared" si="1"/>
        <v>17050</v>
      </c>
      <c r="U52" s="3" t="s">
        <v>60</v>
      </c>
      <c r="V52" s="14" t="s">
        <v>6</v>
      </c>
      <c r="W52" s="14" t="s">
        <v>3223</v>
      </c>
      <c r="X52" s="14" t="s">
        <v>60</v>
      </c>
    </row>
    <row r="53" spans="1:24" ht="15" x14ac:dyDescent="0.3">
      <c r="A53" s="3">
        <v>51</v>
      </c>
      <c r="B53" s="3" t="s">
        <v>4396</v>
      </c>
      <c r="C53" s="14" t="s">
        <v>0</v>
      </c>
      <c r="D53" s="14" t="s">
        <v>3248</v>
      </c>
      <c r="E53" s="14" t="s">
        <v>4397</v>
      </c>
      <c r="F53" s="14" t="s">
        <v>3249</v>
      </c>
      <c r="G53" s="14" t="s">
        <v>3</v>
      </c>
      <c r="H53" s="14" t="s">
        <v>4398</v>
      </c>
      <c r="I53" s="14" t="s">
        <v>3250</v>
      </c>
      <c r="J53" s="14" t="s">
        <v>60</v>
      </c>
      <c r="K53" s="14" t="s">
        <v>60</v>
      </c>
      <c r="L53" s="14" t="s">
        <v>60</v>
      </c>
      <c r="M53" s="14" t="s">
        <v>3251</v>
      </c>
      <c r="N53" s="14" t="s">
        <v>60</v>
      </c>
      <c r="O53" s="14" t="s">
        <v>60</v>
      </c>
      <c r="P53" s="14" t="s">
        <v>4399</v>
      </c>
      <c r="Q53" s="14" t="s">
        <v>5</v>
      </c>
      <c r="R53" s="3" t="s">
        <v>4170</v>
      </c>
      <c r="S53" s="3">
        <f t="shared" si="0"/>
        <v>550</v>
      </c>
      <c r="T53" s="3">
        <f t="shared" si="1"/>
        <v>17050</v>
      </c>
      <c r="U53" s="3" t="s">
        <v>60</v>
      </c>
      <c r="V53" s="14" t="s">
        <v>6</v>
      </c>
      <c r="W53" s="14" t="s">
        <v>3223</v>
      </c>
      <c r="X53" s="14" t="s">
        <v>60</v>
      </c>
    </row>
    <row r="54" spans="1:24" ht="15" x14ac:dyDescent="0.3">
      <c r="A54" s="3">
        <v>52</v>
      </c>
      <c r="B54" s="3" t="s">
        <v>4400</v>
      </c>
      <c r="C54" s="14" t="s">
        <v>0</v>
      </c>
      <c r="D54" s="14" t="s">
        <v>3252</v>
      </c>
      <c r="E54" s="14" t="s">
        <v>4401</v>
      </c>
      <c r="F54" s="14" t="s">
        <v>3253</v>
      </c>
      <c r="G54" s="14" t="s">
        <v>3</v>
      </c>
      <c r="H54" s="14" t="s">
        <v>3254</v>
      </c>
      <c r="I54" s="14" t="s">
        <v>3255</v>
      </c>
      <c r="J54" s="14" t="s">
        <v>60</v>
      </c>
      <c r="K54" s="14" t="s">
        <v>60</v>
      </c>
      <c r="L54" s="14" t="s">
        <v>4226</v>
      </c>
      <c r="M54" s="14" t="s">
        <v>3256</v>
      </c>
      <c r="N54" s="14" t="s">
        <v>60</v>
      </c>
      <c r="O54" s="14" t="s">
        <v>60</v>
      </c>
      <c r="P54" s="14" t="s">
        <v>4402</v>
      </c>
      <c r="Q54" s="14" t="s">
        <v>32</v>
      </c>
      <c r="R54" s="3" t="s">
        <v>4170</v>
      </c>
      <c r="S54" s="3">
        <f t="shared" si="0"/>
        <v>550</v>
      </c>
      <c r="T54" s="3">
        <f t="shared" si="1"/>
        <v>17050</v>
      </c>
      <c r="U54" s="3" t="s">
        <v>60</v>
      </c>
      <c r="V54" s="14" t="s">
        <v>6</v>
      </c>
      <c r="W54" s="14" t="s">
        <v>3223</v>
      </c>
      <c r="X54" s="14" t="s">
        <v>60</v>
      </c>
    </row>
    <row r="55" spans="1:24" ht="15" x14ac:dyDescent="0.3">
      <c r="A55" s="3">
        <v>53</v>
      </c>
      <c r="B55" s="3" t="s">
        <v>4403</v>
      </c>
      <c r="C55" s="14" t="s">
        <v>0</v>
      </c>
      <c r="D55" s="14" t="s">
        <v>3257</v>
      </c>
      <c r="E55" s="14" t="s">
        <v>4404</v>
      </c>
      <c r="F55" s="14" t="s">
        <v>3258</v>
      </c>
      <c r="G55" s="14" t="s">
        <v>3</v>
      </c>
      <c r="H55" s="14" t="s">
        <v>4405</v>
      </c>
      <c r="I55" s="14" t="s">
        <v>3259</v>
      </c>
      <c r="J55" s="14" t="s">
        <v>60</v>
      </c>
      <c r="K55" s="14" t="s">
        <v>60</v>
      </c>
      <c r="L55" s="14" t="s">
        <v>60</v>
      </c>
      <c r="M55" s="14" t="s">
        <v>3260</v>
      </c>
      <c r="N55" s="14" t="s">
        <v>60</v>
      </c>
      <c r="O55" s="14" t="s">
        <v>60</v>
      </c>
      <c r="P55" s="14" t="s">
        <v>4406</v>
      </c>
      <c r="Q55" s="14" t="s">
        <v>5</v>
      </c>
      <c r="R55" s="3" t="s">
        <v>4170</v>
      </c>
      <c r="S55" s="3">
        <f t="shared" si="0"/>
        <v>550</v>
      </c>
      <c r="T55" s="3">
        <f t="shared" si="1"/>
        <v>17050</v>
      </c>
      <c r="U55" s="3" t="s">
        <v>60</v>
      </c>
      <c r="V55" s="14" t="s">
        <v>6</v>
      </c>
      <c r="W55" s="14" t="s">
        <v>3223</v>
      </c>
      <c r="X55" s="14" t="s">
        <v>60</v>
      </c>
    </row>
    <row r="56" spans="1:24" ht="15" x14ac:dyDescent="0.3">
      <c r="A56" s="3">
        <v>54</v>
      </c>
      <c r="B56" s="3" t="s">
        <v>4407</v>
      </c>
      <c r="C56" s="14" t="s">
        <v>0</v>
      </c>
      <c r="D56" s="14" t="s">
        <v>3261</v>
      </c>
      <c r="E56" s="14" t="s">
        <v>4408</v>
      </c>
      <c r="F56" s="14" t="s">
        <v>3262</v>
      </c>
      <c r="G56" s="14" t="s">
        <v>3</v>
      </c>
      <c r="H56" s="14" t="s">
        <v>3263</v>
      </c>
      <c r="I56" s="14" t="s">
        <v>3264</v>
      </c>
      <c r="J56" s="14" t="s">
        <v>60</v>
      </c>
      <c r="K56" s="14" t="s">
        <v>60</v>
      </c>
      <c r="L56" s="14" t="s">
        <v>4226</v>
      </c>
      <c r="M56" s="14" t="s">
        <v>3265</v>
      </c>
      <c r="N56" s="14" t="s">
        <v>60</v>
      </c>
      <c r="O56" s="14" t="s">
        <v>60</v>
      </c>
      <c r="P56" s="14" t="s">
        <v>4409</v>
      </c>
      <c r="Q56" s="14" t="s">
        <v>5</v>
      </c>
      <c r="R56" s="3" t="s">
        <v>4170</v>
      </c>
      <c r="S56" s="3">
        <f t="shared" si="0"/>
        <v>550</v>
      </c>
      <c r="T56" s="3">
        <f t="shared" si="1"/>
        <v>17050</v>
      </c>
      <c r="U56" s="3" t="s">
        <v>60</v>
      </c>
      <c r="V56" s="14" t="s">
        <v>6</v>
      </c>
      <c r="W56" s="14" t="s">
        <v>3223</v>
      </c>
      <c r="X56" s="14" t="s">
        <v>60</v>
      </c>
    </row>
    <row r="57" spans="1:24" ht="15" x14ac:dyDescent="0.3">
      <c r="A57" s="3">
        <v>55</v>
      </c>
      <c r="B57" s="3" t="s">
        <v>4410</v>
      </c>
      <c r="C57" s="14" t="s">
        <v>0</v>
      </c>
      <c r="D57" s="14" t="s">
        <v>3266</v>
      </c>
      <c r="E57" s="14" t="s">
        <v>4411</v>
      </c>
      <c r="F57" s="14" t="s">
        <v>3267</v>
      </c>
      <c r="G57" s="14" t="s">
        <v>121</v>
      </c>
      <c r="H57" s="14" t="s">
        <v>4412</v>
      </c>
      <c r="I57" s="14" t="s">
        <v>3268</v>
      </c>
      <c r="J57" s="14" t="s">
        <v>60</v>
      </c>
      <c r="K57" s="14" t="s">
        <v>60</v>
      </c>
      <c r="L57" s="14" t="s">
        <v>60</v>
      </c>
      <c r="M57" s="14" t="s">
        <v>3269</v>
      </c>
      <c r="N57" s="14" t="s">
        <v>60</v>
      </c>
      <c r="O57" s="14" t="s">
        <v>60</v>
      </c>
      <c r="P57" s="14" t="s">
        <v>4413</v>
      </c>
      <c r="Q57" s="14" t="s">
        <v>32</v>
      </c>
      <c r="R57" s="3" t="s">
        <v>4170</v>
      </c>
      <c r="S57" s="3">
        <f t="shared" si="0"/>
        <v>550</v>
      </c>
      <c r="T57" s="3">
        <f t="shared" si="1"/>
        <v>17050</v>
      </c>
      <c r="U57" s="3" t="s">
        <v>60</v>
      </c>
      <c r="V57" s="14" t="s">
        <v>6</v>
      </c>
      <c r="W57" s="14" t="s">
        <v>3223</v>
      </c>
      <c r="X57" s="14" t="s">
        <v>60</v>
      </c>
    </row>
    <row r="58" spans="1:24" ht="15" x14ac:dyDescent="0.3">
      <c r="A58" s="3">
        <v>56</v>
      </c>
      <c r="B58" s="3" t="s">
        <v>4414</v>
      </c>
      <c r="C58" s="14" t="s">
        <v>0</v>
      </c>
      <c r="D58" s="14" t="s">
        <v>4415</v>
      </c>
      <c r="E58" s="14" t="s">
        <v>4416</v>
      </c>
      <c r="F58" s="14" t="s">
        <v>3270</v>
      </c>
      <c r="G58" s="14" t="s">
        <v>3</v>
      </c>
      <c r="H58" s="14" t="s">
        <v>3271</v>
      </c>
      <c r="I58" s="14" t="s">
        <v>3272</v>
      </c>
      <c r="J58" s="14" t="s">
        <v>60</v>
      </c>
      <c r="K58" s="14" t="s">
        <v>60</v>
      </c>
      <c r="L58" s="14" t="s">
        <v>60</v>
      </c>
      <c r="M58" s="14" t="s">
        <v>3273</v>
      </c>
      <c r="N58" s="14" t="s">
        <v>60</v>
      </c>
      <c r="O58" s="14" t="s">
        <v>4226</v>
      </c>
      <c r="P58" s="14" t="s">
        <v>4417</v>
      </c>
      <c r="Q58" s="14" t="s">
        <v>5</v>
      </c>
      <c r="R58" s="3" t="s">
        <v>4170</v>
      </c>
      <c r="S58" s="3">
        <f t="shared" si="0"/>
        <v>550</v>
      </c>
      <c r="T58" s="3">
        <f t="shared" si="1"/>
        <v>17050</v>
      </c>
      <c r="U58" s="3" t="s">
        <v>60</v>
      </c>
      <c r="V58" s="14" t="s">
        <v>6</v>
      </c>
      <c r="W58" s="14" t="s">
        <v>3223</v>
      </c>
      <c r="X58" s="14" t="s">
        <v>60</v>
      </c>
    </row>
    <row r="59" spans="1:24" ht="15" x14ac:dyDescent="0.3">
      <c r="A59" s="3">
        <v>57</v>
      </c>
      <c r="B59" s="3" t="s">
        <v>4418</v>
      </c>
      <c r="C59" s="14" t="s">
        <v>0</v>
      </c>
      <c r="D59" s="14" t="s">
        <v>3274</v>
      </c>
      <c r="E59" s="14" t="s">
        <v>4419</v>
      </c>
      <c r="F59" s="14" t="s">
        <v>3275</v>
      </c>
      <c r="G59" s="14" t="s">
        <v>3</v>
      </c>
      <c r="H59" s="14" t="s">
        <v>4420</v>
      </c>
      <c r="I59" s="14" t="s">
        <v>3276</v>
      </c>
      <c r="J59" s="14" t="s">
        <v>60</v>
      </c>
      <c r="K59" s="14" t="s">
        <v>60</v>
      </c>
      <c r="L59" s="14" t="s">
        <v>60</v>
      </c>
      <c r="M59" s="14" t="s">
        <v>3277</v>
      </c>
      <c r="N59" s="14" t="s">
        <v>60</v>
      </c>
      <c r="O59" s="14" t="s">
        <v>60</v>
      </c>
      <c r="P59" s="14" t="s">
        <v>4421</v>
      </c>
      <c r="Q59" s="14" t="s">
        <v>32</v>
      </c>
      <c r="R59" s="3" t="s">
        <v>4170</v>
      </c>
      <c r="S59" s="3">
        <f t="shared" si="0"/>
        <v>550</v>
      </c>
      <c r="T59" s="3">
        <f t="shared" si="1"/>
        <v>17050</v>
      </c>
      <c r="U59" s="3" t="s">
        <v>60</v>
      </c>
      <c r="V59" s="14" t="s">
        <v>6</v>
      </c>
      <c r="W59" s="14" t="s">
        <v>3223</v>
      </c>
      <c r="X59" s="14" t="s">
        <v>60</v>
      </c>
    </row>
    <row r="60" spans="1:24" ht="15" x14ac:dyDescent="0.3">
      <c r="A60" s="3">
        <v>58</v>
      </c>
      <c r="B60" s="3" t="s">
        <v>4422</v>
      </c>
      <c r="C60" s="14" t="s">
        <v>0</v>
      </c>
      <c r="D60" s="14" t="s">
        <v>3278</v>
      </c>
      <c r="E60" s="14" t="s">
        <v>4423</v>
      </c>
      <c r="F60" s="14" t="s">
        <v>3279</v>
      </c>
      <c r="G60" s="14" t="s">
        <v>3</v>
      </c>
      <c r="H60" s="14" t="s">
        <v>3280</v>
      </c>
      <c r="I60" s="14" t="s">
        <v>3281</v>
      </c>
      <c r="J60" s="14" t="s">
        <v>60</v>
      </c>
      <c r="K60" s="14" t="s">
        <v>60</v>
      </c>
      <c r="L60" s="14" t="s">
        <v>60</v>
      </c>
      <c r="M60" s="14" t="s">
        <v>3282</v>
      </c>
      <c r="N60" s="14" t="s">
        <v>60</v>
      </c>
      <c r="O60" s="14" t="s">
        <v>4226</v>
      </c>
      <c r="P60" s="14" t="s">
        <v>4424</v>
      </c>
      <c r="Q60" s="14" t="s">
        <v>5</v>
      </c>
      <c r="R60" s="3" t="s">
        <v>4170</v>
      </c>
      <c r="S60" s="3">
        <f t="shared" si="0"/>
        <v>550</v>
      </c>
      <c r="T60" s="3">
        <f t="shared" si="1"/>
        <v>17050</v>
      </c>
      <c r="U60" s="3" t="s">
        <v>60</v>
      </c>
      <c r="V60" s="14" t="s">
        <v>6</v>
      </c>
      <c r="W60" s="14" t="s">
        <v>3223</v>
      </c>
      <c r="X60" s="14" t="s">
        <v>60</v>
      </c>
    </row>
    <row r="61" spans="1:24" ht="15" x14ac:dyDescent="0.3">
      <c r="A61" s="3">
        <v>59</v>
      </c>
      <c r="B61" s="3" t="s">
        <v>4425</v>
      </c>
      <c r="C61" s="14" t="s">
        <v>0</v>
      </c>
      <c r="D61" s="14" t="s">
        <v>3285</v>
      </c>
      <c r="E61" s="14" t="s">
        <v>3343</v>
      </c>
      <c r="F61" s="14" t="s">
        <v>3286</v>
      </c>
      <c r="G61" s="14" t="s">
        <v>3</v>
      </c>
      <c r="H61" s="14" t="s">
        <v>4426</v>
      </c>
      <c r="I61" s="14" t="s">
        <v>3357</v>
      </c>
      <c r="J61" s="14" t="s">
        <v>60</v>
      </c>
      <c r="K61" s="14" t="s">
        <v>60</v>
      </c>
      <c r="L61" s="14" t="s">
        <v>60</v>
      </c>
      <c r="M61" s="14" t="s">
        <v>3358</v>
      </c>
      <c r="N61" s="14" t="s">
        <v>60</v>
      </c>
      <c r="O61" s="14" t="s">
        <v>60</v>
      </c>
      <c r="P61" s="14" t="s">
        <v>4427</v>
      </c>
      <c r="Q61" s="14" t="s">
        <v>11</v>
      </c>
      <c r="R61" s="3" t="s">
        <v>4170</v>
      </c>
      <c r="S61" s="3">
        <f t="shared" si="0"/>
        <v>550</v>
      </c>
      <c r="T61" s="3">
        <f t="shared" si="1"/>
        <v>17050</v>
      </c>
      <c r="U61" s="3" t="s">
        <v>60</v>
      </c>
      <c r="V61" s="14" t="s">
        <v>6</v>
      </c>
      <c r="W61" s="14" t="s">
        <v>4428</v>
      </c>
      <c r="X61" s="14" t="s">
        <v>60</v>
      </c>
    </row>
    <row r="62" spans="1:24" ht="15" x14ac:dyDescent="0.3">
      <c r="A62" s="3">
        <v>60</v>
      </c>
      <c r="B62" s="3" t="s">
        <v>4429</v>
      </c>
      <c r="C62" s="14" t="s">
        <v>0</v>
      </c>
      <c r="D62" s="14" t="s">
        <v>3287</v>
      </c>
      <c r="E62" s="14" t="s">
        <v>4430</v>
      </c>
      <c r="F62" s="14" t="s">
        <v>3288</v>
      </c>
      <c r="G62" s="14" t="s">
        <v>3</v>
      </c>
      <c r="H62" s="14" t="s">
        <v>4431</v>
      </c>
      <c r="I62" s="14" t="s">
        <v>3359</v>
      </c>
      <c r="J62" s="14" t="s">
        <v>60</v>
      </c>
      <c r="K62" s="14" t="s">
        <v>60</v>
      </c>
      <c r="L62" s="14" t="s">
        <v>60</v>
      </c>
      <c r="M62" s="14" t="s">
        <v>3360</v>
      </c>
      <c r="N62" s="14" t="s">
        <v>60</v>
      </c>
      <c r="O62" s="14" t="s">
        <v>60</v>
      </c>
      <c r="P62" s="14" t="s">
        <v>4432</v>
      </c>
      <c r="Q62" s="14" t="s">
        <v>11</v>
      </c>
      <c r="R62" s="3" t="s">
        <v>4170</v>
      </c>
      <c r="S62" s="3">
        <f t="shared" si="0"/>
        <v>550</v>
      </c>
      <c r="T62" s="3">
        <f t="shared" si="1"/>
        <v>17050</v>
      </c>
      <c r="U62" s="3" t="s">
        <v>4433</v>
      </c>
      <c r="V62" s="14" t="s">
        <v>6</v>
      </c>
      <c r="W62" s="14" t="s">
        <v>4428</v>
      </c>
      <c r="X62" s="14" t="s">
        <v>60</v>
      </c>
    </row>
    <row r="63" spans="1:24" ht="15" x14ac:dyDescent="0.3">
      <c r="A63" s="3">
        <v>61</v>
      </c>
      <c r="B63" s="3" t="s">
        <v>4434</v>
      </c>
      <c r="C63" s="14" t="s">
        <v>0</v>
      </c>
      <c r="D63" s="14" t="s">
        <v>3289</v>
      </c>
      <c r="E63" s="14" t="s">
        <v>4435</v>
      </c>
      <c r="F63" s="14" t="s">
        <v>3290</v>
      </c>
      <c r="G63" s="14" t="s">
        <v>121</v>
      </c>
      <c r="H63" s="14" t="s">
        <v>4436</v>
      </c>
      <c r="I63" s="14" t="s">
        <v>3361</v>
      </c>
      <c r="J63" s="14" t="s">
        <v>60</v>
      </c>
      <c r="K63" s="14" t="s">
        <v>60</v>
      </c>
      <c r="L63" s="14" t="s">
        <v>60</v>
      </c>
      <c r="M63" s="14" t="s">
        <v>3362</v>
      </c>
      <c r="N63" s="14" t="s">
        <v>60</v>
      </c>
      <c r="O63" s="14" t="s">
        <v>60</v>
      </c>
      <c r="P63" s="14" t="s">
        <v>4437</v>
      </c>
      <c r="Q63" s="14" t="s">
        <v>11</v>
      </c>
      <c r="R63" s="3" t="s">
        <v>4170</v>
      </c>
      <c r="S63" s="3">
        <f t="shared" si="0"/>
        <v>550</v>
      </c>
      <c r="T63" s="3">
        <f t="shared" si="1"/>
        <v>17050</v>
      </c>
      <c r="U63" s="3" t="s">
        <v>60</v>
      </c>
      <c r="V63" s="14" t="s">
        <v>6</v>
      </c>
      <c r="W63" s="14" t="s">
        <v>4438</v>
      </c>
      <c r="X63" s="14" t="s">
        <v>60</v>
      </c>
    </row>
    <row r="64" spans="1:24" ht="15" x14ac:dyDescent="0.3">
      <c r="A64" s="3">
        <v>62</v>
      </c>
      <c r="B64" s="3" t="s">
        <v>4439</v>
      </c>
      <c r="C64" s="14" t="s">
        <v>0</v>
      </c>
      <c r="D64" s="14" t="s">
        <v>3417</v>
      </c>
      <c r="E64" s="14" t="s">
        <v>4440</v>
      </c>
      <c r="F64" s="14" t="s">
        <v>3418</v>
      </c>
      <c r="G64" s="14" t="s">
        <v>3</v>
      </c>
      <c r="H64" s="14" t="s">
        <v>4441</v>
      </c>
      <c r="I64" s="14" t="s">
        <v>3630</v>
      </c>
      <c r="J64" s="14" t="s">
        <v>60</v>
      </c>
      <c r="K64" s="14" t="s">
        <v>60</v>
      </c>
      <c r="L64" s="14" t="s">
        <v>60</v>
      </c>
      <c r="M64" s="14" t="s">
        <v>3631</v>
      </c>
      <c r="N64" s="14" t="s">
        <v>60</v>
      </c>
      <c r="O64" s="14" t="s">
        <v>60</v>
      </c>
      <c r="P64" s="14" t="s">
        <v>4442</v>
      </c>
      <c r="Q64" s="14" t="s">
        <v>11</v>
      </c>
      <c r="R64" s="3" t="s">
        <v>4443</v>
      </c>
      <c r="S64" s="3">
        <f t="shared" si="0"/>
        <v>550</v>
      </c>
      <c r="T64" s="3">
        <f t="shared" si="1"/>
        <v>11550</v>
      </c>
      <c r="U64" s="3" t="s">
        <v>60</v>
      </c>
      <c r="V64" s="14" t="s">
        <v>6</v>
      </c>
      <c r="W64" s="14" t="s">
        <v>4444</v>
      </c>
      <c r="X64" s="14" t="s">
        <v>60</v>
      </c>
    </row>
    <row r="65" spans="1:24" ht="15" x14ac:dyDescent="0.3">
      <c r="A65" s="3">
        <v>63</v>
      </c>
      <c r="B65" s="3" t="s">
        <v>4445</v>
      </c>
      <c r="C65" s="14" t="s">
        <v>0</v>
      </c>
      <c r="D65" s="14" t="s">
        <v>3419</v>
      </c>
      <c r="E65" s="14" t="s">
        <v>4446</v>
      </c>
      <c r="F65" s="14" t="s">
        <v>3425</v>
      </c>
      <c r="G65" s="14" t="s">
        <v>3</v>
      </c>
      <c r="H65" s="14" t="s">
        <v>4447</v>
      </c>
      <c r="I65" s="14" t="s">
        <v>3632</v>
      </c>
      <c r="J65" s="14" t="s">
        <v>60</v>
      </c>
      <c r="K65" s="14" t="s">
        <v>60</v>
      </c>
      <c r="L65" s="14" t="s">
        <v>60</v>
      </c>
      <c r="M65" s="14" t="s">
        <v>3633</v>
      </c>
      <c r="N65" s="14" t="s">
        <v>60</v>
      </c>
      <c r="O65" s="14" t="s">
        <v>60</v>
      </c>
      <c r="P65" s="14" t="s">
        <v>4448</v>
      </c>
      <c r="Q65" s="14" t="s">
        <v>5</v>
      </c>
      <c r="R65" s="3" t="s">
        <v>4170</v>
      </c>
      <c r="S65" s="3">
        <f t="shared" si="0"/>
        <v>550</v>
      </c>
      <c r="T65" s="3">
        <f t="shared" si="1"/>
        <v>17050</v>
      </c>
      <c r="U65" s="3" t="s">
        <v>60</v>
      </c>
      <c r="V65" s="14" t="s">
        <v>6</v>
      </c>
      <c r="W65" s="14" t="s">
        <v>4449</v>
      </c>
      <c r="X65" s="14" t="s">
        <v>60</v>
      </c>
    </row>
    <row r="66" spans="1:24" ht="15" x14ac:dyDescent="0.3">
      <c r="A66" s="3">
        <v>64</v>
      </c>
      <c r="B66" s="3" t="s">
        <v>4450</v>
      </c>
      <c r="C66" s="14" t="s">
        <v>0</v>
      </c>
      <c r="D66" s="14" t="s">
        <v>3420</v>
      </c>
      <c r="E66" s="14" t="s">
        <v>4451</v>
      </c>
      <c r="F66" s="14" t="s">
        <v>3426</v>
      </c>
      <c r="G66" s="14" t="s">
        <v>121</v>
      </c>
      <c r="H66" s="14" t="s">
        <v>4452</v>
      </c>
      <c r="I66" s="14" t="s">
        <v>3634</v>
      </c>
      <c r="J66" s="14" t="s">
        <v>60</v>
      </c>
      <c r="K66" s="14" t="s">
        <v>60</v>
      </c>
      <c r="L66" s="14" t="s">
        <v>60</v>
      </c>
      <c r="M66" s="14" t="s">
        <v>3635</v>
      </c>
      <c r="N66" s="14" t="s">
        <v>60</v>
      </c>
      <c r="O66" s="14" t="s">
        <v>60</v>
      </c>
      <c r="P66" s="14" t="s">
        <v>4453</v>
      </c>
      <c r="Q66" s="14" t="s">
        <v>11</v>
      </c>
      <c r="R66" s="3" t="s">
        <v>4170</v>
      </c>
      <c r="S66" s="3">
        <f t="shared" si="0"/>
        <v>550</v>
      </c>
      <c r="T66" s="3">
        <f t="shared" si="1"/>
        <v>17050</v>
      </c>
      <c r="U66" s="3" t="s">
        <v>60</v>
      </c>
      <c r="V66" s="14" t="s">
        <v>6</v>
      </c>
      <c r="W66" s="14" t="s">
        <v>4454</v>
      </c>
      <c r="X66" s="14" t="s">
        <v>60</v>
      </c>
    </row>
    <row r="67" spans="1:24" ht="15" x14ac:dyDescent="0.3">
      <c r="A67" s="3">
        <v>65</v>
      </c>
      <c r="B67" s="3" t="s">
        <v>4455</v>
      </c>
      <c r="C67" s="14" t="s">
        <v>0</v>
      </c>
      <c r="D67" s="14" t="s">
        <v>3421</v>
      </c>
      <c r="E67" s="14" t="s">
        <v>3615</v>
      </c>
      <c r="F67" s="14" t="s">
        <v>3427</v>
      </c>
      <c r="G67" s="14" t="s">
        <v>121</v>
      </c>
      <c r="H67" s="14" t="s">
        <v>4456</v>
      </c>
      <c r="I67" s="14" t="s">
        <v>3636</v>
      </c>
      <c r="J67" s="14" t="s">
        <v>60</v>
      </c>
      <c r="K67" s="14" t="s">
        <v>60</v>
      </c>
      <c r="L67" s="14" t="s">
        <v>60</v>
      </c>
      <c r="M67" s="14" t="s">
        <v>3637</v>
      </c>
      <c r="N67" s="14" t="s">
        <v>60</v>
      </c>
      <c r="O67" s="14" t="s">
        <v>60</v>
      </c>
      <c r="P67" s="14" t="s">
        <v>4457</v>
      </c>
      <c r="Q67" s="14" t="s">
        <v>11</v>
      </c>
      <c r="R67" s="3" t="s">
        <v>4170</v>
      </c>
      <c r="S67" s="3">
        <f t="shared" ref="S67:S80" si="2">IF(RIGHT(C67,3)="MAZ",550,IF(RIGHT(C67,4)="MATE",570,IF(RIGHT(C67,7)="SKD-III",640,IF(RIGHT(C67,6)="SKD-II",770,IF(RIGHT(C67,5)="SKD-I",900,IF(RIGHT(C67,5)="CPDVR",770,""))))))</f>
        <v>550</v>
      </c>
      <c r="T67" s="3">
        <f t="shared" ref="T67:T80" si="3">R67*S67</f>
        <v>17050</v>
      </c>
      <c r="U67" s="3" t="s">
        <v>60</v>
      </c>
      <c r="V67" s="14" t="s">
        <v>6</v>
      </c>
      <c r="W67" s="14" t="s">
        <v>4458</v>
      </c>
      <c r="X67" s="14" t="s">
        <v>60</v>
      </c>
    </row>
    <row r="68" spans="1:24" ht="15" x14ac:dyDescent="0.3">
      <c r="A68" s="3">
        <v>66</v>
      </c>
      <c r="B68" s="3" t="s">
        <v>4459</v>
      </c>
      <c r="C68" s="14" t="s">
        <v>0</v>
      </c>
      <c r="D68" s="14" t="s">
        <v>4460</v>
      </c>
      <c r="E68" s="14" t="s">
        <v>4461</v>
      </c>
      <c r="F68" s="14" t="s">
        <v>3428</v>
      </c>
      <c r="G68" s="14" t="s">
        <v>3</v>
      </c>
      <c r="H68" s="14" t="s">
        <v>4462</v>
      </c>
      <c r="I68" s="14" t="s">
        <v>3638</v>
      </c>
      <c r="J68" s="14" t="s">
        <v>60</v>
      </c>
      <c r="K68" s="14" t="s">
        <v>60</v>
      </c>
      <c r="L68" s="14" t="s">
        <v>60</v>
      </c>
      <c r="M68" s="14" t="s">
        <v>3639</v>
      </c>
      <c r="N68" s="14" t="s">
        <v>60</v>
      </c>
      <c r="O68" s="14" t="s">
        <v>60</v>
      </c>
      <c r="P68" s="14" t="s">
        <v>4463</v>
      </c>
      <c r="Q68" s="14" t="s">
        <v>11</v>
      </c>
      <c r="R68" s="3" t="s">
        <v>4170</v>
      </c>
      <c r="S68" s="3">
        <f t="shared" si="2"/>
        <v>550</v>
      </c>
      <c r="T68" s="3">
        <f t="shared" si="3"/>
        <v>17050</v>
      </c>
      <c r="U68" s="3" t="s">
        <v>60</v>
      </c>
      <c r="V68" s="14" t="s">
        <v>6</v>
      </c>
      <c r="W68" s="14" t="s">
        <v>4464</v>
      </c>
      <c r="X68" s="14" t="s">
        <v>60</v>
      </c>
    </row>
    <row r="69" spans="1:24" ht="15" x14ac:dyDescent="0.3">
      <c r="A69" s="3">
        <v>67</v>
      </c>
      <c r="B69" s="3" t="s">
        <v>4465</v>
      </c>
      <c r="C69" s="14" t="s">
        <v>69</v>
      </c>
      <c r="D69" s="14" t="s">
        <v>3876</v>
      </c>
      <c r="E69" s="14" t="s">
        <v>4466</v>
      </c>
      <c r="F69" s="14" t="s">
        <v>3882</v>
      </c>
      <c r="G69" s="14" t="s">
        <v>3</v>
      </c>
      <c r="H69" s="14" t="s">
        <v>3948</v>
      </c>
      <c r="I69" s="14" t="s">
        <v>3949</v>
      </c>
      <c r="J69" s="14" t="s">
        <v>60</v>
      </c>
      <c r="K69" s="14" t="s">
        <v>60</v>
      </c>
      <c r="L69" s="14" t="s">
        <v>60</v>
      </c>
      <c r="M69" s="14" t="s">
        <v>3950</v>
      </c>
      <c r="N69" s="14" t="s">
        <v>60</v>
      </c>
      <c r="O69" s="14" t="s">
        <v>60</v>
      </c>
      <c r="P69" s="14" t="s">
        <v>4467</v>
      </c>
      <c r="Q69" s="14" t="s">
        <v>5</v>
      </c>
      <c r="R69" s="3" t="s">
        <v>4170</v>
      </c>
      <c r="S69" s="3">
        <f t="shared" si="2"/>
        <v>570</v>
      </c>
      <c r="T69" s="3">
        <f t="shared" si="3"/>
        <v>17670</v>
      </c>
      <c r="U69" s="3" t="s">
        <v>60</v>
      </c>
      <c r="V69" s="14" t="s">
        <v>6</v>
      </c>
      <c r="W69" s="14" t="s">
        <v>4101</v>
      </c>
      <c r="X69" s="14" t="s">
        <v>60</v>
      </c>
    </row>
    <row r="70" spans="1:24" ht="15" x14ac:dyDescent="0.3">
      <c r="A70" s="3">
        <v>68</v>
      </c>
      <c r="B70" s="3" t="s">
        <v>4468</v>
      </c>
      <c r="C70" s="14" t="s">
        <v>14</v>
      </c>
      <c r="D70" s="14" t="s">
        <v>3877</v>
      </c>
      <c r="E70" s="14" t="s">
        <v>4469</v>
      </c>
      <c r="F70" s="14" t="s">
        <v>3883</v>
      </c>
      <c r="G70" s="14" t="s">
        <v>3</v>
      </c>
      <c r="H70" s="14" t="s">
        <v>3952</v>
      </c>
      <c r="I70" s="14" t="s">
        <v>3953</v>
      </c>
      <c r="J70" s="14" t="s">
        <v>60</v>
      </c>
      <c r="K70" s="14" t="s">
        <v>60</v>
      </c>
      <c r="L70" s="14" t="s">
        <v>60</v>
      </c>
      <c r="M70" s="14" t="s">
        <v>3951</v>
      </c>
      <c r="N70" s="14" t="s">
        <v>60</v>
      </c>
      <c r="O70" s="14" t="s">
        <v>60</v>
      </c>
      <c r="P70" s="14" t="s">
        <v>4470</v>
      </c>
      <c r="Q70" s="14" t="s">
        <v>3224</v>
      </c>
      <c r="R70" s="3" t="s">
        <v>4170</v>
      </c>
      <c r="S70" s="3">
        <f t="shared" si="2"/>
        <v>640</v>
      </c>
      <c r="T70" s="3">
        <f t="shared" si="3"/>
        <v>19840</v>
      </c>
      <c r="U70" s="3" t="s">
        <v>60</v>
      </c>
      <c r="V70" s="14" t="s">
        <v>6</v>
      </c>
      <c r="W70" s="14" t="s">
        <v>4101</v>
      </c>
      <c r="X70" s="14" t="s">
        <v>60</v>
      </c>
    </row>
    <row r="71" spans="1:24" ht="15" x14ac:dyDescent="0.3">
      <c r="A71" s="3">
        <v>69</v>
      </c>
      <c r="B71" s="3" t="s">
        <v>4471</v>
      </c>
      <c r="C71" s="14" t="s">
        <v>26</v>
      </c>
      <c r="D71" s="14" t="s">
        <v>3878</v>
      </c>
      <c r="E71" s="14" t="s">
        <v>4472</v>
      </c>
      <c r="F71" s="14" t="s">
        <v>3884</v>
      </c>
      <c r="G71" s="14" t="s">
        <v>3</v>
      </c>
      <c r="H71" s="14" t="s">
        <v>3955</v>
      </c>
      <c r="I71" s="14" t="s">
        <v>3954</v>
      </c>
      <c r="J71" s="14" t="s">
        <v>60</v>
      </c>
      <c r="K71" s="14" t="s">
        <v>60</v>
      </c>
      <c r="L71" s="14" t="s">
        <v>60</v>
      </c>
      <c r="M71" s="14" t="s">
        <v>3956</v>
      </c>
      <c r="N71" s="14" t="s">
        <v>60</v>
      </c>
      <c r="O71" s="14" t="s">
        <v>60</v>
      </c>
      <c r="P71" s="14" t="s">
        <v>4473</v>
      </c>
      <c r="Q71" s="14" t="s">
        <v>5</v>
      </c>
      <c r="R71" s="3" t="s">
        <v>4170</v>
      </c>
      <c r="S71" s="3">
        <f t="shared" si="2"/>
        <v>770</v>
      </c>
      <c r="T71" s="3">
        <f t="shared" si="3"/>
        <v>23870</v>
      </c>
      <c r="U71" s="3" t="s">
        <v>60</v>
      </c>
      <c r="V71" s="14" t="s">
        <v>6</v>
      </c>
      <c r="W71" s="14" t="s">
        <v>4101</v>
      </c>
      <c r="X71" s="14" t="s">
        <v>60</v>
      </c>
    </row>
    <row r="72" spans="1:24" ht="15" x14ac:dyDescent="0.3">
      <c r="A72" s="3">
        <v>70</v>
      </c>
      <c r="B72" s="3" t="s">
        <v>4474</v>
      </c>
      <c r="C72" s="14" t="s">
        <v>0</v>
      </c>
      <c r="D72" s="14" t="s">
        <v>3879</v>
      </c>
      <c r="E72" s="14" t="s">
        <v>4475</v>
      </c>
      <c r="F72" s="14" t="s">
        <v>3885</v>
      </c>
      <c r="G72" s="14" t="s">
        <v>3</v>
      </c>
      <c r="H72" s="14" t="s">
        <v>4476</v>
      </c>
      <c r="I72" s="14" t="s">
        <v>3963</v>
      </c>
      <c r="J72" s="14" t="s">
        <v>60</v>
      </c>
      <c r="K72" s="14" t="s">
        <v>60</v>
      </c>
      <c r="L72" s="14" t="s">
        <v>60</v>
      </c>
      <c r="M72" s="14" t="s">
        <v>3957</v>
      </c>
      <c r="N72" s="14" t="s">
        <v>60</v>
      </c>
      <c r="O72" s="14" t="s">
        <v>3910</v>
      </c>
      <c r="P72" s="14" t="s">
        <v>4477</v>
      </c>
      <c r="Q72" s="14" t="s">
        <v>11</v>
      </c>
      <c r="R72" s="3" t="s">
        <v>4170</v>
      </c>
      <c r="S72" s="3">
        <f t="shared" si="2"/>
        <v>550</v>
      </c>
      <c r="T72" s="3">
        <f t="shared" si="3"/>
        <v>17050</v>
      </c>
      <c r="U72" s="3" t="s">
        <v>60</v>
      </c>
      <c r="V72" s="14" t="s">
        <v>6</v>
      </c>
      <c r="W72" s="14" t="s">
        <v>4478</v>
      </c>
      <c r="X72" s="14" t="s">
        <v>60</v>
      </c>
    </row>
    <row r="73" spans="1:24" ht="15" x14ac:dyDescent="0.3">
      <c r="A73" s="3">
        <v>71</v>
      </c>
      <c r="B73" s="3" t="s">
        <v>4479</v>
      </c>
      <c r="C73" s="14" t="s">
        <v>0</v>
      </c>
      <c r="D73" s="14" t="s">
        <v>3880</v>
      </c>
      <c r="E73" s="14" t="s">
        <v>4480</v>
      </c>
      <c r="F73" s="14" t="s">
        <v>3886</v>
      </c>
      <c r="G73" s="14" t="s">
        <v>3</v>
      </c>
      <c r="H73" s="14" t="s">
        <v>4481</v>
      </c>
      <c r="I73" s="14" t="s">
        <v>3962</v>
      </c>
      <c r="J73" s="14" t="s">
        <v>60</v>
      </c>
      <c r="K73" s="14" t="s">
        <v>60</v>
      </c>
      <c r="L73" s="14" t="s">
        <v>60</v>
      </c>
      <c r="M73" s="14" t="s">
        <v>3958</v>
      </c>
      <c r="N73" s="14" t="s">
        <v>60</v>
      </c>
      <c r="O73" s="14" t="s">
        <v>3910</v>
      </c>
      <c r="P73" s="14" t="s">
        <v>4482</v>
      </c>
      <c r="Q73" s="14" t="s">
        <v>11</v>
      </c>
      <c r="R73" s="3" t="s">
        <v>4170</v>
      </c>
      <c r="S73" s="3">
        <f t="shared" si="2"/>
        <v>550</v>
      </c>
      <c r="T73" s="3">
        <f t="shared" si="3"/>
        <v>17050</v>
      </c>
      <c r="U73" s="3" t="s">
        <v>60</v>
      </c>
      <c r="V73" s="14" t="s">
        <v>6</v>
      </c>
      <c r="W73" s="14" t="s">
        <v>4483</v>
      </c>
      <c r="X73" s="14" t="s">
        <v>60</v>
      </c>
    </row>
    <row r="74" spans="1:24" ht="15" x14ac:dyDescent="0.3">
      <c r="A74" s="3">
        <v>72</v>
      </c>
      <c r="B74" s="3" t="s">
        <v>4484</v>
      </c>
      <c r="C74" s="14" t="s">
        <v>0</v>
      </c>
      <c r="D74" s="14" t="s">
        <v>3881</v>
      </c>
      <c r="E74" s="14" t="s">
        <v>4485</v>
      </c>
      <c r="F74" s="14" t="s">
        <v>3887</v>
      </c>
      <c r="G74" s="14" t="s">
        <v>3</v>
      </c>
      <c r="H74" s="14" t="s">
        <v>4486</v>
      </c>
      <c r="I74" s="14" t="s">
        <v>3961</v>
      </c>
      <c r="J74" s="14" t="s">
        <v>60</v>
      </c>
      <c r="K74" s="14" t="s">
        <v>60</v>
      </c>
      <c r="L74" s="14" t="s">
        <v>60</v>
      </c>
      <c r="M74" s="14" t="s">
        <v>3959</v>
      </c>
      <c r="N74" s="14" t="s">
        <v>60</v>
      </c>
      <c r="O74" s="14" t="s">
        <v>3910</v>
      </c>
      <c r="P74" s="14" t="s">
        <v>4487</v>
      </c>
      <c r="Q74" s="14" t="s">
        <v>11</v>
      </c>
      <c r="R74" s="3" t="s">
        <v>4170</v>
      </c>
      <c r="S74" s="3">
        <f t="shared" si="2"/>
        <v>550</v>
      </c>
      <c r="T74" s="3">
        <f t="shared" si="3"/>
        <v>17050</v>
      </c>
      <c r="U74" s="3" t="s">
        <v>60</v>
      </c>
      <c r="V74" s="14" t="s">
        <v>6</v>
      </c>
      <c r="W74" s="14" t="s">
        <v>4488</v>
      </c>
      <c r="X74" s="14" t="s">
        <v>60</v>
      </c>
    </row>
    <row r="75" spans="1:24" ht="15" x14ac:dyDescent="0.3">
      <c r="A75" s="3">
        <v>73</v>
      </c>
      <c r="B75" s="3" t="s">
        <v>4489</v>
      </c>
      <c r="C75" s="14" t="s">
        <v>0</v>
      </c>
      <c r="D75" s="14" t="s">
        <v>2846</v>
      </c>
      <c r="E75" s="14" t="s">
        <v>4216</v>
      </c>
      <c r="F75" s="14" t="s">
        <v>3888</v>
      </c>
      <c r="G75" s="14" t="s">
        <v>3</v>
      </c>
      <c r="H75" s="14" t="s">
        <v>3964</v>
      </c>
      <c r="I75" s="14" t="s">
        <v>3965</v>
      </c>
      <c r="J75" s="14" t="s">
        <v>60</v>
      </c>
      <c r="K75" s="14" t="s">
        <v>60</v>
      </c>
      <c r="L75" s="14" t="s">
        <v>60</v>
      </c>
      <c r="M75" s="14" t="s">
        <v>3960</v>
      </c>
      <c r="N75" s="14" t="s">
        <v>60</v>
      </c>
      <c r="O75" s="14" t="s">
        <v>3910</v>
      </c>
      <c r="P75" s="14" t="s">
        <v>4490</v>
      </c>
      <c r="Q75" s="14" t="s">
        <v>175</v>
      </c>
      <c r="R75" s="3" t="s">
        <v>4170</v>
      </c>
      <c r="S75" s="3">
        <f t="shared" si="2"/>
        <v>550</v>
      </c>
      <c r="T75" s="3">
        <f t="shared" si="3"/>
        <v>17050</v>
      </c>
      <c r="U75" s="3" t="s">
        <v>60</v>
      </c>
      <c r="V75" s="14" t="s">
        <v>6</v>
      </c>
      <c r="W75" s="14" t="s">
        <v>4491</v>
      </c>
      <c r="X75" s="14" t="s">
        <v>60</v>
      </c>
    </row>
    <row r="76" spans="1:24" ht="15" x14ac:dyDescent="0.3">
      <c r="A76" s="3">
        <v>74</v>
      </c>
      <c r="B76" s="3" t="s">
        <v>4492</v>
      </c>
      <c r="C76" s="14" t="s">
        <v>0</v>
      </c>
      <c r="D76" s="14" t="s">
        <v>3283</v>
      </c>
      <c r="E76" s="14" t="s">
        <v>4493</v>
      </c>
      <c r="F76" s="14" t="s">
        <v>3284</v>
      </c>
      <c r="G76" s="14" t="s">
        <v>3</v>
      </c>
      <c r="H76" s="14" t="s">
        <v>3354</v>
      </c>
      <c r="I76" s="14" t="s">
        <v>3355</v>
      </c>
      <c r="J76" s="14" t="s">
        <v>60</v>
      </c>
      <c r="K76" s="14" t="s">
        <v>60</v>
      </c>
      <c r="L76" s="14" t="s">
        <v>60</v>
      </c>
      <c r="M76" s="14" t="s">
        <v>3356</v>
      </c>
      <c r="N76" s="14" t="s">
        <v>60</v>
      </c>
      <c r="O76" s="14" t="s">
        <v>60</v>
      </c>
      <c r="P76" s="14" t="s">
        <v>4494</v>
      </c>
      <c r="Q76" s="14" t="s">
        <v>11</v>
      </c>
      <c r="R76" s="3" t="s">
        <v>68</v>
      </c>
      <c r="S76" s="3">
        <f t="shared" si="2"/>
        <v>550</v>
      </c>
      <c r="T76" s="3">
        <f t="shared" si="3"/>
        <v>0</v>
      </c>
      <c r="U76" s="3" t="s">
        <v>60</v>
      </c>
      <c r="V76" s="14" t="s">
        <v>6</v>
      </c>
      <c r="W76" s="14" t="s">
        <v>4428</v>
      </c>
      <c r="X76" s="14" t="s">
        <v>4495</v>
      </c>
    </row>
    <row r="77" spans="1:24" ht="15" x14ac:dyDescent="0.3">
      <c r="A77" s="3">
        <v>75</v>
      </c>
      <c r="B77" s="3" t="s">
        <v>4496</v>
      </c>
      <c r="C77" s="14" t="s">
        <v>0</v>
      </c>
      <c r="D77" s="14" t="s">
        <v>3424</v>
      </c>
      <c r="E77" s="14" t="s">
        <v>4497</v>
      </c>
      <c r="F77" s="14" t="s">
        <v>3429</v>
      </c>
      <c r="G77" s="14" t="s">
        <v>3</v>
      </c>
      <c r="H77" s="14" t="s">
        <v>4498</v>
      </c>
      <c r="I77" s="14" t="s">
        <v>3640</v>
      </c>
      <c r="J77" s="14" t="s">
        <v>60</v>
      </c>
      <c r="K77" s="14" t="s">
        <v>60</v>
      </c>
      <c r="L77" s="14" t="s">
        <v>60</v>
      </c>
      <c r="M77" s="14" t="s">
        <v>3641</v>
      </c>
      <c r="N77" s="14" t="s">
        <v>60</v>
      </c>
      <c r="O77" s="14" t="s">
        <v>60</v>
      </c>
      <c r="P77" s="14" t="s">
        <v>4499</v>
      </c>
      <c r="Q77" s="14" t="s">
        <v>11</v>
      </c>
      <c r="R77" s="3" t="s">
        <v>4170</v>
      </c>
      <c r="S77" s="3">
        <f t="shared" si="2"/>
        <v>550</v>
      </c>
      <c r="T77" s="3">
        <f t="shared" si="3"/>
        <v>17050</v>
      </c>
      <c r="U77" s="3" t="s">
        <v>60</v>
      </c>
      <c r="V77" s="14" t="s">
        <v>6</v>
      </c>
      <c r="W77" s="14" t="s">
        <v>4500</v>
      </c>
      <c r="X77" s="14" t="s">
        <v>60</v>
      </c>
    </row>
    <row r="78" spans="1:24" ht="15" x14ac:dyDescent="0.3">
      <c r="A78" s="3">
        <v>76</v>
      </c>
      <c r="B78" s="3" t="s">
        <v>4501</v>
      </c>
      <c r="C78" s="14" t="s">
        <v>0</v>
      </c>
      <c r="D78" s="14" t="s">
        <v>3422</v>
      </c>
      <c r="E78" s="14" t="s">
        <v>4502</v>
      </c>
      <c r="F78" s="14" t="s">
        <v>3430</v>
      </c>
      <c r="G78" s="14" t="s">
        <v>3</v>
      </c>
      <c r="H78" s="14" t="s">
        <v>4503</v>
      </c>
      <c r="I78" s="14" t="s">
        <v>3642</v>
      </c>
      <c r="J78" s="14" t="s">
        <v>60</v>
      </c>
      <c r="K78" s="14" t="s">
        <v>60</v>
      </c>
      <c r="L78" s="14" t="s">
        <v>60</v>
      </c>
      <c r="M78" s="14" t="s">
        <v>3643</v>
      </c>
      <c r="N78" s="14" t="s">
        <v>60</v>
      </c>
      <c r="O78" s="14" t="s">
        <v>60</v>
      </c>
      <c r="P78" s="14" t="s">
        <v>4504</v>
      </c>
      <c r="Q78" s="14" t="s">
        <v>11</v>
      </c>
      <c r="R78" s="3" t="s">
        <v>4170</v>
      </c>
      <c r="S78" s="3">
        <f t="shared" si="2"/>
        <v>550</v>
      </c>
      <c r="T78" s="3">
        <f t="shared" si="3"/>
        <v>17050</v>
      </c>
      <c r="U78" s="3" t="s">
        <v>60</v>
      </c>
      <c r="V78" s="14" t="s">
        <v>6</v>
      </c>
      <c r="W78" s="14" t="s">
        <v>4505</v>
      </c>
      <c r="X78" s="14" t="s">
        <v>60</v>
      </c>
    </row>
    <row r="79" spans="1:24" ht="15" x14ac:dyDescent="0.3">
      <c r="A79" s="3">
        <v>77</v>
      </c>
      <c r="B79" s="3" t="s">
        <v>4506</v>
      </c>
      <c r="C79" s="14" t="s">
        <v>0</v>
      </c>
      <c r="D79" s="14" t="s">
        <v>3423</v>
      </c>
      <c r="E79" s="14" t="s">
        <v>4507</v>
      </c>
      <c r="F79" s="14" t="s">
        <v>2963</v>
      </c>
      <c r="G79" s="14" t="s">
        <v>3</v>
      </c>
      <c r="H79" s="14" t="s">
        <v>3644</v>
      </c>
      <c r="I79" s="14" t="s">
        <v>3645</v>
      </c>
      <c r="J79" s="14" t="s">
        <v>60</v>
      </c>
      <c r="K79" s="14" t="s">
        <v>60</v>
      </c>
      <c r="L79" s="14" t="s">
        <v>60</v>
      </c>
      <c r="M79" s="14" t="s">
        <v>3646</v>
      </c>
      <c r="N79" s="14" t="s">
        <v>60</v>
      </c>
      <c r="O79" s="14" t="s">
        <v>60</v>
      </c>
      <c r="P79" s="14" t="s">
        <v>4508</v>
      </c>
      <c r="Q79" s="14" t="s">
        <v>11</v>
      </c>
      <c r="R79" s="3" t="s">
        <v>4170</v>
      </c>
      <c r="S79" s="3">
        <f t="shared" si="2"/>
        <v>550</v>
      </c>
      <c r="T79" s="3">
        <f t="shared" si="3"/>
        <v>17050</v>
      </c>
      <c r="U79" s="3" t="s">
        <v>60</v>
      </c>
      <c r="V79" s="14" t="s">
        <v>6</v>
      </c>
      <c r="W79" s="14" t="s">
        <v>4509</v>
      </c>
      <c r="X79" s="14" t="s">
        <v>60</v>
      </c>
    </row>
    <row r="80" spans="1:24" ht="15.6" x14ac:dyDescent="0.3">
      <c r="A80" s="3">
        <v>78</v>
      </c>
      <c r="B80" s="25" t="s">
        <v>4510</v>
      </c>
      <c r="C80" s="14" t="s">
        <v>0</v>
      </c>
      <c r="D80" s="14" t="s">
        <v>4103</v>
      </c>
      <c r="E80" s="14" t="s">
        <v>4511</v>
      </c>
      <c r="F80" s="14" t="s">
        <v>4104</v>
      </c>
      <c r="G80" s="14" t="s">
        <v>3</v>
      </c>
      <c r="H80" s="14" t="s">
        <v>4512</v>
      </c>
      <c r="I80" s="14" t="s">
        <v>4513</v>
      </c>
      <c r="J80" s="14" t="s">
        <v>60</v>
      </c>
      <c r="K80" s="14" t="s">
        <v>60</v>
      </c>
      <c r="L80" s="14" t="s">
        <v>60</v>
      </c>
      <c r="M80" s="14" t="s">
        <v>4514</v>
      </c>
      <c r="N80" s="14" t="s">
        <v>60</v>
      </c>
      <c r="O80" s="14" t="s">
        <v>60</v>
      </c>
      <c r="P80" s="14" t="s">
        <v>4515</v>
      </c>
      <c r="Q80" s="14" t="s">
        <v>4113</v>
      </c>
      <c r="R80" s="3" t="s">
        <v>4516</v>
      </c>
      <c r="S80" s="3">
        <f t="shared" si="2"/>
        <v>550</v>
      </c>
      <c r="T80" s="3">
        <f t="shared" si="3"/>
        <v>12650</v>
      </c>
      <c r="U80" s="3" t="s">
        <v>4517</v>
      </c>
      <c r="V80" s="14" t="s">
        <v>6</v>
      </c>
      <c r="W80" s="14" t="s">
        <v>4518</v>
      </c>
      <c r="X80" s="14" t="s">
        <v>60</v>
      </c>
    </row>
    <row r="81" spans="1:24" ht="15.6" x14ac:dyDescent="0.3">
      <c r="A81" s="26" t="s">
        <v>60</v>
      </c>
      <c r="B81" s="26" t="s">
        <v>60</v>
      </c>
      <c r="C81" s="27" t="s">
        <v>60</v>
      </c>
      <c r="D81" s="27" t="s">
        <v>60</v>
      </c>
      <c r="E81" s="27" t="s">
        <v>60</v>
      </c>
      <c r="F81" s="27" t="s">
        <v>60</v>
      </c>
      <c r="G81" s="27" t="s">
        <v>60</v>
      </c>
      <c r="H81" s="27" t="s">
        <v>60</v>
      </c>
      <c r="I81" s="27" t="s">
        <v>60</v>
      </c>
      <c r="J81" s="27" t="s">
        <v>60</v>
      </c>
      <c r="K81" s="27" t="s">
        <v>60</v>
      </c>
      <c r="L81" s="27" t="s">
        <v>60</v>
      </c>
      <c r="M81" s="27" t="s">
        <v>60</v>
      </c>
      <c r="N81" s="27" t="s">
        <v>60</v>
      </c>
      <c r="O81" s="27" t="s">
        <v>60</v>
      </c>
      <c r="P81" s="27" t="s">
        <v>60</v>
      </c>
      <c r="Q81" s="27" t="s">
        <v>60</v>
      </c>
      <c r="R81" s="35" t="s">
        <v>2009</v>
      </c>
      <c r="S81" s="35" t="s">
        <v>60</v>
      </c>
      <c r="T81" s="26">
        <f>SUM(T2:T80)</f>
        <v>1298030</v>
      </c>
      <c r="U81" s="26" t="s">
        <v>4519</v>
      </c>
      <c r="V81" s="27" t="s">
        <v>60</v>
      </c>
      <c r="W81" s="27" t="s">
        <v>60</v>
      </c>
      <c r="X81" s="27" t="s">
        <v>60</v>
      </c>
    </row>
    <row r="82" spans="1:24" ht="15.6" x14ac:dyDescent="0.3">
      <c r="A82" s="34" t="s">
        <v>4520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spans="1:24" ht="140.4" x14ac:dyDescent="0.3">
      <c r="A83" s="23" t="s">
        <v>42</v>
      </c>
      <c r="B83" s="23" t="s">
        <v>43</v>
      </c>
      <c r="C83" s="24" t="s">
        <v>44</v>
      </c>
      <c r="D83" s="24" t="s">
        <v>4154</v>
      </c>
      <c r="E83" s="24" t="s">
        <v>4155</v>
      </c>
      <c r="F83" s="24" t="s">
        <v>4156</v>
      </c>
      <c r="G83" s="24" t="s">
        <v>45</v>
      </c>
      <c r="H83" s="24" t="s">
        <v>4157</v>
      </c>
      <c r="I83" s="24" t="s">
        <v>46</v>
      </c>
      <c r="J83" s="24" t="s">
        <v>4158</v>
      </c>
      <c r="K83" s="24" t="s">
        <v>4159</v>
      </c>
      <c r="L83" s="24" t="s">
        <v>4160</v>
      </c>
      <c r="M83" s="24" t="s">
        <v>4161</v>
      </c>
      <c r="N83" s="24" t="s">
        <v>47</v>
      </c>
      <c r="O83" s="24" t="s">
        <v>48</v>
      </c>
      <c r="P83" s="24" t="s">
        <v>49</v>
      </c>
      <c r="Q83" s="24" t="s">
        <v>50</v>
      </c>
      <c r="R83" s="23" t="s">
        <v>4162</v>
      </c>
      <c r="S83" s="23" t="s">
        <v>4163</v>
      </c>
      <c r="T83" s="23" t="s">
        <v>4164</v>
      </c>
      <c r="U83" s="23" t="s">
        <v>4165</v>
      </c>
      <c r="V83" s="24" t="s">
        <v>51</v>
      </c>
      <c r="W83" s="24" t="s">
        <v>52</v>
      </c>
      <c r="X83" s="24" t="s">
        <v>53</v>
      </c>
    </row>
    <row r="84" spans="1:24" ht="15" x14ac:dyDescent="0.3">
      <c r="A84" s="3">
        <v>1</v>
      </c>
      <c r="B84" s="3" t="s">
        <v>4521</v>
      </c>
      <c r="C84" s="14" t="s">
        <v>0</v>
      </c>
      <c r="D84" s="14" t="s">
        <v>2838</v>
      </c>
      <c r="E84" s="14" t="s">
        <v>4522</v>
      </c>
      <c r="F84" s="14" t="s">
        <v>2839</v>
      </c>
      <c r="G84" s="14" t="s">
        <v>3</v>
      </c>
      <c r="H84" s="14" t="s">
        <v>4523</v>
      </c>
      <c r="I84" s="14" t="s">
        <v>2840</v>
      </c>
      <c r="J84" s="14" t="s">
        <v>60</v>
      </c>
      <c r="K84" s="14" t="s">
        <v>60</v>
      </c>
      <c r="L84" s="14" t="s">
        <v>60</v>
      </c>
      <c r="M84" s="14" t="s">
        <v>2841</v>
      </c>
      <c r="N84" s="14" t="s">
        <v>60</v>
      </c>
      <c r="O84" s="14" t="s">
        <v>949</v>
      </c>
      <c r="P84" s="14" t="s">
        <v>4524</v>
      </c>
      <c r="Q84" s="14" t="s">
        <v>11</v>
      </c>
      <c r="R84" s="3" t="s">
        <v>4170</v>
      </c>
      <c r="S84" s="3">
        <f t="shared" ref="S84:S147" si="4">IF(RIGHT(C84,3)="MAZ",550,IF(RIGHT(C84,4)="MATE",570,IF(RIGHT(C84,7)="SKD-III",640,IF(RIGHT(C84,6)="SKD-II",770,IF(RIGHT(C84,5)="SKD-I",900,IF(RIGHT(C84,5)="CPDVR",770,""))))))</f>
        <v>550</v>
      </c>
      <c r="T84" s="3">
        <f t="shared" ref="T84:T147" si="5">R84*S84</f>
        <v>17050</v>
      </c>
      <c r="U84" s="3" t="s">
        <v>60</v>
      </c>
      <c r="V84" s="14" t="s">
        <v>6</v>
      </c>
      <c r="W84" s="14" t="s">
        <v>4287</v>
      </c>
      <c r="X84" s="14" t="s">
        <v>60</v>
      </c>
    </row>
    <row r="85" spans="1:24" ht="15" x14ac:dyDescent="0.3">
      <c r="A85" s="3">
        <v>2</v>
      </c>
      <c r="B85" s="3" t="s">
        <v>4525</v>
      </c>
      <c r="C85" s="14" t="s">
        <v>0</v>
      </c>
      <c r="D85" s="14" t="s">
        <v>2842</v>
      </c>
      <c r="E85" s="14" t="s">
        <v>4526</v>
      </c>
      <c r="F85" s="14" t="s">
        <v>2843</v>
      </c>
      <c r="G85" s="14" t="s">
        <v>3</v>
      </c>
      <c r="H85" s="14" t="s">
        <v>4527</v>
      </c>
      <c r="I85" s="14" t="s">
        <v>2844</v>
      </c>
      <c r="J85" s="14" t="s">
        <v>60</v>
      </c>
      <c r="K85" s="14" t="s">
        <v>60</v>
      </c>
      <c r="L85" s="14" t="s">
        <v>60</v>
      </c>
      <c r="M85" s="14" t="s">
        <v>2845</v>
      </c>
      <c r="N85" s="14" t="s">
        <v>60</v>
      </c>
      <c r="O85" s="14" t="s">
        <v>949</v>
      </c>
      <c r="P85" s="14" t="s">
        <v>4528</v>
      </c>
      <c r="Q85" s="14" t="s">
        <v>5</v>
      </c>
      <c r="R85" s="3" t="s">
        <v>4170</v>
      </c>
      <c r="S85" s="3">
        <f t="shared" si="4"/>
        <v>550</v>
      </c>
      <c r="T85" s="3">
        <f t="shared" si="5"/>
        <v>17050</v>
      </c>
      <c r="U85" s="3" t="s">
        <v>60</v>
      </c>
      <c r="V85" s="14" t="s">
        <v>6</v>
      </c>
      <c r="W85" s="14" t="s">
        <v>4287</v>
      </c>
      <c r="X85" s="14" t="s">
        <v>60</v>
      </c>
    </row>
    <row r="86" spans="1:24" ht="15" x14ac:dyDescent="0.3">
      <c r="A86" s="3">
        <v>3</v>
      </c>
      <c r="B86" s="3" t="s">
        <v>4529</v>
      </c>
      <c r="C86" s="14" t="s">
        <v>0</v>
      </c>
      <c r="D86" s="14" t="s">
        <v>2847</v>
      </c>
      <c r="E86" s="14" t="s">
        <v>4530</v>
      </c>
      <c r="F86" s="14" t="s">
        <v>2848</v>
      </c>
      <c r="G86" s="14" t="s">
        <v>3</v>
      </c>
      <c r="H86" s="14" t="s">
        <v>4531</v>
      </c>
      <c r="I86" s="14" t="s">
        <v>2849</v>
      </c>
      <c r="J86" s="14" t="s">
        <v>60</v>
      </c>
      <c r="K86" s="14" t="s">
        <v>60</v>
      </c>
      <c r="L86" s="14" t="s">
        <v>60</v>
      </c>
      <c r="M86" s="14" t="s">
        <v>2850</v>
      </c>
      <c r="N86" s="14" t="s">
        <v>60</v>
      </c>
      <c r="O86" s="14" t="s">
        <v>114</v>
      </c>
      <c r="P86" s="14" t="s">
        <v>4532</v>
      </c>
      <c r="Q86" s="14" t="s">
        <v>11</v>
      </c>
      <c r="R86" s="3" t="s">
        <v>4533</v>
      </c>
      <c r="S86" s="3">
        <f t="shared" si="4"/>
        <v>550</v>
      </c>
      <c r="T86" s="3">
        <f t="shared" si="5"/>
        <v>7700</v>
      </c>
      <c r="U86" s="3" t="s">
        <v>60</v>
      </c>
      <c r="V86" s="14" t="s">
        <v>6</v>
      </c>
      <c r="W86" s="14" t="s">
        <v>4251</v>
      </c>
      <c r="X86" s="14" t="s">
        <v>60</v>
      </c>
    </row>
    <row r="87" spans="1:24" ht="15" x14ac:dyDescent="0.3">
      <c r="A87" s="3">
        <v>4</v>
      </c>
      <c r="B87" s="3" t="s">
        <v>4534</v>
      </c>
      <c r="C87" s="14" t="s">
        <v>0</v>
      </c>
      <c r="D87" s="14" t="s">
        <v>2851</v>
      </c>
      <c r="E87" s="14" t="s">
        <v>4304</v>
      </c>
      <c r="F87" s="14" t="s">
        <v>2852</v>
      </c>
      <c r="G87" s="14" t="s">
        <v>3</v>
      </c>
      <c r="H87" s="14" t="s">
        <v>4535</v>
      </c>
      <c r="I87" s="14" t="s">
        <v>2853</v>
      </c>
      <c r="J87" s="14" t="s">
        <v>60</v>
      </c>
      <c r="K87" s="14" t="s">
        <v>60</v>
      </c>
      <c r="L87" s="14" t="s">
        <v>60</v>
      </c>
      <c r="M87" s="14" t="s">
        <v>2854</v>
      </c>
      <c r="N87" s="14" t="s">
        <v>60</v>
      </c>
      <c r="O87" s="14" t="s">
        <v>1980</v>
      </c>
      <c r="P87" s="14" t="s">
        <v>4536</v>
      </c>
      <c r="Q87" s="14" t="s">
        <v>11</v>
      </c>
      <c r="R87" s="3" t="s">
        <v>4170</v>
      </c>
      <c r="S87" s="3">
        <f t="shared" si="4"/>
        <v>550</v>
      </c>
      <c r="T87" s="3">
        <f t="shared" si="5"/>
        <v>17050</v>
      </c>
      <c r="U87" s="3" t="s">
        <v>60</v>
      </c>
      <c r="V87" s="14" t="s">
        <v>6</v>
      </c>
      <c r="W87" s="14" t="s">
        <v>4537</v>
      </c>
      <c r="X87" s="14" t="s">
        <v>60</v>
      </c>
    </row>
    <row r="88" spans="1:24" ht="15" x14ac:dyDescent="0.3">
      <c r="A88" s="3">
        <v>5</v>
      </c>
      <c r="B88" s="3" t="s">
        <v>4538</v>
      </c>
      <c r="C88" s="14" t="s">
        <v>0</v>
      </c>
      <c r="D88" s="14" t="s">
        <v>2855</v>
      </c>
      <c r="E88" s="14" t="s">
        <v>4539</v>
      </c>
      <c r="F88" s="14" t="s">
        <v>2856</v>
      </c>
      <c r="G88" s="14" t="s">
        <v>3</v>
      </c>
      <c r="H88" s="14" t="s">
        <v>4540</v>
      </c>
      <c r="I88" s="14" t="s">
        <v>2857</v>
      </c>
      <c r="J88" s="14" t="s">
        <v>60</v>
      </c>
      <c r="K88" s="14" t="s">
        <v>60</v>
      </c>
      <c r="L88" s="14" t="s">
        <v>60</v>
      </c>
      <c r="M88" s="14" t="s">
        <v>2858</v>
      </c>
      <c r="N88" s="14" t="s">
        <v>60</v>
      </c>
      <c r="O88" s="14" t="s">
        <v>60</v>
      </c>
      <c r="P88" s="14" t="s">
        <v>4541</v>
      </c>
      <c r="Q88" s="14" t="s">
        <v>2151</v>
      </c>
      <c r="R88" s="3" t="s">
        <v>4170</v>
      </c>
      <c r="S88" s="3">
        <f t="shared" si="4"/>
        <v>550</v>
      </c>
      <c r="T88" s="3">
        <f t="shared" si="5"/>
        <v>17050</v>
      </c>
      <c r="U88" s="3" t="s">
        <v>60</v>
      </c>
      <c r="V88" s="14" t="s">
        <v>6</v>
      </c>
      <c r="W88" s="14" t="s">
        <v>4542</v>
      </c>
      <c r="X88" s="14" t="s">
        <v>60</v>
      </c>
    </row>
    <row r="89" spans="1:24" ht="15" x14ac:dyDescent="0.3">
      <c r="A89" s="3">
        <v>6</v>
      </c>
      <c r="B89" s="3" t="s">
        <v>4543</v>
      </c>
      <c r="C89" s="14" t="s">
        <v>0</v>
      </c>
      <c r="D89" s="14" t="s">
        <v>2859</v>
      </c>
      <c r="E89" s="14" t="s">
        <v>4544</v>
      </c>
      <c r="F89" s="14" t="s">
        <v>2860</v>
      </c>
      <c r="G89" s="14" t="s">
        <v>3</v>
      </c>
      <c r="H89" s="14" t="s">
        <v>4545</v>
      </c>
      <c r="I89" s="14" t="s">
        <v>2861</v>
      </c>
      <c r="J89" s="14" t="s">
        <v>60</v>
      </c>
      <c r="K89" s="14" t="s">
        <v>60</v>
      </c>
      <c r="L89" s="14" t="s">
        <v>60</v>
      </c>
      <c r="M89" s="14" t="s">
        <v>2862</v>
      </c>
      <c r="N89" s="14" t="s">
        <v>60</v>
      </c>
      <c r="O89" s="14" t="s">
        <v>60</v>
      </c>
      <c r="P89" s="14" t="s">
        <v>4546</v>
      </c>
      <c r="Q89" s="14" t="s">
        <v>81</v>
      </c>
      <c r="R89" s="3" t="s">
        <v>4170</v>
      </c>
      <c r="S89" s="3">
        <f t="shared" si="4"/>
        <v>550</v>
      </c>
      <c r="T89" s="3">
        <f t="shared" si="5"/>
        <v>17050</v>
      </c>
      <c r="U89" s="3" t="s">
        <v>60</v>
      </c>
      <c r="V89" s="14" t="s">
        <v>6</v>
      </c>
      <c r="W89" s="14" t="s">
        <v>4542</v>
      </c>
      <c r="X89" s="14" t="s">
        <v>60</v>
      </c>
    </row>
    <row r="90" spans="1:24" ht="15" x14ac:dyDescent="0.3">
      <c r="A90" s="3">
        <v>7</v>
      </c>
      <c r="B90" s="3" t="s">
        <v>4547</v>
      </c>
      <c r="C90" s="14" t="s">
        <v>0</v>
      </c>
      <c r="D90" s="14" t="s">
        <v>2863</v>
      </c>
      <c r="E90" s="14" t="s">
        <v>4548</v>
      </c>
      <c r="F90" s="14" t="s">
        <v>2864</v>
      </c>
      <c r="G90" s="14" t="s">
        <v>3</v>
      </c>
      <c r="H90" s="14" t="s">
        <v>4549</v>
      </c>
      <c r="I90" s="14" t="s">
        <v>2865</v>
      </c>
      <c r="J90" s="14" t="s">
        <v>60</v>
      </c>
      <c r="K90" s="14" t="s">
        <v>60</v>
      </c>
      <c r="L90" s="14" t="s">
        <v>60</v>
      </c>
      <c r="M90" s="14" t="s">
        <v>2866</v>
      </c>
      <c r="N90" s="14" t="s">
        <v>60</v>
      </c>
      <c r="O90" s="14" t="s">
        <v>917</v>
      </c>
      <c r="P90" s="14" t="s">
        <v>4550</v>
      </c>
      <c r="Q90" s="14" t="s">
        <v>32</v>
      </c>
      <c r="R90" s="3" t="s">
        <v>4551</v>
      </c>
      <c r="S90" s="3">
        <f t="shared" si="4"/>
        <v>550</v>
      </c>
      <c r="T90" s="3">
        <f t="shared" si="5"/>
        <v>6600</v>
      </c>
      <c r="U90" s="3" t="s">
        <v>60</v>
      </c>
      <c r="V90" s="14" t="s">
        <v>6</v>
      </c>
      <c r="W90" s="14" t="s">
        <v>4552</v>
      </c>
      <c r="X90" s="14" t="s">
        <v>60</v>
      </c>
    </row>
    <row r="91" spans="1:24" ht="15" x14ac:dyDescent="0.3">
      <c r="A91" s="3">
        <v>8</v>
      </c>
      <c r="B91" s="3" t="s">
        <v>4553</v>
      </c>
      <c r="C91" s="14" t="s">
        <v>26</v>
      </c>
      <c r="D91" s="14" t="s">
        <v>2867</v>
      </c>
      <c r="E91" s="14" t="s">
        <v>4554</v>
      </c>
      <c r="F91" s="14" t="s">
        <v>2868</v>
      </c>
      <c r="G91" s="14" t="s">
        <v>3</v>
      </c>
      <c r="H91" s="14" t="s">
        <v>4555</v>
      </c>
      <c r="I91" s="14" t="s">
        <v>2869</v>
      </c>
      <c r="J91" s="14" t="s">
        <v>60</v>
      </c>
      <c r="K91" s="14" t="s">
        <v>60</v>
      </c>
      <c r="L91" s="14" t="s">
        <v>60</v>
      </c>
      <c r="M91" s="14" t="s">
        <v>60</v>
      </c>
      <c r="N91" s="14" t="s">
        <v>60</v>
      </c>
      <c r="O91" s="14" t="s">
        <v>2870</v>
      </c>
      <c r="P91" s="14" t="s">
        <v>4556</v>
      </c>
      <c r="Q91" s="14" t="s">
        <v>32</v>
      </c>
      <c r="R91" s="3" t="s">
        <v>4170</v>
      </c>
      <c r="S91" s="3">
        <f t="shared" si="4"/>
        <v>770</v>
      </c>
      <c r="T91" s="3">
        <f t="shared" si="5"/>
        <v>23870</v>
      </c>
      <c r="U91" s="3" t="s">
        <v>60</v>
      </c>
      <c r="V91" s="14" t="s">
        <v>6</v>
      </c>
      <c r="W91" s="14" t="s">
        <v>4557</v>
      </c>
      <c r="X91" s="14" t="s">
        <v>60</v>
      </c>
    </row>
    <row r="92" spans="1:24" ht="15" x14ac:dyDescent="0.3">
      <c r="A92" s="3">
        <v>9</v>
      </c>
      <c r="B92" s="3" t="s">
        <v>4558</v>
      </c>
      <c r="C92" s="14" t="s">
        <v>0</v>
      </c>
      <c r="D92" s="14" t="s">
        <v>2871</v>
      </c>
      <c r="E92" s="14" t="s">
        <v>4559</v>
      </c>
      <c r="F92" s="14" t="s">
        <v>2872</v>
      </c>
      <c r="G92" s="14" t="s">
        <v>3</v>
      </c>
      <c r="H92" s="14" t="s">
        <v>4560</v>
      </c>
      <c r="I92" s="14" t="s">
        <v>2873</v>
      </c>
      <c r="J92" s="14" t="s">
        <v>60</v>
      </c>
      <c r="K92" s="14" t="s">
        <v>60</v>
      </c>
      <c r="L92" s="14" t="s">
        <v>60</v>
      </c>
      <c r="M92" s="14" t="s">
        <v>2874</v>
      </c>
      <c r="N92" s="14" t="s">
        <v>60</v>
      </c>
      <c r="O92" s="14" t="s">
        <v>949</v>
      </c>
      <c r="P92" s="14" t="s">
        <v>4561</v>
      </c>
      <c r="Q92" s="14" t="s">
        <v>11</v>
      </c>
      <c r="R92" s="3" t="s">
        <v>4170</v>
      </c>
      <c r="S92" s="3">
        <f t="shared" si="4"/>
        <v>550</v>
      </c>
      <c r="T92" s="3">
        <f t="shared" si="5"/>
        <v>17050</v>
      </c>
      <c r="U92" s="3" t="s">
        <v>60</v>
      </c>
      <c r="V92" s="14" t="s">
        <v>6</v>
      </c>
      <c r="W92" s="14" t="s">
        <v>4287</v>
      </c>
      <c r="X92" s="14" t="s">
        <v>60</v>
      </c>
    </row>
    <row r="93" spans="1:24" ht="15" x14ac:dyDescent="0.3">
      <c r="A93" s="3">
        <v>10</v>
      </c>
      <c r="B93" s="3" t="s">
        <v>2875</v>
      </c>
      <c r="C93" s="14" t="s">
        <v>710</v>
      </c>
      <c r="D93" s="14" t="s">
        <v>2876</v>
      </c>
      <c r="E93" s="14" t="s">
        <v>4562</v>
      </c>
      <c r="F93" s="14" t="s">
        <v>2877</v>
      </c>
      <c r="G93" s="14" t="s">
        <v>3</v>
      </c>
      <c r="H93" s="14" t="s">
        <v>4563</v>
      </c>
      <c r="I93" s="14" t="s">
        <v>2878</v>
      </c>
      <c r="J93" s="14" t="s">
        <v>60</v>
      </c>
      <c r="K93" s="14" t="s">
        <v>60</v>
      </c>
      <c r="L93" s="14" t="s">
        <v>60</v>
      </c>
      <c r="M93" s="14" t="s">
        <v>2879</v>
      </c>
      <c r="N93" s="14" t="s">
        <v>60</v>
      </c>
      <c r="O93" s="14" t="s">
        <v>917</v>
      </c>
      <c r="P93" s="14" t="s">
        <v>4564</v>
      </c>
      <c r="Q93" s="14" t="s">
        <v>11</v>
      </c>
      <c r="R93" s="3" t="s">
        <v>4170</v>
      </c>
      <c r="S93" s="3">
        <f t="shared" si="4"/>
        <v>900</v>
      </c>
      <c r="T93" s="3">
        <f t="shared" si="5"/>
        <v>27900</v>
      </c>
      <c r="U93" s="3" t="s">
        <v>60</v>
      </c>
      <c r="V93" s="14" t="s">
        <v>6</v>
      </c>
      <c r="W93" s="14" t="s">
        <v>4565</v>
      </c>
      <c r="X93" s="14" t="s">
        <v>60</v>
      </c>
    </row>
    <row r="94" spans="1:24" ht="15" x14ac:dyDescent="0.3">
      <c r="A94" s="3">
        <v>11</v>
      </c>
      <c r="B94" s="3" t="s">
        <v>4566</v>
      </c>
      <c r="C94" s="14" t="s">
        <v>26</v>
      </c>
      <c r="D94" s="14" t="s">
        <v>2880</v>
      </c>
      <c r="E94" s="14" t="s">
        <v>4567</v>
      </c>
      <c r="F94" s="14" t="s">
        <v>2881</v>
      </c>
      <c r="G94" s="14" t="s">
        <v>3</v>
      </c>
      <c r="H94" s="14" t="s">
        <v>4568</v>
      </c>
      <c r="I94" s="14" t="s">
        <v>2882</v>
      </c>
      <c r="J94" s="14" t="s">
        <v>60</v>
      </c>
      <c r="K94" s="14" t="s">
        <v>60</v>
      </c>
      <c r="L94" s="14" t="s">
        <v>60</v>
      </c>
      <c r="M94" s="14" t="s">
        <v>60</v>
      </c>
      <c r="N94" s="14" t="s">
        <v>60</v>
      </c>
      <c r="O94" s="14" t="s">
        <v>31</v>
      </c>
      <c r="P94" s="14" t="s">
        <v>4569</v>
      </c>
      <c r="Q94" s="14" t="s">
        <v>32</v>
      </c>
      <c r="R94" s="3" t="s">
        <v>4170</v>
      </c>
      <c r="S94" s="3">
        <f t="shared" si="4"/>
        <v>770</v>
      </c>
      <c r="T94" s="3">
        <f t="shared" si="5"/>
        <v>23870</v>
      </c>
      <c r="U94" s="3" t="s">
        <v>60</v>
      </c>
      <c r="V94" s="14" t="s">
        <v>6</v>
      </c>
      <c r="W94" s="14" t="s">
        <v>4570</v>
      </c>
      <c r="X94" s="14" t="s">
        <v>60</v>
      </c>
    </row>
    <row r="95" spans="1:24" ht="15" x14ac:dyDescent="0.3">
      <c r="A95" s="3">
        <v>12</v>
      </c>
      <c r="B95" s="3" t="s">
        <v>4571</v>
      </c>
      <c r="C95" s="14" t="s">
        <v>710</v>
      </c>
      <c r="D95" s="14" t="s">
        <v>2883</v>
      </c>
      <c r="E95" s="14" t="s">
        <v>2884</v>
      </c>
      <c r="F95" s="14" t="s">
        <v>2885</v>
      </c>
      <c r="G95" s="14" t="s">
        <v>3</v>
      </c>
      <c r="H95" s="14" t="s">
        <v>4572</v>
      </c>
      <c r="I95" s="14" t="s">
        <v>2886</v>
      </c>
      <c r="J95" s="14" t="s">
        <v>60</v>
      </c>
      <c r="K95" s="14" t="s">
        <v>60</v>
      </c>
      <c r="L95" s="14" t="s">
        <v>60</v>
      </c>
      <c r="M95" s="14" t="s">
        <v>60</v>
      </c>
      <c r="N95" s="14" t="s">
        <v>60</v>
      </c>
      <c r="O95" s="14" t="s">
        <v>60</v>
      </c>
      <c r="P95" s="14" t="s">
        <v>4573</v>
      </c>
      <c r="Q95" s="14" t="s">
        <v>11</v>
      </c>
      <c r="R95" s="3" t="s">
        <v>4170</v>
      </c>
      <c r="S95" s="3">
        <f t="shared" si="4"/>
        <v>900</v>
      </c>
      <c r="T95" s="3">
        <f t="shared" si="5"/>
        <v>27900</v>
      </c>
      <c r="U95" s="3" t="s">
        <v>60</v>
      </c>
      <c r="V95" s="14" t="s">
        <v>6</v>
      </c>
      <c r="W95" s="14" t="s">
        <v>2887</v>
      </c>
      <c r="X95" s="14" t="s">
        <v>60</v>
      </c>
    </row>
    <row r="96" spans="1:24" ht="15" x14ac:dyDescent="0.3">
      <c r="A96" s="3">
        <v>13</v>
      </c>
      <c r="B96" s="3" t="s">
        <v>4574</v>
      </c>
      <c r="C96" s="14" t="s">
        <v>26</v>
      </c>
      <c r="D96" s="14" t="s">
        <v>2893</v>
      </c>
      <c r="E96" s="14" t="s">
        <v>4575</v>
      </c>
      <c r="F96" s="14" t="s">
        <v>2894</v>
      </c>
      <c r="G96" s="14" t="s">
        <v>3</v>
      </c>
      <c r="H96" s="14" t="s">
        <v>2895</v>
      </c>
      <c r="I96" s="14" t="s">
        <v>2896</v>
      </c>
      <c r="J96" s="14" t="s">
        <v>60</v>
      </c>
      <c r="K96" s="14" t="s">
        <v>60</v>
      </c>
      <c r="L96" s="14" t="s">
        <v>60</v>
      </c>
      <c r="M96" s="14" t="s">
        <v>2897</v>
      </c>
      <c r="N96" s="14" t="s">
        <v>60</v>
      </c>
      <c r="O96" s="14" t="s">
        <v>60</v>
      </c>
      <c r="P96" s="14" t="s">
        <v>4576</v>
      </c>
      <c r="Q96" s="14" t="s">
        <v>2898</v>
      </c>
      <c r="R96" s="3" t="s">
        <v>68</v>
      </c>
      <c r="S96" s="3">
        <f t="shared" si="4"/>
        <v>770</v>
      </c>
      <c r="T96" s="3">
        <f t="shared" si="5"/>
        <v>0</v>
      </c>
      <c r="U96" s="3" t="s">
        <v>60</v>
      </c>
      <c r="V96" s="14" t="s">
        <v>3889</v>
      </c>
      <c r="W96" s="14" t="s">
        <v>4577</v>
      </c>
      <c r="X96" s="14" t="s">
        <v>4578</v>
      </c>
    </row>
    <row r="97" spans="1:24" ht="15" x14ac:dyDescent="0.3">
      <c r="A97" s="3">
        <v>14</v>
      </c>
      <c r="B97" s="3" t="s">
        <v>4579</v>
      </c>
      <c r="C97" s="14" t="s">
        <v>0</v>
      </c>
      <c r="D97" s="14" t="s">
        <v>2900</v>
      </c>
      <c r="E97" s="14" t="s">
        <v>4580</v>
      </c>
      <c r="F97" s="14" t="s">
        <v>2901</v>
      </c>
      <c r="G97" s="14" t="s">
        <v>3</v>
      </c>
      <c r="H97" s="14" t="s">
        <v>2902</v>
      </c>
      <c r="I97" s="14" t="s">
        <v>2903</v>
      </c>
      <c r="J97" s="14" t="s">
        <v>60</v>
      </c>
      <c r="K97" s="14" t="s">
        <v>60</v>
      </c>
      <c r="L97" s="14" t="s">
        <v>60</v>
      </c>
      <c r="M97" s="14" t="s">
        <v>2904</v>
      </c>
      <c r="N97" s="14" t="s">
        <v>60</v>
      </c>
      <c r="O97" s="14" t="s">
        <v>169</v>
      </c>
      <c r="P97" s="14" t="s">
        <v>4581</v>
      </c>
      <c r="Q97" s="14" t="s">
        <v>2905</v>
      </c>
      <c r="R97" s="3" t="s">
        <v>68</v>
      </c>
      <c r="S97" s="3">
        <f t="shared" si="4"/>
        <v>550</v>
      </c>
      <c r="T97" s="3">
        <f t="shared" si="5"/>
        <v>0</v>
      </c>
      <c r="U97" s="3" t="s">
        <v>60</v>
      </c>
      <c r="V97" s="14" t="s">
        <v>6</v>
      </c>
      <c r="W97" s="14" t="s">
        <v>4327</v>
      </c>
      <c r="X97" s="14" t="s">
        <v>4578</v>
      </c>
    </row>
    <row r="98" spans="1:24" ht="15" x14ac:dyDescent="0.3">
      <c r="A98" s="3">
        <v>15</v>
      </c>
      <c r="B98" s="3" t="s">
        <v>4582</v>
      </c>
      <c r="C98" s="14" t="s">
        <v>0</v>
      </c>
      <c r="D98" s="14" t="s">
        <v>2906</v>
      </c>
      <c r="E98" s="14" t="s">
        <v>4583</v>
      </c>
      <c r="F98" s="14" t="s">
        <v>2907</v>
      </c>
      <c r="G98" s="14" t="s">
        <v>3</v>
      </c>
      <c r="H98" s="14" t="s">
        <v>4584</v>
      </c>
      <c r="I98" s="14" t="s">
        <v>2908</v>
      </c>
      <c r="J98" s="14" t="s">
        <v>60</v>
      </c>
      <c r="K98" s="14" t="s">
        <v>60</v>
      </c>
      <c r="L98" s="14" t="s">
        <v>60</v>
      </c>
      <c r="M98" s="14" t="s">
        <v>2909</v>
      </c>
      <c r="N98" s="14" t="s">
        <v>60</v>
      </c>
      <c r="O98" s="14" t="s">
        <v>60</v>
      </c>
      <c r="P98" s="14" t="s">
        <v>4585</v>
      </c>
      <c r="Q98" s="14" t="s">
        <v>11</v>
      </c>
      <c r="R98" s="3" t="s">
        <v>4170</v>
      </c>
      <c r="S98" s="3">
        <f t="shared" si="4"/>
        <v>550</v>
      </c>
      <c r="T98" s="3">
        <f t="shared" si="5"/>
        <v>17050</v>
      </c>
      <c r="U98" s="3" t="s">
        <v>60</v>
      </c>
      <c r="V98" s="14" t="s">
        <v>6</v>
      </c>
      <c r="W98" s="14" t="s">
        <v>4586</v>
      </c>
      <c r="X98" s="14" t="s">
        <v>60</v>
      </c>
    </row>
    <row r="99" spans="1:24" ht="15" x14ac:dyDescent="0.3">
      <c r="A99" s="3">
        <v>16</v>
      </c>
      <c r="B99" s="3" t="s">
        <v>4587</v>
      </c>
      <c r="C99" s="14" t="s">
        <v>69</v>
      </c>
      <c r="D99" s="14" t="s">
        <v>2910</v>
      </c>
      <c r="E99" s="14" t="s">
        <v>4588</v>
      </c>
      <c r="F99" s="14" t="s">
        <v>2911</v>
      </c>
      <c r="G99" s="14" t="s">
        <v>3</v>
      </c>
      <c r="H99" s="14" t="s">
        <v>4589</v>
      </c>
      <c r="I99" s="14" t="s">
        <v>2912</v>
      </c>
      <c r="J99" s="14" t="s">
        <v>60</v>
      </c>
      <c r="K99" s="14" t="s">
        <v>60</v>
      </c>
      <c r="L99" s="14" t="s">
        <v>60</v>
      </c>
      <c r="M99" s="14" t="s">
        <v>60</v>
      </c>
      <c r="N99" s="14" t="s">
        <v>60</v>
      </c>
      <c r="O99" s="14" t="s">
        <v>2913</v>
      </c>
      <c r="P99" s="14" t="s">
        <v>4590</v>
      </c>
      <c r="Q99" s="14" t="s">
        <v>5</v>
      </c>
      <c r="R99" s="3" t="s">
        <v>4170</v>
      </c>
      <c r="S99" s="3">
        <f t="shared" si="4"/>
        <v>570</v>
      </c>
      <c r="T99" s="3">
        <f t="shared" si="5"/>
        <v>17670</v>
      </c>
      <c r="U99" s="3" t="s">
        <v>60</v>
      </c>
      <c r="V99" s="14" t="s">
        <v>6</v>
      </c>
      <c r="W99" s="14" t="s">
        <v>4287</v>
      </c>
      <c r="X99" s="14" t="s">
        <v>60</v>
      </c>
    </row>
    <row r="100" spans="1:24" ht="15" x14ac:dyDescent="0.3">
      <c r="A100" s="3">
        <v>17</v>
      </c>
      <c r="B100" s="3" t="s">
        <v>4591</v>
      </c>
      <c r="C100" s="14" t="s">
        <v>0</v>
      </c>
      <c r="D100" s="14" t="s">
        <v>2914</v>
      </c>
      <c r="E100" s="14" t="s">
        <v>2915</v>
      </c>
      <c r="F100" s="14" t="s">
        <v>2916</v>
      </c>
      <c r="G100" s="14" t="s">
        <v>3</v>
      </c>
      <c r="H100" s="14" t="s">
        <v>2917</v>
      </c>
      <c r="I100" s="14" t="s">
        <v>2918</v>
      </c>
      <c r="J100" s="14" t="s">
        <v>60</v>
      </c>
      <c r="K100" s="14" t="s">
        <v>60</v>
      </c>
      <c r="L100" s="14" t="s">
        <v>60</v>
      </c>
      <c r="M100" s="14" t="s">
        <v>2919</v>
      </c>
      <c r="N100" s="14" t="s">
        <v>60</v>
      </c>
      <c r="O100" s="14" t="s">
        <v>4592</v>
      </c>
      <c r="P100" s="14" t="s">
        <v>4593</v>
      </c>
      <c r="Q100" s="14" t="s">
        <v>5</v>
      </c>
      <c r="R100" s="3" t="s">
        <v>4300</v>
      </c>
      <c r="S100" s="3">
        <f t="shared" si="4"/>
        <v>550</v>
      </c>
      <c r="T100" s="3">
        <f t="shared" si="5"/>
        <v>15950</v>
      </c>
      <c r="U100" s="3" t="s">
        <v>60</v>
      </c>
      <c r="V100" s="14" t="s">
        <v>6</v>
      </c>
      <c r="W100" s="14" t="s">
        <v>4594</v>
      </c>
      <c r="X100" s="14" t="s">
        <v>60</v>
      </c>
    </row>
    <row r="101" spans="1:24" ht="15" x14ac:dyDescent="0.3">
      <c r="A101" s="3">
        <v>18</v>
      </c>
      <c r="B101" s="3" t="s">
        <v>4595</v>
      </c>
      <c r="C101" s="14" t="s">
        <v>0</v>
      </c>
      <c r="D101" s="14" t="s">
        <v>2920</v>
      </c>
      <c r="E101" s="14" t="s">
        <v>4596</v>
      </c>
      <c r="F101" s="14" t="s">
        <v>2921</v>
      </c>
      <c r="G101" s="14" t="s">
        <v>3</v>
      </c>
      <c r="H101" s="14" t="s">
        <v>4597</v>
      </c>
      <c r="I101" s="14" t="s">
        <v>4598</v>
      </c>
      <c r="J101" s="14" t="s">
        <v>60</v>
      </c>
      <c r="K101" s="14" t="s">
        <v>60</v>
      </c>
      <c r="L101" s="14" t="s">
        <v>60</v>
      </c>
      <c r="M101" s="14" t="s">
        <v>60</v>
      </c>
      <c r="N101" s="14" t="s">
        <v>60</v>
      </c>
      <c r="O101" s="14" t="s">
        <v>4</v>
      </c>
      <c r="P101" s="14" t="s">
        <v>4599</v>
      </c>
      <c r="Q101" s="14" t="s">
        <v>2922</v>
      </c>
      <c r="R101" s="3" t="s">
        <v>4170</v>
      </c>
      <c r="S101" s="3">
        <f t="shared" si="4"/>
        <v>550</v>
      </c>
      <c r="T101" s="3">
        <f t="shared" si="5"/>
        <v>17050</v>
      </c>
      <c r="U101" s="3" t="s">
        <v>60</v>
      </c>
      <c r="V101" s="14" t="s">
        <v>6</v>
      </c>
      <c r="W101" s="14" t="s">
        <v>7</v>
      </c>
      <c r="X101" s="14" t="s">
        <v>60</v>
      </c>
    </row>
    <row r="102" spans="1:24" ht="15" x14ac:dyDescent="0.3">
      <c r="A102" s="3">
        <v>19</v>
      </c>
      <c r="B102" s="3" t="s">
        <v>4600</v>
      </c>
      <c r="C102" s="14" t="s">
        <v>0</v>
      </c>
      <c r="D102" s="14" t="s">
        <v>2923</v>
      </c>
      <c r="E102" s="14" t="s">
        <v>2924</v>
      </c>
      <c r="F102" s="14" t="s">
        <v>2925</v>
      </c>
      <c r="G102" s="14" t="s">
        <v>3</v>
      </c>
      <c r="H102" s="14" t="s">
        <v>2926</v>
      </c>
      <c r="I102" s="14" t="s">
        <v>4601</v>
      </c>
      <c r="J102" s="14" t="s">
        <v>60</v>
      </c>
      <c r="K102" s="14" t="s">
        <v>60</v>
      </c>
      <c r="L102" s="14" t="s">
        <v>60</v>
      </c>
      <c r="M102" s="14" t="s">
        <v>60</v>
      </c>
      <c r="N102" s="14" t="s">
        <v>60</v>
      </c>
      <c r="O102" s="14" t="s">
        <v>4602</v>
      </c>
      <c r="P102" s="14" t="s">
        <v>4603</v>
      </c>
      <c r="Q102" s="14" t="s">
        <v>5</v>
      </c>
      <c r="R102" s="3" t="s">
        <v>4170</v>
      </c>
      <c r="S102" s="3">
        <f t="shared" si="4"/>
        <v>550</v>
      </c>
      <c r="T102" s="3">
        <f t="shared" si="5"/>
        <v>17050</v>
      </c>
      <c r="U102" s="3" t="s">
        <v>60</v>
      </c>
      <c r="V102" s="14" t="s">
        <v>6</v>
      </c>
      <c r="W102" s="14" t="s">
        <v>7</v>
      </c>
      <c r="X102" s="14" t="s">
        <v>60</v>
      </c>
    </row>
    <row r="103" spans="1:24" ht="15" x14ac:dyDescent="0.3">
      <c r="A103" s="3">
        <v>20</v>
      </c>
      <c r="B103" s="3" t="s">
        <v>4604</v>
      </c>
      <c r="C103" s="14" t="s">
        <v>0</v>
      </c>
      <c r="D103" s="14" t="s">
        <v>2927</v>
      </c>
      <c r="E103" s="14" t="s">
        <v>2928</v>
      </c>
      <c r="F103" s="14" t="s">
        <v>2929</v>
      </c>
      <c r="G103" s="14" t="s">
        <v>3</v>
      </c>
      <c r="H103" s="14" t="s">
        <v>4605</v>
      </c>
      <c r="I103" s="14" t="s">
        <v>4606</v>
      </c>
      <c r="J103" s="14" t="s">
        <v>60</v>
      </c>
      <c r="K103" s="14" t="s">
        <v>60</v>
      </c>
      <c r="L103" s="14" t="s">
        <v>60</v>
      </c>
      <c r="M103" s="14" t="s">
        <v>60</v>
      </c>
      <c r="N103" s="14" t="s">
        <v>60</v>
      </c>
      <c r="O103" s="14" t="s">
        <v>4</v>
      </c>
      <c r="P103" s="14" t="s">
        <v>4607</v>
      </c>
      <c r="Q103" s="14" t="s">
        <v>11</v>
      </c>
      <c r="R103" s="3" t="s">
        <v>4170</v>
      </c>
      <c r="S103" s="3">
        <f t="shared" si="4"/>
        <v>550</v>
      </c>
      <c r="T103" s="3">
        <f t="shared" si="5"/>
        <v>17050</v>
      </c>
      <c r="U103" s="3" t="s">
        <v>4608</v>
      </c>
      <c r="V103" s="14" t="s">
        <v>6</v>
      </c>
      <c r="W103" s="14" t="s">
        <v>7</v>
      </c>
      <c r="X103" s="14" t="s">
        <v>60</v>
      </c>
    </row>
    <row r="104" spans="1:24" ht="15" x14ac:dyDescent="0.3">
      <c r="A104" s="3">
        <v>21</v>
      </c>
      <c r="B104" s="3" t="s">
        <v>4609</v>
      </c>
      <c r="C104" s="14" t="s">
        <v>0</v>
      </c>
      <c r="D104" s="14" t="s">
        <v>1</v>
      </c>
      <c r="E104" s="14" t="s">
        <v>4610</v>
      </c>
      <c r="F104" s="14" t="s">
        <v>2</v>
      </c>
      <c r="G104" s="14" t="s">
        <v>3</v>
      </c>
      <c r="H104" s="14" t="s">
        <v>4611</v>
      </c>
      <c r="I104" s="14" t="s">
        <v>4612</v>
      </c>
      <c r="J104" s="14" t="s">
        <v>60</v>
      </c>
      <c r="K104" s="14" t="s">
        <v>60</v>
      </c>
      <c r="L104" s="14" t="s">
        <v>60</v>
      </c>
      <c r="M104" s="14" t="s">
        <v>60</v>
      </c>
      <c r="N104" s="14" t="s">
        <v>60</v>
      </c>
      <c r="O104" s="14" t="s">
        <v>4</v>
      </c>
      <c r="P104" s="14" t="s">
        <v>4613</v>
      </c>
      <c r="Q104" s="14" t="s">
        <v>5</v>
      </c>
      <c r="R104" s="3" t="s">
        <v>4170</v>
      </c>
      <c r="S104" s="3">
        <f t="shared" si="4"/>
        <v>550</v>
      </c>
      <c r="T104" s="3">
        <f t="shared" si="5"/>
        <v>17050</v>
      </c>
      <c r="U104" s="3" t="s">
        <v>60</v>
      </c>
      <c r="V104" s="14" t="s">
        <v>6</v>
      </c>
      <c r="W104" s="14" t="s">
        <v>7</v>
      </c>
      <c r="X104" s="14" t="s">
        <v>60</v>
      </c>
    </row>
    <row r="105" spans="1:24" ht="15" x14ac:dyDescent="0.3">
      <c r="A105" s="3">
        <v>22</v>
      </c>
      <c r="B105" s="3" t="s">
        <v>4614</v>
      </c>
      <c r="C105" s="14" t="s">
        <v>0</v>
      </c>
      <c r="D105" s="14" t="s">
        <v>8</v>
      </c>
      <c r="E105" s="14" t="s">
        <v>9</v>
      </c>
      <c r="F105" s="14" t="s">
        <v>10</v>
      </c>
      <c r="G105" s="14" t="s">
        <v>3</v>
      </c>
      <c r="H105" s="14" t="s">
        <v>4615</v>
      </c>
      <c r="I105" s="14" t="s">
        <v>4616</v>
      </c>
      <c r="J105" s="14" t="s">
        <v>60</v>
      </c>
      <c r="K105" s="14" t="s">
        <v>60</v>
      </c>
      <c r="L105" s="14" t="s">
        <v>60</v>
      </c>
      <c r="M105" s="14" t="s">
        <v>60</v>
      </c>
      <c r="N105" s="14" t="s">
        <v>60</v>
      </c>
      <c r="O105" s="14" t="s">
        <v>4</v>
      </c>
      <c r="P105" s="14" t="s">
        <v>4617</v>
      </c>
      <c r="Q105" s="14" t="s">
        <v>11</v>
      </c>
      <c r="R105" s="3" t="s">
        <v>4316</v>
      </c>
      <c r="S105" s="3">
        <f t="shared" si="4"/>
        <v>550</v>
      </c>
      <c r="T105" s="3">
        <f t="shared" si="5"/>
        <v>13750</v>
      </c>
      <c r="U105" s="3" t="s">
        <v>60</v>
      </c>
      <c r="V105" s="14" t="s">
        <v>6</v>
      </c>
      <c r="W105" s="14" t="s">
        <v>7</v>
      </c>
      <c r="X105" s="14" t="s">
        <v>60</v>
      </c>
    </row>
    <row r="106" spans="1:24" ht="15" x14ac:dyDescent="0.3">
      <c r="A106" s="3">
        <v>23</v>
      </c>
      <c r="B106" s="3" t="s">
        <v>4618</v>
      </c>
      <c r="C106" s="14" t="s">
        <v>0</v>
      </c>
      <c r="D106" s="14" t="s">
        <v>12</v>
      </c>
      <c r="E106" s="14" t="s">
        <v>13</v>
      </c>
      <c r="F106" s="14" t="s">
        <v>2</v>
      </c>
      <c r="G106" s="14" t="s">
        <v>3</v>
      </c>
      <c r="H106" s="14" t="s">
        <v>4619</v>
      </c>
      <c r="I106" s="14" t="s">
        <v>4620</v>
      </c>
      <c r="J106" s="14" t="s">
        <v>60</v>
      </c>
      <c r="K106" s="14" t="s">
        <v>60</v>
      </c>
      <c r="L106" s="14" t="s">
        <v>60</v>
      </c>
      <c r="M106" s="14" t="s">
        <v>60</v>
      </c>
      <c r="N106" s="14" t="s">
        <v>60</v>
      </c>
      <c r="O106" s="14" t="s">
        <v>4</v>
      </c>
      <c r="P106" s="14" t="s">
        <v>4621</v>
      </c>
      <c r="Q106" s="14" t="s">
        <v>5</v>
      </c>
      <c r="R106" s="3" t="s">
        <v>4170</v>
      </c>
      <c r="S106" s="3">
        <f t="shared" si="4"/>
        <v>550</v>
      </c>
      <c r="T106" s="3">
        <f t="shared" si="5"/>
        <v>17050</v>
      </c>
      <c r="U106" s="3" t="s">
        <v>60</v>
      </c>
      <c r="V106" s="14" t="s">
        <v>6</v>
      </c>
      <c r="W106" s="14" t="s">
        <v>7</v>
      </c>
      <c r="X106" s="14" t="s">
        <v>60</v>
      </c>
    </row>
    <row r="107" spans="1:24" ht="15" x14ac:dyDescent="0.3">
      <c r="A107" s="3">
        <v>24</v>
      </c>
      <c r="B107" s="3" t="s">
        <v>4622</v>
      </c>
      <c r="C107" s="14" t="s">
        <v>14</v>
      </c>
      <c r="D107" s="14" t="s">
        <v>15</v>
      </c>
      <c r="E107" s="14" t="s">
        <v>4623</v>
      </c>
      <c r="F107" s="14" t="s">
        <v>16</v>
      </c>
      <c r="G107" s="14" t="s">
        <v>3</v>
      </c>
      <c r="H107" s="14" t="s">
        <v>17</v>
      </c>
      <c r="I107" s="14" t="s">
        <v>18</v>
      </c>
      <c r="J107" s="14" t="s">
        <v>60</v>
      </c>
      <c r="K107" s="14" t="s">
        <v>60</v>
      </c>
      <c r="L107" s="14" t="s">
        <v>60</v>
      </c>
      <c r="M107" s="14" t="s">
        <v>19</v>
      </c>
      <c r="N107" s="14" t="s">
        <v>60</v>
      </c>
      <c r="O107" s="14" t="s">
        <v>60</v>
      </c>
      <c r="P107" s="14" t="s">
        <v>4624</v>
      </c>
      <c r="Q107" s="14" t="s">
        <v>5</v>
      </c>
      <c r="R107" s="3" t="s">
        <v>4170</v>
      </c>
      <c r="S107" s="3">
        <f t="shared" si="4"/>
        <v>640</v>
      </c>
      <c r="T107" s="3">
        <f t="shared" si="5"/>
        <v>19840</v>
      </c>
      <c r="U107" s="3" t="s">
        <v>60</v>
      </c>
      <c r="V107" s="14" t="s">
        <v>6</v>
      </c>
      <c r="W107" s="14" t="s">
        <v>20</v>
      </c>
      <c r="X107" s="14" t="s">
        <v>60</v>
      </c>
    </row>
    <row r="108" spans="1:24" ht="15" x14ac:dyDescent="0.3">
      <c r="A108" s="3">
        <v>25</v>
      </c>
      <c r="B108" s="3" t="s">
        <v>4625</v>
      </c>
      <c r="C108" s="14" t="s">
        <v>0</v>
      </c>
      <c r="D108" s="14" t="s">
        <v>21</v>
      </c>
      <c r="E108" s="14" t="s">
        <v>4626</v>
      </c>
      <c r="F108" s="14" t="s">
        <v>22</v>
      </c>
      <c r="G108" s="14" t="s">
        <v>3</v>
      </c>
      <c r="H108" s="14" t="s">
        <v>23</v>
      </c>
      <c r="I108" s="14" t="s">
        <v>4627</v>
      </c>
      <c r="J108" s="14" t="s">
        <v>60</v>
      </c>
      <c r="K108" s="14" t="s">
        <v>60</v>
      </c>
      <c r="L108" s="14" t="s">
        <v>60</v>
      </c>
      <c r="M108" s="14" t="s">
        <v>60</v>
      </c>
      <c r="N108" s="14" t="s">
        <v>60</v>
      </c>
      <c r="O108" s="14" t="s">
        <v>4628</v>
      </c>
      <c r="P108" s="14" t="s">
        <v>4629</v>
      </c>
      <c r="Q108" s="14" t="s">
        <v>24</v>
      </c>
      <c r="R108" s="3" t="s">
        <v>4170</v>
      </c>
      <c r="S108" s="3">
        <f t="shared" si="4"/>
        <v>550</v>
      </c>
      <c r="T108" s="3">
        <f t="shared" si="5"/>
        <v>17050</v>
      </c>
      <c r="U108" s="3" t="s">
        <v>60</v>
      </c>
      <c r="V108" s="14" t="s">
        <v>6</v>
      </c>
      <c r="W108" s="14" t="s">
        <v>7</v>
      </c>
      <c r="X108" s="14" t="s">
        <v>60</v>
      </c>
    </row>
    <row r="109" spans="1:24" ht="15" x14ac:dyDescent="0.3">
      <c r="A109" s="3">
        <v>26</v>
      </c>
      <c r="B109" s="3" t="s">
        <v>4630</v>
      </c>
      <c r="C109" s="14" t="s">
        <v>0</v>
      </c>
      <c r="D109" s="14" t="s">
        <v>34</v>
      </c>
      <c r="E109" s="14" t="s">
        <v>4631</v>
      </c>
      <c r="F109" s="14" t="s">
        <v>35</v>
      </c>
      <c r="G109" s="14" t="s">
        <v>3</v>
      </c>
      <c r="H109" s="14" t="s">
        <v>4632</v>
      </c>
      <c r="I109" s="14" t="s">
        <v>36</v>
      </c>
      <c r="J109" s="14" t="s">
        <v>60</v>
      </c>
      <c r="K109" s="14" t="s">
        <v>60</v>
      </c>
      <c r="L109" s="14" t="s">
        <v>60</v>
      </c>
      <c r="M109" s="14" t="s">
        <v>37</v>
      </c>
      <c r="N109" s="14" t="s">
        <v>60</v>
      </c>
      <c r="O109" s="14" t="s">
        <v>60</v>
      </c>
      <c r="P109" s="14" t="s">
        <v>4633</v>
      </c>
      <c r="Q109" s="14" t="s">
        <v>11</v>
      </c>
      <c r="R109" s="3" t="s">
        <v>4170</v>
      </c>
      <c r="S109" s="3">
        <f t="shared" si="4"/>
        <v>550</v>
      </c>
      <c r="T109" s="3">
        <f t="shared" si="5"/>
        <v>17050</v>
      </c>
      <c r="U109" s="3" t="s">
        <v>60</v>
      </c>
      <c r="V109" s="14" t="s">
        <v>6</v>
      </c>
      <c r="W109" s="14" t="s">
        <v>4634</v>
      </c>
      <c r="X109" s="14" t="s">
        <v>60</v>
      </c>
    </row>
    <row r="110" spans="1:24" ht="15" x14ac:dyDescent="0.3">
      <c r="A110" s="3">
        <v>27</v>
      </c>
      <c r="B110" s="3" t="s">
        <v>4635</v>
      </c>
      <c r="C110" s="14" t="s">
        <v>0</v>
      </c>
      <c r="D110" s="14" t="s">
        <v>38</v>
      </c>
      <c r="E110" s="14" t="s">
        <v>4636</v>
      </c>
      <c r="F110" s="14" t="s">
        <v>39</v>
      </c>
      <c r="G110" s="14" t="s">
        <v>3</v>
      </c>
      <c r="H110" s="14" t="s">
        <v>4637</v>
      </c>
      <c r="I110" s="14" t="s">
        <v>40</v>
      </c>
      <c r="J110" s="14" t="s">
        <v>60</v>
      </c>
      <c r="K110" s="14" t="s">
        <v>60</v>
      </c>
      <c r="L110" s="14" t="s">
        <v>60</v>
      </c>
      <c r="M110" s="14" t="s">
        <v>41</v>
      </c>
      <c r="N110" s="14" t="s">
        <v>60</v>
      </c>
      <c r="O110" s="14" t="s">
        <v>60</v>
      </c>
      <c r="P110" s="14" t="s">
        <v>4638</v>
      </c>
      <c r="Q110" s="14" t="s">
        <v>11</v>
      </c>
      <c r="R110" s="3" t="s">
        <v>4170</v>
      </c>
      <c r="S110" s="3">
        <f t="shared" si="4"/>
        <v>550</v>
      </c>
      <c r="T110" s="3">
        <f t="shared" si="5"/>
        <v>17050</v>
      </c>
      <c r="U110" s="3" t="s">
        <v>60</v>
      </c>
      <c r="V110" s="14" t="s">
        <v>6</v>
      </c>
      <c r="W110" s="14" t="s">
        <v>4209</v>
      </c>
      <c r="X110" s="14" t="s">
        <v>60</v>
      </c>
    </row>
    <row r="111" spans="1:24" ht="15" x14ac:dyDescent="0.3">
      <c r="A111" s="3">
        <v>28</v>
      </c>
      <c r="B111" s="3" t="s">
        <v>4639</v>
      </c>
      <c r="C111" s="14" t="s">
        <v>14</v>
      </c>
      <c r="D111" s="14" t="s">
        <v>2930</v>
      </c>
      <c r="E111" s="14" t="s">
        <v>4640</v>
      </c>
      <c r="F111" s="14" t="s">
        <v>2931</v>
      </c>
      <c r="G111" s="14" t="s">
        <v>3</v>
      </c>
      <c r="H111" s="14" t="s">
        <v>4641</v>
      </c>
      <c r="I111" s="14" t="s">
        <v>2932</v>
      </c>
      <c r="J111" s="14" t="s">
        <v>60</v>
      </c>
      <c r="K111" s="14" t="s">
        <v>60</v>
      </c>
      <c r="L111" s="14" t="s">
        <v>60</v>
      </c>
      <c r="M111" s="14" t="s">
        <v>60</v>
      </c>
      <c r="N111" s="14" t="s">
        <v>60</v>
      </c>
      <c r="O111" s="14" t="s">
        <v>2933</v>
      </c>
      <c r="P111" s="14" t="s">
        <v>4642</v>
      </c>
      <c r="Q111" s="14" t="s">
        <v>5</v>
      </c>
      <c r="R111" s="3" t="s">
        <v>4170</v>
      </c>
      <c r="S111" s="3">
        <f t="shared" si="4"/>
        <v>640</v>
      </c>
      <c r="T111" s="3">
        <f t="shared" si="5"/>
        <v>19840</v>
      </c>
      <c r="U111" s="3" t="s">
        <v>60</v>
      </c>
      <c r="V111" s="14" t="s">
        <v>6</v>
      </c>
      <c r="W111" s="14" t="s">
        <v>4287</v>
      </c>
      <c r="X111" s="14" t="s">
        <v>60</v>
      </c>
    </row>
    <row r="112" spans="1:24" ht="15" x14ac:dyDescent="0.3">
      <c r="A112" s="3">
        <v>29</v>
      </c>
      <c r="B112" s="3" t="s">
        <v>4643</v>
      </c>
      <c r="C112" s="14" t="s">
        <v>0</v>
      </c>
      <c r="D112" s="14" t="s">
        <v>2934</v>
      </c>
      <c r="E112" s="14" t="s">
        <v>4644</v>
      </c>
      <c r="F112" s="14" t="s">
        <v>2935</v>
      </c>
      <c r="G112" s="14" t="s">
        <v>121</v>
      </c>
      <c r="H112" s="14" t="s">
        <v>4645</v>
      </c>
      <c r="I112" s="14" t="s">
        <v>4646</v>
      </c>
      <c r="J112" s="14" t="s">
        <v>60</v>
      </c>
      <c r="K112" s="14" t="s">
        <v>60</v>
      </c>
      <c r="L112" s="14" t="s">
        <v>60</v>
      </c>
      <c r="M112" s="14" t="s">
        <v>2936</v>
      </c>
      <c r="N112" s="14" t="s">
        <v>60</v>
      </c>
      <c r="O112" s="14" t="s">
        <v>2937</v>
      </c>
      <c r="P112" s="14" t="s">
        <v>4647</v>
      </c>
      <c r="Q112" s="14" t="s">
        <v>32</v>
      </c>
      <c r="R112" s="3" t="s">
        <v>4170</v>
      </c>
      <c r="S112" s="3">
        <f t="shared" si="4"/>
        <v>550</v>
      </c>
      <c r="T112" s="3">
        <f t="shared" si="5"/>
        <v>17050</v>
      </c>
      <c r="U112" s="3" t="s">
        <v>60</v>
      </c>
      <c r="V112" s="14" t="s">
        <v>6</v>
      </c>
      <c r="W112" s="14" t="s">
        <v>4648</v>
      </c>
      <c r="X112" s="14" t="s">
        <v>60</v>
      </c>
    </row>
    <row r="113" spans="1:24" ht="15" x14ac:dyDescent="0.3">
      <c r="A113" s="3">
        <v>30</v>
      </c>
      <c r="B113" s="3" t="s">
        <v>4649</v>
      </c>
      <c r="C113" s="14" t="s">
        <v>0</v>
      </c>
      <c r="D113" s="14" t="s">
        <v>2940</v>
      </c>
      <c r="E113" s="14" t="s">
        <v>4650</v>
      </c>
      <c r="F113" s="14" t="s">
        <v>167</v>
      </c>
      <c r="G113" s="14" t="s">
        <v>3</v>
      </c>
      <c r="H113" s="14" t="s">
        <v>4651</v>
      </c>
      <c r="I113" s="14" t="s">
        <v>2941</v>
      </c>
      <c r="J113" s="14" t="s">
        <v>60</v>
      </c>
      <c r="K113" s="14" t="s">
        <v>60</v>
      </c>
      <c r="L113" s="14" t="s">
        <v>60</v>
      </c>
      <c r="M113" s="14" t="s">
        <v>2942</v>
      </c>
      <c r="N113" s="14" t="s">
        <v>60</v>
      </c>
      <c r="O113" s="14" t="s">
        <v>169</v>
      </c>
      <c r="P113" s="14" t="s">
        <v>4652</v>
      </c>
      <c r="Q113" s="14" t="s">
        <v>174</v>
      </c>
      <c r="R113" s="3" t="s">
        <v>4170</v>
      </c>
      <c r="S113" s="3">
        <f t="shared" si="4"/>
        <v>550</v>
      </c>
      <c r="T113" s="3">
        <f t="shared" si="5"/>
        <v>17050</v>
      </c>
      <c r="U113" s="3" t="s">
        <v>60</v>
      </c>
      <c r="V113" s="14" t="s">
        <v>6</v>
      </c>
      <c r="W113" s="14" t="s">
        <v>4327</v>
      </c>
      <c r="X113" s="14" t="s">
        <v>60</v>
      </c>
    </row>
    <row r="114" spans="1:24" ht="15" x14ac:dyDescent="0.3">
      <c r="A114" s="3">
        <v>31</v>
      </c>
      <c r="B114" s="3" t="s">
        <v>4653</v>
      </c>
      <c r="C114" s="14" t="s">
        <v>0</v>
      </c>
      <c r="D114" s="14" t="s">
        <v>2943</v>
      </c>
      <c r="E114" s="14" t="s">
        <v>4440</v>
      </c>
      <c r="F114" s="14" t="s">
        <v>166</v>
      </c>
      <c r="G114" s="14" t="s">
        <v>3</v>
      </c>
      <c r="H114" s="14" t="s">
        <v>4654</v>
      </c>
      <c r="I114" s="14" t="s">
        <v>4655</v>
      </c>
      <c r="J114" s="14" t="s">
        <v>60</v>
      </c>
      <c r="K114" s="14" t="s">
        <v>60</v>
      </c>
      <c r="L114" s="14" t="s">
        <v>60</v>
      </c>
      <c r="M114" s="14" t="s">
        <v>2944</v>
      </c>
      <c r="N114" s="14" t="s">
        <v>60</v>
      </c>
      <c r="O114" s="14" t="s">
        <v>172</v>
      </c>
      <c r="P114" s="14" t="s">
        <v>4656</v>
      </c>
      <c r="Q114" s="14" t="s">
        <v>11</v>
      </c>
      <c r="R114" s="3" t="s">
        <v>4170</v>
      </c>
      <c r="S114" s="3">
        <f t="shared" si="4"/>
        <v>550</v>
      </c>
      <c r="T114" s="3">
        <f t="shared" si="5"/>
        <v>17050</v>
      </c>
      <c r="U114" s="3" t="s">
        <v>60</v>
      </c>
      <c r="V114" s="14" t="s">
        <v>6</v>
      </c>
      <c r="W114" s="14" t="s">
        <v>173</v>
      </c>
      <c r="X114" s="14" t="s">
        <v>60</v>
      </c>
    </row>
    <row r="115" spans="1:24" ht="15" x14ac:dyDescent="0.3">
      <c r="A115" s="3">
        <v>32</v>
      </c>
      <c r="B115" s="3" t="s">
        <v>4657</v>
      </c>
      <c r="C115" s="14" t="s">
        <v>0</v>
      </c>
      <c r="D115" s="14" t="s">
        <v>2945</v>
      </c>
      <c r="E115" s="14" t="s">
        <v>4658</v>
      </c>
      <c r="F115" s="14" t="s">
        <v>2946</v>
      </c>
      <c r="G115" s="14" t="s">
        <v>3</v>
      </c>
      <c r="H115" s="14" t="s">
        <v>4659</v>
      </c>
      <c r="I115" s="14" t="s">
        <v>4660</v>
      </c>
      <c r="J115" s="14" t="s">
        <v>60</v>
      </c>
      <c r="K115" s="14" t="s">
        <v>60</v>
      </c>
      <c r="L115" s="14" t="s">
        <v>60</v>
      </c>
      <c r="M115" s="14" t="s">
        <v>2947</v>
      </c>
      <c r="N115" s="14" t="s">
        <v>60</v>
      </c>
      <c r="O115" s="14" t="s">
        <v>172</v>
      </c>
      <c r="P115" s="14" t="s">
        <v>4661</v>
      </c>
      <c r="Q115" s="14" t="s">
        <v>170</v>
      </c>
      <c r="R115" s="3" t="s">
        <v>4170</v>
      </c>
      <c r="S115" s="3">
        <f t="shared" si="4"/>
        <v>550</v>
      </c>
      <c r="T115" s="3">
        <f t="shared" si="5"/>
        <v>17050</v>
      </c>
      <c r="U115" s="3" t="s">
        <v>60</v>
      </c>
      <c r="V115" s="14" t="s">
        <v>6</v>
      </c>
      <c r="W115" s="14" t="s">
        <v>173</v>
      </c>
      <c r="X115" s="14" t="s">
        <v>60</v>
      </c>
    </row>
    <row r="116" spans="1:24" ht="15" x14ac:dyDescent="0.3">
      <c r="A116" s="3">
        <v>33</v>
      </c>
      <c r="B116" s="3" t="s">
        <v>4662</v>
      </c>
      <c r="C116" s="14" t="s">
        <v>0</v>
      </c>
      <c r="D116" s="14" t="s">
        <v>2948</v>
      </c>
      <c r="E116" s="14" t="s">
        <v>4562</v>
      </c>
      <c r="F116" s="14" t="s">
        <v>2949</v>
      </c>
      <c r="G116" s="14" t="s">
        <v>3</v>
      </c>
      <c r="H116" s="14" t="s">
        <v>4663</v>
      </c>
      <c r="I116" s="14" t="s">
        <v>4664</v>
      </c>
      <c r="J116" s="14" t="s">
        <v>60</v>
      </c>
      <c r="K116" s="14" t="s">
        <v>60</v>
      </c>
      <c r="L116" s="14" t="s">
        <v>60</v>
      </c>
      <c r="M116" s="14" t="s">
        <v>2950</v>
      </c>
      <c r="N116" s="14" t="s">
        <v>60</v>
      </c>
      <c r="O116" s="14" t="s">
        <v>172</v>
      </c>
      <c r="P116" s="14" t="s">
        <v>4665</v>
      </c>
      <c r="Q116" s="14" t="s">
        <v>2951</v>
      </c>
      <c r="R116" s="3" t="s">
        <v>4170</v>
      </c>
      <c r="S116" s="3">
        <f t="shared" si="4"/>
        <v>550</v>
      </c>
      <c r="T116" s="3">
        <f t="shared" si="5"/>
        <v>17050</v>
      </c>
      <c r="U116" s="3" t="s">
        <v>60</v>
      </c>
      <c r="V116" s="14" t="s">
        <v>6</v>
      </c>
      <c r="W116" s="14" t="s">
        <v>173</v>
      </c>
      <c r="X116" s="14" t="s">
        <v>60</v>
      </c>
    </row>
    <row r="117" spans="1:24" ht="15" x14ac:dyDescent="0.3">
      <c r="A117" s="3">
        <v>34</v>
      </c>
      <c r="B117" s="3" t="s">
        <v>4666</v>
      </c>
      <c r="C117" s="14" t="s">
        <v>0</v>
      </c>
      <c r="D117" s="14" t="s">
        <v>2952</v>
      </c>
      <c r="E117" s="14" t="s">
        <v>4667</v>
      </c>
      <c r="F117" s="14" t="s">
        <v>2953</v>
      </c>
      <c r="G117" s="14" t="s">
        <v>3</v>
      </c>
      <c r="H117" s="14" t="s">
        <v>4668</v>
      </c>
      <c r="I117" s="14" t="s">
        <v>4669</v>
      </c>
      <c r="J117" s="14" t="s">
        <v>60</v>
      </c>
      <c r="K117" s="14" t="s">
        <v>60</v>
      </c>
      <c r="L117" s="14" t="s">
        <v>60</v>
      </c>
      <c r="M117" s="14" t="s">
        <v>2954</v>
      </c>
      <c r="N117" s="14" t="s">
        <v>60</v>
      </c>
      <c r="O117" s="14" t="s">
        <v>172</v>
      </c>
      <c r="P117" s="14" t="s">
        <v>4670</v>
      </c>
      <c r="Q117" s="14" t="s">
        <v>32</v>
      </c>
      <c r="R117" s="3" t="s">
        <v>4170</v>
      </c>
      <c r="S117" s="3">
        <f t="shared" si="4"/>
        <v>550</v>
      </c>
      <c r="T117" s="3">
        <f t="shared" si="5"/>
        <v>17050</v>
      </c>
      <c r="U117" s="3" t="s">
        <v>60</v>
      </c>
      <c r="V117" s="14" t="s">
        <v>6</v>
      </c>
      <c r="W117" s="14" t="s">
        <v>173</v>
      </c>
      <c r="X117" s="14" t="s">
        <v>60</v>
      </c>
    </row>
    <row r="118" spans="1:24" ht="15" x14ac:dyDescent="0.3">
      <c r="A118" s="3">
        <v>35</v>
      </c>
      <c r="B118" s="3" t="s">
        <v>4671</v>
      </c>
      <c r="C118" s="14" t="s">
        <v>0</v>
      </c>
      <c r="D118" s="14" t="s">
        <v>2955</v>
      </c>
      <c r="E118" s="14" t="s">
        <v>4562</v>
      </c>
      <c r="F118" s="14" t="s">
        <v>2956</v>
      </c>
      <c r="G118" s="14" t="s">
        <v>3</v>
      </c>
      <c r="H118" s="14" t="s">
        <v>4672</v>
      </c>
      <c r="I118" s="14" t="s">
        <v>4673</v>
      </c>
      <c r="J118" s="14" t="s">
        <v>60</v>
      </c>
      <c r="K118" s="14" t="s">
        <v>60</v>
      </c>
      <c r="L118" s="14" t="s">
        <v>60</v>
      </c>
      <c r="M118" s="14" t="s">
        <v>2957</v>
      </c>
      <c r="N118" s="14" t="s">
        <v>60</v>
      </c>
      <c r="O118" s="14" t="s">
        <v>172</v>
      </c>
      <c r="P118" s="14" t="s">
        <v>4674</v>
      </c>
      <c r="Q118" s="14" t="s">
        <v>11</v>
      </c>
      <c r="R118" s="3" t="s">
        <v>4170</v>
      </c>
      <c r="S118" s="3">
        <f t="shared" si="4"/>
        <v>550</v>
      </c>
      <c r="T118" s="3">
        <f t="shared" si="5"/>
        <v>17050</v>
      </c>
      <c r="U118" s="3" t="s">
        <v>60</v>
      </c>
      <c r="V118" s="14" t="s">
        <v>6</v>
      </c>
      <c r="W118" s="14" t="s">
        <v>173</v>
      </c>
      <c r="X118" s="14" t="s">
        <v>60</v>
      </c>
    </row>
    <row r="119" spans="1:24" ht="15" x14ac:dyDescent="0.3">
      <c r="A119" s="3">
        <v>36</v>
      </c>
      <c r="B119" s="3" t="s">
        <v>4675</v>
      </c>
      <c r="C119" s="14" t="s">
        <v>0</v>
      </c>
      <c r="D119" s="14" t="s">
        <v>2958</v>
      </c>
      <c r="E119" s="14" t="s">
        <v>4676</v>
      </c>
      <c r="F119" s="14" t="s">
        <v>2959</v>
      </c>
      <c r="G119" s="14" t="s">
        <v>121</v>
      </c>
      <c r="H119" s="14" t="s">
        <v>4677</v>
      </c>
      <c r="I119" s="14" t="s">
        <v>4678</v>
      </c>
      <c r="J119" s="14" t="s">
        <v>60</v>
      </c>
      <c r="K119" s="14" t="s">
        <v>60</v>
      </c>
      <c r="L119" s="14" t="s">
        <v>60</v>
      </c>
      <c r="M119" s="14" t="s">
        <v>2960</v>
      </c>
      <c r="N119" s="14" t="s">
        <v>60</v>
      </c>
      <c r="O119" s="14" t="s">
        <v>172</v>
      </c>
      <c r="P119" s="14" t="s">
        <v>4679</v>
      </c>
      <c r="Q119" s="14" t="s">
        <v>2961</v>
      </c>
      <c r="R119" s="3" t="s">
        <v>4170</v>
      </c>
      <c r="S119" s="3">
        <f t="shared" si="4"/>
        <v>550</v>
      </c>
      <c r="T119" s="3">
        <f t="shared" si="5"/>
        <v>17050</v>
      </c>
      <c r="U119" s="3" t="s">
        <v>60</v>
      </c>
      <c r="V119" s="14" t="s">
        <v>6</v>
      </c>
      <c r="W119" s="14" t="s">
        <v>173</v>
      </c>
      <c r="X119" s="14" t="s">
        <v>60</v>
      </c>
    </row>
    <row r="120" spans="1:24" ht="15" x14ac:dyDescent="0.3">
      <c r="A120" s="3">
        <v>37</v>
      </c>
      <c r="B120" s="3" t="s">
        <v>4680</v>
      </c>
      <c r="C120" s="14" t="s">
        <v>0</v>
      </c>
      <c r="D120" s="14" t="s">
        <v>2962</v>
      </c>
      <c r="E120" s="14" t="s">
        <v>4681</v>
      </c>
      <c r="F120" s="14" t="s">
        <v>2963</v>
      </c>
      <c r="G120" s="14" t="s">
        <v>3</v>
      </c>
      <c r="H120" s="14" t="s">
        <v>4682</v>
      </c>
      <c r="I120" s="14" t="s">
        <v>4683</v>
      </c>
      <c r="J120" s="14" t="s">
        <v>60</v>
      </c>
      <c r="K120" s="14" t="s">
        <v>60</v>
      </c>
      <c r="L120" s="14" t="s">
        <v>60</v>
      </c>
      <c r="M120" s="14" t="s">
        <v>2964</v>
      </c>
      <c r="N120" s="14" t="s">
        <v>60</v>
      </c>
      <c r="O120" s="14" t="s">
        <v>172</v>
      </c>
      <c r="P120" s="14" t="s">
        <v>4684</v>
      </c>
      <c r="Q120" s="14" t="s">
        <v>2151</v>
      </c>
      <c r="R120" s="3" t="s">
        <v>4170</v>
      </c>
      <c r="S120" s="3">
        <f t="shared" si="4"/>
        <v>550</v>
      </c>
      <c r="T120" s="3">
        <f t="shared" si="5"/>
        <v>17050</v>
      </c>
      <c r="U120" s="3" t="s">
        <v>60</v>
      </c>
      <c r="V120" s="14" t="s">
        <v>6</v>
      </c>
      <c r="W120" s="14" t="s">
        <v>173</v>
      </c>
      <c r="X120" s="14" t="s">
        <v>60</v>
      </c>
    </row>
    <row r="121" spans="1:24" ht="15" x14ac:dyDescent="0.3">
      <c r="A121" s="3">
        <v>38</v>
      </c>
      <c r="B121" s="3" t="s">
        <v>4685</v>
      </c>
      <c r="C121" s="14" t="s">
        <v>0</v>
      </c>
      <c r="D121" s="14" t="s">
        <v>2965</v>
      </c>
      <c r="E121" s="14" t="s">
        <v>4308</v>
      </c>
      <c r="F121" s="14" t="s">
        <v>2966</v>
      </c>
      <c r="G121" s="14" t="s">
        <v>3</v>
      </c>
      <c r="H121" s="14" t="s">
        <v>4686</v>
      </c>
      <c r="I121" s="14" t="s">
        <v>4687</v>
      </c>
      <c r="J121" s="14" t="s">
        <v>60</v>
      </c>
      <c r="K121" s="14" t="s">
        <v>60</v>
      </c>
      <c r="L121" s="14" t="s">
        <v>60</v>
      </c>
      <c r="M121" s="14" t="s">
        <v>2967</v>
      </c>
      <c r="N121" s="14" t="s">
        <v>60</v>
      </c>
      <c r="O121" s="14" t="s">
        <v>172</v>
      </c>
      <c r="P121" s="14" t="s">
        <v>4688</v>
      </c>
      <c r="Q121" s="14" t="s">
        <v>11</v>
      </c>
      <c r="R121" s="3" t="s">
        <v>4170</v>
      </c>
      <c r="S121" s="3">
        <f t="shared" si="4"/>
        <v>550</v>
      </c>
      <c r="T121" s="3">
        <f t="shared" si="5"/>
        <v>17050</v>
      </c>
      <c r="U121" s="3" t="s">
        <v>60</v>
      </c>
      <c r="V121" s="14" t="s">
        <v>6</v>
      </c>
      <c r="W121" s="14" t="s">
        <v>173</v>
      </c>
      <c r="X121" s="14" t="s">
        <v>60</v>
      </c>
    </row>
    <row r="122" spans="1:24" ht="15" x14ac:dyDescent="0.3">
      <c r="A122" s="3">
        <v>39</v>
      </c>
      <c r="B122" s="3" t="s">
        <v>4689</v>
      </c>
      <c r="C122" s="14" t="s">
        <v>0</v>
      </c>
      <c r="D122" s="14" t="s">
        <v>2968</v>
      </c>
      <c r="E122" s="14" t="s">
        <v>4690</v>
      </c>
      <c r="F122" s="14" t="s">
        <v>2969</v>
      </c>
      <c r="G122" s="14" t="s">
        <v>3</v>
      </c>
      <c r="H122" s="14" t="s">
        <v>4691</v>
      </c>
      <c r="I122" s="14" t="s">
        <v>4692</v>
      </c>
      <c r="J122" s="14" t="s">
        <v>60</v>
      </c>
      <c r="K122" s="14" t="s">
        <v>60</v>
      </c>
      <c r="L122" s="14" t="s">
        <v>60</v>
      </c>
      <c r="M122" s="14" t="s">
        <v>2971</v>
      </c>
      <c r="N122" s="14" t="s">
        <v>60</v>
      </c>
      <c r="O122" s="14" t="s">
        <v>172</v>
      </c>
      <c r="P122" s="14" t="s">
        <v>4693</v>
      </c>
      <c r="Q122" s="14" t="s">
        <v>5</v>
      </c>
      <c r="R122" s="3" t="s">
        <v>4170</v>
      </c>
      <c r="S122" s="3">
        <f t="shared" si="4"/>
        <v>550</v>
      </c>
      <c r="T122" s="3">
        <f t="shared" si="5"/>
        <v>17050</v>
      </c>
      <c r="U122" s="3" t="s">
        <v>60</v>
      </c>
      <c r="V122" s="14" t="s">
        <v>6</v>
      </c>
      <c r="W122" s="14" t="s">
        <v>173</v>
      </c>
      <c r="X122" s="14" t="s">
        <v>60</v>
      </c>
    </row>
    <row r="123" spans="1:24" ht="15" x14ac:dyDescent="0.3">
      <c r="A123" s="3">
        <v>40</v>
      </c>
      <c r="B123" s="3" t="s">
        <v>4694</v>
      </c>
      <c r="C123" s="14" t="s">
        <v>0</v>
      </c>
      <c r="D123" s="14" t="s">
        <v>2972</v>
      </c>
      <c r="E123" s="14" t="s">
        <v>4695</v>
      </c>
      <c r="F123" s="14" t="s">
        <v>2</v>
      </c>
      <c r="G123" s="14" t="s">
        <v>3</v>
      </c>
      <c r="H123" s="14" t="s">
        <v>4696</v>
      </c>
      <c r="I123" s="14" t="s">
        <v>2973</v>
      </c>
      <c r="J123" s="14" t="s">
        <v>60</v>
      </c>
      <c r="K123" s="14" t="s">
        <v>60</v>
      </c>
      <c r="L123" s="14" t="s">
        <v>60</v>
      </c>
      <c r="M123" s="14" t="s">
        <v>2974</v>
      </c>
      <c r="N123" s="14" t="s">
        <v>60</v>
      </c>
      <c r="O123" s="14" t="s">
        <v>487</v>
      </c>
      <c r="P123" s="14" t="s">
        <v>4697</v>
      </c>
      <c r="Q123" s="14" t="s">
        <v>11</v>
      </c>
      <c r="R123" s="3" t="s">
        <v>4170</v>
      </c>
      <c r="S123" s="3">
        <f t="shared" si="4"/>
        <v>550</v>
      </c>
      <c r="T123" s="3">
        <f t="shared" si="5"/>
        <v>17050</v>
      </c>
      <c r="U123" s="3" t="s">
        <v>4698</v>
      </c>
      <c r="V123" s="14" t="s">
        <v>6</v>
      </c>
      <c r="W123" s="14" t="s">
        <v>4274</v>
      </c>
      <c r="X123" s="14" t="s">
        <v>60</v>
      </c>
    </row>
    <row r="124" spans="1:24" ht="15" x14ac:dyDescent="0.3">
      <c r="A124" s="3">
        <v>41</v>
      </c>
      <c r="B124" s="3" t="s">
        <v>4699</v>
      </c>
      <c r="C124" s="14" t="s">
        <v>0</v>
      </c>
      <c r="D124" s="14" t="s">
        <v>2975</v>
      </c>
      <c r="E124" s="14" t="s">
        <v>4700</v>
      </c>
      <c r="F124" s="14" t="s">
        <v>168</v>
      </c>
      <c r="G124" s="14" t="s">
        <v>3</v>
      </c>
      <c r="H124" s="14" t="s">
        <v>4701</v>
      </c>
      <c r="I124" s="14" t="s">
        <v>2976</v>
      </c>
      <c r="J124" s="14" t="s">
        <v>60</v>
      </c>
      <c r="K124" s="14" t="s">
        <v>60</v>
      </c>
      <c r="L124" s="14" t="s">
        <v>60</v>
      </c>
      <c r="M124" s="14" t="s">
        <v>2977</v>
      </c>
      <c r="N124" s="14" t="s">
        <v>60</v>
      </c>
      <c r="O124" s="14" t="s">
        <v>169</v>
      </c>
      <c r="P124" s="14" t="s">
        <v>4702</v>
      </c>
      <c r="Q124" s="14" t="s">
        <v>170</v>
      </c>
      <c r="R124" s="3" t="s">
        <v>4170</v>
      </c>
      <c r="S124" s="3">
        <f t="shared" si="4"/>
        <v>550</v>
      </c>
      <c r="T124" s="3">
        <f t="shared" si="5"/>
        <v>17050</v>
      </c>
      <c r="U124" s="3" t="s">
        <v>60</v>
      </c>
      <c r="V124" s="14" t="s">
        <v>6</v>
      </c>
      <c r="W124" s="14" t="s">
        <v>4327</v>
      </c>
      <c r="X124" s="14" t="s">
        <v>60</v>
      </c>
    </row>
    <row r="125" spans="1:24" ht="15" x14ac:dyDescent="0.3">
      <c r="A125" s="3">
        <v>42</v>
      </c>
      <c r="B125" s="3" t="s">
        <v>4703</v>
      </c>
      <c r="C125" s="14" t="s">
        <v>0</v>
      </c>
      <c r="D125" s="14" t="s">
        <v>2978</v>
      </c>
      <c r="E125" s="14" t="s">
        <v>2979</v>
      </c>
      <c r="F125" s="14" t="s">
        <v>2980</v>
      </c>
      <c r="G125" s="14" t="s">
        <v>3</v>
      </c>
      <c r="H125" s="14" t="s">
        <v>2981</v>
      </c>
      <c r="I125" s="14" t="s">
        <v>4704</v>
      </c>
      <c r="J125" s="14" t="s">
        <v>60</v>
      </c>
      <c r="K125" s="14" t="s">
        <v>60</v>
      </c>
      <c r="L125" s="14" t="s">
        <v>60</v>
      </c>
      <c r="M125" s="14" t="s">
        <v>2982</v>
      </c>
      <c r="N125" s="14" t="s">
        <v>60</v>
      </c>
      <c r="O125" s="14" t="s">
        <v>4226</v>
      </c>
      <c r="P125" s="14" t="s">
        <v>4705</v>
      </c>
      <c r="Q125" s="14" t="s">
        <v>5</v>
      </c>
      <c r="R125" s="3" t="s">
        <v>4170</v>
      </c>
      <c r="S125" s="3">
        <f t="shared" si="4"/>
        <v>550</v>
      </c>
      <c r="T125" s="3">
        <f t="shared" si="5"/>
        <v>17050</v>
      </c>
      <c r="U125" s="3" t="s">
        <v>60</v>
      </c>
      <c r="V125" s="14" t="s">
        <v>6</v>
      </c>
      <c r="W125" s="14" t="s">
        <v>20</v>
      </c>
      <c r="X125" s="14" t="s">
        <v>60</v>
      </c>
    </row>
    <row r="126" spans="1:24" ht="15" x14ac:dyDescent="0.3">
      <c r="A126" s="3">
        <v>43</v>
      </c>
      <c r="B126" s="3" t="s">
        <v>4706</v>
      </c>
      <c r="C126" s="14" t="s">
        <v>0</v>
      </c>
      <c r="D126" s="14" t="s">
        <v>2983</v>
      </c>
      <c r="E126" s="14" t="s">
        <v>4707</v>
      </c>
      <c r="F126" s="14" t="s">
        <v>2984</v>
      </c>
      <c r="G126" s="14" t="s">
        <v>3</v>
      </c>
      <c r="H126" s="14" t="s">
        <v>4708</v>
      </c>
      <c r="I126" s="14" t="s">
        <v>4709</v>
      </c>
      <c r="J126" s="14" t="s">
        <v>60</v>
      </c>
      <c r="K126" s="14" t="s">
        <v>60</v>
      </c>
      <c r="L126" s="14" t="s">
        <v>60</v>
      </c>
      <c r="M126" s="14" t="s">
        <v>2985</v>
      </c>
      <c r="N126" s="14" t="s">
        <v>60</v>
      </c>
      <c r="O126" s="14" t="s">
        <v>60</v>
      </c>
      <c r="P126" s="14" t="s">
        <v>4710</v>
      </c>
      <c r="Q126" s="14" t="s">
        <v>5</v>
      </c>
      <c r="R126" s="3" t="s">
        <v>4170</v>
      </c>
      <c r="S126" s="3">
        <f t="shared" si="4"/>
        <v>550</v>
      </c>
      <c r="T126" s="3">
        <f t="shared" si="5"/>
        <v>17050</v>
      </c>
      <c r="U126" s="3" t="s">
        <v>60</v>
      </c>
      <c r="V126" s="14" t="s">
        <v>6</v>
      </c>
      <c r="W126" s="14" t="s">
        <v>20</v>
      </c>
      <c r="X126" s="14" t="s">
        <v>60</v>
      </c>
    </row>
    <row r="127" spans="1:24" ht="15" x14ac:dyDescent="0.3">
      <c r="A127" s="3">
        <v>44</v>
      </c>
      <c r="B127" s="3" t="s">
        <v>4711</v>
      </c>
      <c r="C127" s="14" t="s">
        <v>0</v>
      </c>
      <c r="D127" s="14" t="s">
        <v>2986</v>
      </c>
      <c r="E127" s="14" t="s">
        <v>2987</v>
      </c>
      <c r="F127" s="14" t="s">
        <v>2988</v>
      </c>
      <c r="G127" s="14" t="s">
        <v>3</v>
      </c>
      <c r="H127" s="14" t="s">
        <v>2989</v>
      </c>
      <c r="I127" s="14" t="s">
        <v>4712</v>
      </c>
      <c r="J127" s="14" t="s">
        <v>60</v>
      </c>
      <c r="K127" s="14" t="s">
        <v>60</v>
      </c>
      <c r="L127" s="14" t="s">
        <v>60</v>
      </c>
      <c r="M127" s="14" t="s">
        <v>2990</v>
      </c>
      <c r="N127" s="14" t="s">
        <v>60</v>
      </c>
      <c r="O127" s="14" t="s">
        <v>4226</v>
      </c>
      <c r="P127" s="14" t="s">
        <v>4713</v>
      </c>
      <c r="Q127" s="14" t="s">
        <v>5</v>
      </c>
      <c r="R127" s="3" t="s">
        <v>4170</v>
      </c>
      <c r="S127" s="3">
        <f t="shared" si="4"/>
        <v>550</v>
      </c>
      <c r="T127" s="3">
        <f t="shared" si="5"/>
        <v>17050</v>
      </c>
      <c r="U127" s="3" t="s">
        <v>60</v>
      </c>
      <c r="V127" s="14" t="s">
        <v>6</v>
      </c>
      <c r="W127" s="14" t="s">
        <v>20</v>
      </c>
      <c r="X127" s="14" t="s">
        <v>60</v>
      </c>
    </row>
    <row r="128" spans="1:24" ht="15" x14ac:dyDescent="0.3">
      <c r="A128" s="3">
        <v>45</v>
      </c>
      <c r="B128" s="3" t="s">
        <v>4714</v>
      </c>
      <c r="C128" s="14" t="s">
        <v>0</v>
      </c>
      <c r="D128" s="14" t="s">
        <v>2991</v>
      </c>
      <c r="E128" s="14" t="s">
        <v>4715</v>
      </c>
      <c r="F128" s="14" t="s">
        <v>2992</v>
      </c>
      <c r="G128" s="14" t="s">
        <v>3</v>
      </c>
      <c r="H128" s="14" t="s">
        <v>4716</v>
      </c>
      <c r="I128" s="14" t="s">
        <v>4717</v>
      </c>
      <c r="J128" s="14" t="s">
        <v>60</v>
      </c>
      <c r="K128" s="14" t="s">
        <v>60</v>
      </c>
      <c r="L128" s="14" t="s">
        <v>60</v>
      </c>
      <c r="M128" s="14" t="s">
        <v>2993</v>
      </c>
      <c r="N128" s="14" t="s">
        <v>60</v>
      </c>
      <c r="O128" s="14" t="s">
        <v>60</v>
      </c>
      <c r="P128" s="14" t="s">
        <v>4718</v>
      </c>
      <c r="Q128" s="14" t="s">
        <v>11</v>
      </c>
      <c r="R128" s="3" t="s">
        <v>4170</v>
      </c>
      <c r="S128" s="3">
        <f t="shared" si="4"/>
        <v>550</v>
      </c>
      <c r="T128" s="3">
        <f t="shared" si="5"/>
        <v>17050</v>
      </c>
      <c r="U128" s="3" t="s">
        <v>60</v>
      </c>
      <c r="V128" s="14" t="s">
        <v>6</v>
      </c>
      <c r="W128" s="14" t="s">
        <v>20</v>
      </c>
      <c r="X128" s="14" t="s">
        <v>60</v>
      </c>
    </row>
    <row r="129" spans="1:24" ht="15" x14ac:dyDescent="0.3">
      <c r="A129" s="3">
        <v>46</v>
      </c>
      <c r="B129" s="3" t="s">
        <v>4719</v>
      </c>
      <c r="C129" s="14" t="s">
        <v>0</v>
      </c>
      <c r="D129" s="14" t="s">
        <v>2994</v>
      </c>
      <c r="E129" s="14" t="s">
        <v>4205</v>
      </c>
      <c r="F129" s="14" t="s">
        <v>2995</v>
      </c>
      <c r="G129" s="14" t="s">
        <v>3</v>
      </c>
      <c r="H129" s="14" t="s">
        <v>4720</v>
      </c>
      <c r="I129" s="14" t="s">
        <v>4721</v>
      </c>
      <c r="J129" s="14" t="s">
        <v>60</v>
      </c>
      <c r="K129" s="14" t="s">
        <v>60</v>
      </c>
      <c r="L129" s="14" t="s">
        <v>60</v>
      </c>
      <c r="M129" s="14" t="s">
        <v>2996</v>
      </c>
      <c r="N129" s="14" t="s">
        <v>60</v>
      </c>
      <c r="O129" s="14" t="s">
        <v>60</v>
      </c>
      <c r="P129" s="14" t="s">
        <v>4722</v>
      </c>
      <c r="Q129" s="14" t="s">
        <v>5</v>
      </c>
      <c r="R129" s="3" t="s">
        <v>4170</v>
      </c>
      <c r="S129" s="3">
        <f t="shared" si="4"/>
        <v>550</v>
      </c>
      <c r="T129" s="3">
        <f t="shared" si="5"/>
        <v>17050</v>
      </c>
      <c r="U129" s="3" t="s">
        <v>60</v>
      </c>
      <c r="V129" s="14" t="s">
        <v>6</v>
      </c>
      <c r="W129" s="14" t="s">
        <v>20</v>
      </c>
      <c r="X129" s="14" t="s">
        <v>60</v>
      </c>
    </row>
    <row r="130" spans="1:24" ht="15" x14ac:dyDescent="0.3">
      <c r="A130" s="3">
        <v>47</v>
      </c>
      <c r="B130" s="3" t="s">
        <v>4723</v>
      </c>
      <c r="C130" s="14" t="s">
        <v>0</v>
      </c>
      <c r="D130" s="14" t="s">
        <v>2997</v>
      </c>
      <c r="E130" s="14" t="s">
        <v>2998</v>
      </c>
      <c r="F130" s="14" t="s">
        <v>2999</v>
      </c>
      <c r="G130" s="14" t="s">
        <v>3</v>
      </c>
      <c r="H130" s="14" t="s">
        <v>4724</v>
      </c>
      <c r="I130" s="14" t="s">
        <v>4725</v>
      </c>
      <c r="J130" s="14" t="s">
        <v>60</v>
      </c>
      <c r="K130" s="14" t="s">
        <v>60</v>
      </c>
      <c r="L130" s="14" t="s">
        <v>60</v>
      </c>
      <c r="M130" s="14" t="s">
        <v>3000</v>
      </c>
      <c r="N130" s="14" t="s">
        <v>60</v>
      </c>
      <c r="O130" s="14" t="s">
        <v>60</v>
      </c>
      <c r="P130" s="14" t="s">
        <v>4726</v>
      </c>
      <c r="Q130" s="14" t="s">
        <v>5</v>
      </c>
      <c r="R130" s="3" t="s">
        <v>4170</v>
      </c>
      <c r="S130" s="3">
        <f t="shared" si="4"/>
        <v>550</v>
      </c>
      <c r="T130" s="3">
        <f t="shared" si="5"/>
        <v>17050</v>
      </c>
      <c r="U130" s="3" t="s">
        <v>60</v>
      </c>
      <c r="V130" s="14" t="s">
        <v>6</v>
      </c>
      <c r="W130" s="14" t="s">
        <v>20</v>
      </c>
      <c r="X130" s="14" t="s">
        <v>60</v>
      </c>
    </row>
    <row r="131" spans="1:24" ht="15" x14ac:dyDescent="0.3">
      <c r="A131" s="3">
        <v>48</v>
      </c>
      <c r="B131" s="3" t="s">
        <v>4727</v>
      </c>
      <c r="C131" s="14" t="s">
        <v>0</v>
      </c>
      <c r="D131" s="14" t="s">
        <v>3001</v>
      </c>
      <c r="E131" s="14" t="s">
        <v>4728</v>
      </c>
      <c r="F131" s="14" t="s">
        <v>3002</v>
      </c>
      <c r="G131" s="14" t="s">
        <v>3</v>
      </c>
      <c r="H131" s="14" t="s">
        <v>4729</v>
      </c>
      <c r="I131" s="14" t="s">
        <v>3003</v>
      </c>
      <c r="J131" s="14" t="s">
        <v>60</v>
      </c>
      <c r="K131" s="14" t="s">
        <v>60</v>
      </c>
      <c r="L131" s="14" t="s">
        <v>60</v>
      </c>
      <c r="M131" s="14" t="s">
        <v>3004</v>
      </c>
      <c r="N131" s="14" t="s">
        <v>60</v>
      </c>
      <c r="O131" s="14" t="s">
        <v>60</v>
      </c>
      <c r="P131" s="14" t="s">
        <v>4730</v>
      </c>
      <c r="Q131" s="14" t="s">
        <v>3005</v>
      </c>
      <c r="R131" s="3" t="s">
        <v>4170</v>
      </c>
      <c r="S131" s="3">
        <f t="shared" si="4"/>
        <v>550</v>
      </c>
      <c r="T131" s="3">
        <f t="shared" si="5"/>
        <v>17050</v>
      </c>
      <c r="U131" s="3" t="s">
        <v>60</v>
      </c>
      <c r="V131" s="14" t="s">
        <v>6</v>
      </c>
      <c r="W131" s="14" t="s">
        <v>4731</v>
      </c>
      <c r="X131" s="14" t="s">
        <v>60</v>
      </c>
    </row>
    <row r="132" spans="1:24" ht="15" x14ac:dyDescent="0.3">
      <c r="A132" s="3">
        <v>49</v>
      </c>
      <c r="B132" s="3" t="s">
        <v>4732</v>
      </c>
      <c r="C132" s="14" t="s">
        <v>0</v>
      </c>
      <c r="D132" s="14" t="s">
        <v>3006</v>
      </c>
      <c r="E132" s="14" t="s">
        <v>3007</v>
      </c>
      <c r="F132" s="14" t="s">
        <v>3008</v>
      </c>
      <c r="G132" s="14" t="s">
        <v>121</v>
      </c>
      <c r="H132" s="14" t="s">
        <v>4733</v>
      </c>
      <c r="I132" s="14" t="s">
        <v>4734</v>
      </c>
      <c r="J132" s="14" t="s">
        <v>60</v>
      </c>
      <c r="K132" s="14" t="s">
        <v>60</v>
      </c>
      <c r="L132" s="14" t="s">
        <v>60</v>
      </c>
      <c r="M132" s="14" t="s">
        <v>60</v>
      </c>
      <c r="N132" s="14" t="s">
        <v>60</v>
      </c>
      <c r="O132" s="14" t="s">
        <v>4</v>
      </c>
      <c r="P132" s="14" t="s">
        <v>4735</v>
      </c>
      <c r="Q132" s="14" t="s">
        <v>32</v>
      </c>
      <c r="R132" s="3" t="s">
        <v>4736</v>
      </c>
      <c r="S132" s="3">
        <f t="shared" si="4"/>
        <v>550</v>
      </c>
      <c r="T132" s="3">
        <f t="shared" si="5"/>
        <v>11000</v>
      </c>
      <c r="U132" s="3" t="s">
        <v>60</v>
      </c>
      <c r="V132" s="14" t="s">
        <v>6</v>
      </c>
      <c r="W132" s="14" t="s">
        <v>7</v>
      </c>
      <c r="X132" s="14" t="s">
        <v>60</v>
      </c>
    </row>
    <row r="133" spans="1:24" ht="15" x14ac:dyDescent="0.3">
      <c r="A133" s="3">
        <v>50</v>
      </c>
      <c r="B133" s="3" t="s">
        <v>4737</v>
      </c>
      <c r="C133" s="14" t="s">
        <v>0</v>
      </c>
      <c r="D133" s="14" t="s">
        <v>3009</v>
      </c>
      <c r="E133" s="14" t="s">
        <v>4644</v>
      </c>
      <c r="F133" s="14" t="s">
        <v>3010</v>
      </c>
      <c r="G133" s="14" t="s">
        <v>3</v>
      </c>
      <c r="H133" s="14" t="s">
        <v>4738</v>
      </c>
      <c r="I133" s="14" t="s">
        <v>4739</v>
      </c>
      <c r="J133" s="14" t="s">
        <v>60</v>
      </c>
      <c r="K133" s="14" t="s">
        <v>60</v>
      </c>
      <c r="L133" s="14" t="s">
        <v>60</v>
      </c>
      <c r="M133" s="14" t="s">
        <v>60</v>
      </c>
      <c r="N133" s="14" t="s">
        <v>60</v>
      </c>
      <c r="O133" s="14" t="s">
        <v>4</v>
      </c>
      <c r="P133" s="14" t="s">
        <v>4740</v>
      </c>
      <c r="Q133" s="14" t="s">
        <v>11</v>
      </c>
      <c r="R133" s="3" t="s">
        <v>4170</v>
      </c>
      <c r="S133" s="3">
        <f t="shared" si="4"/>
        <v>550</v>
      </c>
      <c r="T133" s="3">
        <f t="shared" si="5"/>
        <v>17050</v>
      </c>
      <c r="U133" s="3" t="s">
        <v>60</v>
      </c>
      <c r="V133" s="14" t="s">
        <v>6</v>
      </c>
      <c r="W133" s="14" t="s">
        <v>7</v>
      </c>
      <c r="X133" s="14" t="s">
        <v>60</v>
      </c>
    </row>
    <row r="134" spans="1:24" ht="15" x14ac:dyDescent="0.3">
      <c r="A134" s="3">
        <v>51</v>
      </c>
      <c r="B134" s="3" t="s">
        <v>4741</v>
      </c>
      <c r="C134" s="14" t="s">
        <v>0</v>
      </c>
      <c r="D134" s="14" t="s">
        <v>3011</v>
      </c>
      <c r="E134" s="14" t="s">
        <v>4742</v>
      </c>
      <c r="F134" s="14" t="s">
        <v>3012</v>
      </c>
      <c r="G134" s="14" t="s">
        <v>3</v>
      </c>
      <c r="H134" s="14" t="s">
        <v>4743</v>
      </c>
      <c r="I134" s="14" t="s">
        <v>3013</v>
      </c>
      <c r="J134" s="14" t="s">
        <v>60</v>
      </c>
      <c r="K134" s="14" t="s">
        <v>60</v>
      </c>
      <c r="L134" s="14" t="s">
        <v>60</v>
      </c>
      <c r="M134" s="14" t="s">
        <v>60</v>
      </c>
      <c r="N134" s="14" t="s">
        <v>60</v>
      </c>
      <c r="O134" s="14" t="s">
        <v>4</v>
      </c>
      <c r="P134" s="14" t="s">
        <v>4744</v>
      </c>
      <c r="Q134" s="14" t="s">
        <v>2266</v>
      </c>
      <c r="R134" s="3" t="s">
        <v>4170</v>
      </c>
      <c r="S134" s="3">
        <f t="shared" si="4"/>
        <v>550</v>
      </c>
      <c r="T134" s="3">
        <f t="shared" si="5"/>
        <v>17050</v>
      </c>
      <c r="U134" s="3" t="s">
        <v>60</v>
      </c>
      <c r="V134" s="14" t="s">
        <v>6</v>
      </c>
      <c r="W134" s="14" t="s">
        <v>7</v>
      </c>
      <c r="X134" s="14" t="s">
        <v>60</v>
      </c>
    </row>
    <row r="135" spans="1:24" ht="15" x14ac:dyDescent="0.3">
      <c r="A135" s="3">
        <v>52</v>
      </c>
      <c r="B135" s="3" t="s">
        <v>4745</v>
      </c>
      <c r="C135" s="14" t="s">
        <v>0</v>
      </c>
      <c r="D135" s="14" t="s">
        <v>3014</v>
      </c>
      <c r="E135" s="14" t="s">
        <v>4746</v>
      </c>
      <c r="F135" s="14" t="s">
        <v>3015</v>
      </c>
      <c r="G135" s="14" t="s">
        <v>121</v>
      </c>
      <c r="H135" s="14" t="s">
        <v>4747</v>
      </c>
      <c r="I135" s="14" t="s">
        <v>3016</v>
      </c>
      <c r="J135" s="14" t="s">
        <v>60</v>
      </c>
      <c r="K135" s="14" t="s">
        <v>60</v>
      </c>
      <c r="L135" s="14" t="s">
        <v>60</v>
      </c>
      <c r="M135" s="14" t="s">
        <v>60</v>
      </c>
      <c r="N135" s="14" t="s">
        <v>60</v>
      </c>
      <c r="O135" s="14" t="s">
        <v>4</v>
      </c>
      <c r="P135" s="14" t="s">
        <v>4748</v>
      </c>
      <c r="Q135" s="14" t="s">
        <v>32</v>
      </c>
      <c r="R135" s="3" t="s">
        <v>4170</v>
      </c>
      <c r="S135" s="3">
        <f t="shared" si="4"/>
        <v>550</v>
      </c>
      <c r="T135" s="3">
        <f t="shared" si="5"/>
        <v>17050</v>
      </c>
      <c r="U135" s="3" t="s">
        <v>60</v>
      </c>
      <c r="V135" s="14" t="s">
        <v>6</v>
      </c>
      <c r="W135" s="14" t="s">
        <v>7</v>
      </c>
      <c r="X135" s="14" t="s">
        <v>60</v>
      </c>
    </row>
    <row r="136" spans="1:24" ht="15" x14ac:dyDescent="0.3">
      <c r="A136" s="3">
        <v>53</v>
      </c>
      <c r="B136" s="3" t="s">
        <v>4749</v>
      </c>
      <c r="C136" s="14" t="s">
        <v>0</v>
      </c>
      <c r="D136" s="14" t="s">
        <v>3017</v>
      </c>
      <c r="E136" s="14" t="s">
        <v>4750</v>
      </c>
      <c r="F136" s="14" t="s">
        <v>3018</v>
      </c>
      <c r="G136" s="14" t="s">
        <v>3</v>
      </c>
      <c r="H136" s="14" t="s">
        <v>4751</v>
      </c>
      <c r="I136" s="14" t="s">
        <v>3019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4</v>
      </c>
      <c r="P136" s="14" t="s">
        <v>4752</v>
      </c>
      <c r="Q136" s="14" t="s">
        <v>32</v>
      </c>
      <c r="R136" s="3" t="s">
        <v>4170</v>
      </c>
      <c r="S136" s="3">
        <f t="shared" si="4"/>
        <v>550</v>
      </c>
      <c r="T136" s="3">
        <f t="shared" si="5"/>
        <v>17050</v>
      </c>
      <c r="U136" s="3" t="s">
        <v>60</v>
      </c>
      <c r="V136" s="14" t="s">
        <v>6</v>
      </c>
      <c r="W136" s="14" t="s">
        <v>7</v>
      </c>
      <c r="X136" s="14" t="s">
        <v>60</v>
      </c>
    </row>
    <row r="137" spans="1:24" ht="15" x14ac:dyDescent="0.3">
      <c r="A137" s="3">
        <v>54</v>
      </c>
      <c r="B137" s="3" t="s">
        <v>4753</v>
      </c>
      <c r="C137" s="14" t="s">
        <v>0</v>
      </c>
      <c r="D137" s="14" t="s">
        <v>3020</v>
      </c>
      <c r="E137" s="14" t="s">
        <v>4754</v>
      </c>
      <c r="F137" s="14" t="s">
        <v>3021</v>
      </c>
      <c r="G137" s="14" t="s">
        <v>3</v>
      </c>
      <c r="H137" s="14" t="s">
        <v>4755</v>
      </c>
      <c r="I137" s="14" t="s">
        <v>3022</v>
      </c>
      <c r="J137" s="14" t="s">
        <v>60</v>
      </c>
      <c r="K137" s="14" t="s">
        <v>60</v>
      </c>
      <c r="L137" s="14" t="s">
        <v>60</v>
      </c>
      <c r="M137" s="14" t="s">
        <v>60</v>
      </c>
      <c r="N137" s="14" t="s">
        <v>60</v>
      </c>
      <c r="O137" s="14" t="s">
        <v>4</v>
      </c>
      <c r="P137" s="14" t="s">
        <v>4756</v>
      </c>
      <c r="Q137" s="14" t="s">
        <v>32</v>
      </c>
      <c r="R137" s="3" t="s">
        <v>4170</v>
      </c>
      <c r="S137" s="3">
        <f t="shared" si="4"/>
        <v>550</v>
      </c>
      <c r="T137" s="3">
        <f t="shared" si="5"/>
        <v>17050</v>
      </c>
      <c r="U137" s="3" t="s">
        <v>60</v>
      </c>
      <c r="V137" s="14" t="s">
        <v>6</v>
      </c>
      <c r="W137" s="14" t="s">
        <v>7</v>
      </c>
      <c r="X137" s="14" t="s">
        <v>60</v>
      </c>
    </row>
    <row r="138" spans="1:24" ht="15" x14ac:dyDescent="0.3">
      <c r="A138" s="3">
        <v>55</v>
      </c>
      <c r="B138" s="3" t="s">
        <v>4757</v>
      </c>
      <c r="C138" s="14" t="s">
        <v>0</v>
      </c>
      <c r="D138" s="14" t="s">
        <v>3023</v>
      </c>
      <c r="E138" s="14" t="s">
        <v>4758</v>
      </c>
      <c r="F138" s="14" t="s">
        <v>3024</v>
      </c>
      <c r="G138" s="14" t="s">
        <v>3</v>
      </c>
      <c r="H138" s="14" t="s">
        <v>4759</v>
      </c>
      <c r="I138" s="14" t="s">
        <v>3025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4</v>
      </c>
      <c r="P138" s="14" t="s">
        <v>4760</v>
      </c>
      <c r="Q138" s="14" t="s">
        <v>2151</v>
      </c>
      <c r="R138" s="3" t="s">
        <v>4170</v>
      </c>
      <c r="S138" s="3">
        <f t="shared" si="4"/>
        <v>550</v>
      </c>
      <c r="T138" s="3">
        <f t="shared" si="5"/>
        <v>17050</v>
      </c>
      <c r="U138" s="3" t="s">
        <v>60</v>
      </c>
      <c r="V138" s="14" t="s">
        <v>6</v>
      </c>
      <c r="W138" s="14" t="s">
        <v>7</v>
      </c>
      <c r="X138" s="14" t="s">
        <v>60</v>
      </c>
    </row>
    <row r="139" spans="1:24" ht="15" x14ac:dyDescent="0.3">
      <c r="A139" s="3">
        <v>56</v>
      </c>
      <c r="B139" s="3" t="s">
        <v>4761</v>
      </c>
      <c r="C139" s="14" t="s">
        <v>0</v>
      </c>
      <c r="D139" s="14" t="s">
        <v>3026</v>
      </c>
      <c r="E139" s="14" t="s">
        <v>4762</v>
      </c>
      <c r="F139" s="14" t="s">
        <v>3027</v>
      </c>
      <c r="G139" s="14" t="s">
        <v>3</v>
      </c>
      <c r="H139" s="14" t="s">
        <v>4763</v>
      </c>
      <c r="I139" s="14" t="s">
        <v>3028</v>
      </c>
      <c r="J139" s="14" t="s">
        <v>60</v>
      </c>
      <c r="K139" s="14" t="s">
        <v>60</v>
      </c>
      <c r="L139" s="14" t="s">
        <v>60</v>
      </c>
      <c r="M139" s="14" t="s">
        <v>60</v>
      </c>
      <c r="N139" s="14" t="s">
        <v>60</v>
      </c>
      <c r="O139" s="14" t="s">
        <v>4</v>
      </c>
      <c r="P139" s="14" t="s">
        <v>4764</v>
      </c>
      <c r="Q139" s="14" t="s">
        <v>32</v>
      </c>
      <c r="R139" s="3" t="s">
        <v>4170</v>
      </c>
      <c r="S139" s="3">
        <f t="shared" si="4"/>
        <v>550</v>
      </c>
      <c r="T139" s="3">
        <f t="shared" si="5"/>
        <v>17050</v>
      </c>
      <c r="U139" s="3" t="s">
        <v>60</v>
      </c>
      <c r="V139" s="14" t="s">
        <v>6</v>
      </c>
      <c r="W139" s="14" t="s">
        <v>7</v>
      </c>
      <c r="X139" s="14" t="s">
        <v>60</v>
      </c>
    </row>
    <row r="140" spans="1:24" ht="15" x14ac:dyDescent="0.3">
      <c r="A140" s="3">
        <v>57</v>
      </c>
      <c r="B140" s="3" t="s">
        <v>4765</v>
      </c>
      <c r="C140" s="14" t="s">
        <v>0</v>
      </c>
      <c r="D140" s="14" t="s">
        <v>3029</v>
      </c>
      <c r="E140" s="14" t="s">
        <v>4766</v>
      </c>
      <c r="F140" s="14" t="s">
        <v>3030</v>
      </c>
      <c r="G140" s="14" t="s">
        <v>121</v>
      </c>
      <c r="H140" s="14" t="s">
        <v>4767</v>
      </c>
      <c r="I140" s="14" t="s">
        <v>3031</v>
      </c>
      <c r="J140" s="14" t="s">
        <v>60</v>
      </c>
      <c r="K140" s="14" t="s">
        <v>60</v>
      </c>
      <c r="L140" s="14" t="s">
        <v>60</v>
      </c>
      <c r="M140" s="14" t="s">
        <v>60</v>
      </c>
      <c r="N140" s="14" t="s">
        <v>60</v>
      </c>
      <c r="O140" s="14" t="s">
        <v>4</v>
      </c>
      <c r="P140" s="14" t="s">
        <v>4768</v>
      </c>
      <c r="Q140" s="14" t="s">
        <v>11</v>
      </c>
      <c r="R140" s="3" t="s">
        <v>4300</v>
      </c>
      <c r="S140" s="3">
        <f t="shared" si="4"/>
        <v>550</v>
      </c>
      <c r="T140" s="3">
        <f t="shared" si="5"/>
        <v>15950</v>
      </c>
      <c r="U140" s="3" t="s">
        <v>60</v>
      </c>
      <c r="V140" s="14" t="s">
        <v>6</v>
      </c>
      <c r="W140" s="14" t="s">
        <v>7</v>
      </c>
      <c r="X140" s="14" t="s">
        <v>60</v>
      </c>
    </row>
    <row r="141" spans="1:24" ht="15" x14ac:dyDescent="0.3">
      <c r="A141" s="3">
        <v>58</v>
      </c>
      <c r="B141" s="3" t="s">
        <v>4769</v>
      </c>
      <c r="C141" s="14" t="s">
        <v>0</v>
      </c>
      <c r="D141" s="14" t="s">
        <v>3032</v>
      </c>
      <c r="E141" s="14" t="s">
        <v>4770</v>
      </c>
      <c r="F141" s="14" t="s">
        <v>3033</v>
      </c>
      <c r="G141" s="14" t="s">
        <v>121</v>
      </c>
      <c r="H141" s="14" t="s">
        <v>4771</v>
      </c>
      <c r="I141" s="14" t="s">
        <v>3034</v>
      </c>
      <c r="J141" s="14" t="s">
        <v>60</v>
      </c>
      <c r="K141" s="14" t="s">
        <v>60</v>
      </c>
      <c r="L141" s="14" t="s">
        <v>60</v>
      </c>
      <c r="M141" s="14" t="s">
        <v>60</v>
      </c>
      <c r="N141" s="14" t="s">
        <v>60</v>
      </c>
      <c r="O141" s="14" t="s">
        <v>4</v>
      </c>
      <c r="P141" s="14" t="s">
        <v>4772</v>
      </c>
      <c r="Q141" s="14" t="s">
        <v>11</v>
      </c>
      <c r="R141" s="3" t="s">
        <v>4170</v>
      </c>
      <c r="S141" s="3">
        <f t="shared" si="4"/>
        <v>550</v>
      </c>
      <c r="T141" s="3">
        <f t="shared" si="5"/>
        <v>17050</v>
      </c>
      <c r="U141" s="3" t="s">
        <v>60</v>
      </c>
      <c r="V141" s="14" t="s">
        <v>6</v>
      </c>
      <c r="W141" s="14" t="s">
        <v>7</v>
      </c>
      <c r="X141" s="14" t="s">
        <v>60</v>
      </c>
    </row>
    <row r="142" spans="1:24" ht="15" x14ac:dyDescent="0.3">
      <c r="A142" s="3">
        <v>59</v>
      </c>
      <c r="B142" s="3" t="s">
        <v>4773</v>
      </c>
      <c r="C142" s="14" t="s">
        <v>14</v>
      </c>
      <c r="D142" s="14" t="s">
        <v>3035</v>
      </c>
      <c r="E142" s="14" t="s">
        <v>4774</v>
      </c>
      <c r="F142" s="14" t="s">
        <v>3036</v>
      </c>
      <c r="G142" s="14" t="s">
        <v>3</v>
      </c>
      <c r="H142" s="14" t="s">
        <v>3037</v>
      </c>
      <c r="I142" s="14" t="s">
        <v>4775</v>
      </c>
      <c r="J142" s="14" t="s">
        <v>60</v>
      </c>
      <c r="K142" s="14" t="s">
        <v>60</v>
      </c>
      <c r="L142" s="14" t="s">
        <v>60</v>
      </c>
      <c r="M142" s="14" t="s">
        <v>60</v>
      </c>
      <c r="N142" s="14" t="s">
        <v>60</v>
      </c>
      <c r="O142" s="14" t="s">
        <v>4</v>
      </c>
      <c r="P142" s="14" t="s">
        <v>4776</v>
      </c>
      <c r="Q142" s="14" t="s">
        <v>2151</v>
      </c>
      <c r="R142" s="3" t="s">
        <v>4170</v>
      </c>
      <c r="S142" s="3">
        <f t="shared" si="4"/>
        <v>640</v>
      </c>
      <c r="T142" s="3">
        <f t="shared" si="5"/>
        <v>19840</v>
      </c>
      <c r="U142" s="3" t="s">
        <v>60</v>
      </c>
      <c r="V142" s="14" t="s">
        <v>6</v>
      </c>
      <c r="W142" s="14" t="s">
        <v>7</v>
      </c>
      <c r="X142" s="14" t="s">
        <v>60</v>
      </c>
    </row>
    <row r="143" spans="1:24" ht="15" x14ac:dyDescent="0.3">
      <c r="A143" s="3">
        <v>60</v>
      </c>
      <c r="B143" s="3" t="s">
        <v>4777</v>
      </c>
      <c r="C143" s="14" t="s">
        <v>0</v>
      </c>
      <c r="D143" s="14" t="s">
        <v>3038</v>
      </c>
      <c r="E143" s="14" t="s">
        <v>4778</v>
      </c>
      <c r="F143" s="14" t="s">
        <v>3039</v>
      </c>
      <c r="G143" s="14" t="s">
        <v>3</v>
      </c>
      <c r="H143" s="14" t="s">
        <v>4779</v>
      </c>
      <c r="I143" s="14" t="s">
        <v>3040</v>
      </c>
      <c r="J143" s="14" t="s">
        <v>60</v>
      </c>
      <c r="K143" s="14" t="s">
        <v>60</v>
      </c>
      <c r="L143" s="14" t="s">
        <v>60</v>
      </c>
      <c r="M143" s="14" t="s">
        <v>3041</v>
      </c>
      <c r="N143" s="14" t="s">
        <v>60</v>
      </c>
      <c r="O143" s="14" t="s">
        <v>395</v>
      </c>
      <c r="P143" s="14" t="s">
        <v>4780</v>
      </c>
      <c r="Q143" s="14" t="s">
        <v>3042</v>
      </c>
      <c r="R143" s="3" t="s">
        <v>4241</v>
      </c>
      <c r="S143" s="3">
        <f t="shared" si="4"/>
        <v>550</v>
      </c>
      <c r="T143" s="3">
        <f t="shared" si="5"/>
        <v>10450</v>
      </c>
      <c r="U143" s="3" t="s">
        <v>4781</v>
      </c>
      <c r="V143" s="14" t="s">
        <v>6</v>
      </c>
      <c r="W143" s="14" t="s">
        <v>4782</v>
      </c>
      <c r="X143" s="14" t="s">
        <v>60</v>
      </c>
    </row>
    <row r="144" spans="1:24" ht="15" x14ac:dyDescent="0.3">
      <c r="A144" s="3">
        <v>61</v>
      </c>
      <c r="B144" s="3" t="s">
        <v>4783</v>
      </c>
      <c r="C144" s="14" t="s">
        <v>0</v>
      </c>
      <c r="D144" s="14" t="s">
        <v>905</v>
      </c>
      <c r="E144" s="14" t="s">
        <v>4644</v>
      </c>
      <c r="F144" s="14" t="s">
        <v>3043</v>
      </c>
      <c r="G144" s="14" t="s">
        <v>3</v>
      </c>
      <c r="H144" s="14" t="s">
        <v>4784</v>
      </c>
      <c r="I144" s="14" t="s">
        <v>3044</v>
      </c>
      <c r="J144" s="14" t="s">
        <v>60</v>
      </c>
      <c r="K144" s="14" t="s">
        <v>60</v>
      </c>
      <c r="L144" s="14" t="s">
        <v>60</v>
      </c>
      <c r="M144" s="14" t="s">
        <v>3045</v>
      </c>
      <c r="N144" s="14" t="s">
        <v>60</v>
      </c>
      <c r="O144" s="14" t="s">
        <v>395</v>
      </c>
      <c r="P144" s="14" t="s">
        <v>4785</v>
      </c>
      <c r="Q144" s="14" t="s">
        <v>11</v>
      </c>
      <c r="R144" s="3" t="s">
        <v>4170</v>
      </c>
      <c r="S144" s="3">
        <f t="shared" si="4"/>
        <v>550</v>
      </c>
      <c r="T144" s="3">
        <f t="shared" si="5"/>
        <v>17050</v>
      </c>
      <c r="U144" s="3" t="s">
        <v>60</v>
      </c>
      <c r="V144" s="14" t="s">
        <v>6</v>
      </c>
      <c r="W144" s="14" t="s">
        <v>4782</v>
      </c>
      <c r="X144" s="14" t="s">
        <v>60</v>
      </c>
    </row>
    <row r="145" spans="1:24" ht="15" x14ac:dyDescent="0.3">
      <c r="A145" s="3">
        <v>62</v>
      </c>
      <c r="B145" s="3" t="s">
        <v>4786</v>
      </c>
      <c r="C145" s="14" t="s">
        <v>0</v>
      </c>
      <c r="D145" s="14" t="s">
        <v>3046</v>
      </c>
      <c r="E145" s="14" t="s">
        <v>4787</v>
      </c>
      <c r="F145" s="14" t="s">
        <v>3047</v>
      </c>
      <c r="G145" s="14" t="s">
        <v>3</v>
      </c>
      <c r="H145" s="14" t="s">
        <v>4788</v>
      </c>
      <c r="I145" s="14" t="s">
        <v>3048</v>
      </c>
      <c r="J145" s="14" t="s">
        <v>60</v>
      </c>
      <c r="K145" s="14" t="s">
        <v>60</v>
      </c>
      <c r="L145" s="14" t="s">
        <v>60</v>
      </c>
      <c r="M145" s="14" t="s">
        <v>3049</v>
      </c>
      <c r="N145" s="14" t="s">
        <v>60</v>
      </c>
      <c r="O145" s="14" t="s">
        <v>395</v>
      </c>
      <c r="P145" s="14" t="s">
        <v>4789</v>
      </c>
      <c r="Q145" s="14" t="s">
        <v>11</v>
      </c>
      <c r="R145" s="3" t="s">
        <v>4790</v>
      </c>
      <c r="S145" s="3">
        <f t="shared" si="4"/>
        <v>550</v>
      </c>
      <c r="T145" s="3">
        <f t="shared" si="5"/>
        <v>9900</v>
      </c>
      <c r="U145" s="3" t="s">
        <v>60</v>
      </c>
      <c r="V145" s="14" t="s">
        <v>6</v>
      </c>
      <c r="W145" s="14" t="s">
        <v>4782</v>
      </c>
      <c r="X145" s="14" t="s">
        <v>60</v>
      </c>
    </row>
    <row r="146" spans="1:24" ht="15" x14ac:dyDescent="0.3">
      <c r="A146" s="3">
        <v>63</v>
      </c>
      <c r="B146" s="3" t="s">
        <v>4791</v>
      </c>
      <c r="C146" s="14" t="s">
        <v>0</v>
      </c>
      <c r="D146" s="14" t="s">
        <v>3050</v>
      </c>
      <c r="E146" s="14" t="s">
        <v>4792</v>
      </c>
      <c r="F146" s="14" t="s">
        <v>3051</v>
      </c>
      <c r="G146" s="14" t="s">
        <v>3</v>
      </c>
      <c r="H146" s="14" t="s">
        <v>4793</v>
      </c>
      <c r="I146" s="14" t="s">
        <v>3052</v>
      </c>
      <c r="J146" s="14" t="s">
        <v>60</v>
      </c>
      <c r="K146" s="14" t="s">
        <v>60</v>
      </c>
      <c r="L146" s="14" t="s">
        <v>60</v>
      </c>
      <c r="M146" s="14" t="s">
        <v>3053</v>
      </c>
      <c r="N146" s="14" t="s">
        <v>60</v>
      </c>
      <c r="O146" s="14" t="s">
        <v>395</v>
      </c>
      <c r="P146" s="14" t="s">
        <v>4794</v>
      </c>
      <c r="Q146" s="14" t="s">
        <v>11</v>
      </c>
      <c r="R146" s="3" t="s">
        <v>4170</v>
      </c>
      <c r="S146" s="3">
        <f t="shared" si="4"/>
        <v>550</v>
      </c>
      <c r="T146" s="3">
        <f t="shared" si="5"/>
        <v>17050</v>
      </c>
      <c r="U146" s="3" t="s">
        <v>60</v>
      </c>
      <c r="V146" s="14" t="s">
        <v>6</v>
      </c>
      <c r="W146" s="14" t="s">
        <v>4782</v>
      </c>
      <c r="X146" s="14" t="s">
        <v>60</v>
      </c>
    </row>
    <row r="147" spans="1:24" ht="15" x14ac:dyDescent="0.3">
      <c r="A147" s="3">
        <v>64</v>
      </c>
      <c r="B147" s="3" t="s">
        <v>4795</v>
      </c>
      <c r="C147" s="14" t="s">
        <v>0</v>
      </c>
      <c r="D147" s="14" t="s">
        <v>3054</v>
      </c>
      <c r="E147" s="14" t="s">
        <v>4308</v>
      </c>
      <c r="F147" s="14" t="s">
        <v>3055</v>
      </c>
      <c r="G147" s="14" t="s">
        <v>3</v>
      </c>
      <c r="H147" s="14" t="s">
        <v>4796</v>
      </c>
      <c r="I147" s="14" t="s">
        <v>3056</v>
      </c>
      <c r="J147" s="14" t="s">
        <v>60</v>
      </c>
      <c r="K147" s="14" t="s">
        <v>60</v>
      </c>
      <c r="L147" s="14" t="s">
        <v>60</v>
      </c>
      <c r="M147" s="14" t="s">
        <v>3057</v>
      </c>
      <c r="N147" s="14" t="s">
        <v>60</v>
      </c>
      <c r="O147" s="14" t="s">
        <v>395</v>
      </c>
      <c r="P147" s="14" t="s">
        <v>4797</v>
      </c>
      <c r="Q147" s="14" t="s">
        <v>11</v>
      </c>
      <c r="R147" s="3" t="s">
        <v>4170</v>
      </c>
      <c r="S147" s="3">
        <f t="shared" si="4"/>
        <v>550</v>
      </c>
      <c r="T147" s="3">
        <f t="shared" si="5"/>
        <v>17050</v>
      </c>
      <c r="U147" s="3" t="s">
        <v>60</v>
      </c>
      <c r="V147" s="14" t="s">
        <v>6</v>
      </c>
      <c r="W147" s="14" t="s">
        <v>4782</v>
      </c>
      <c r="X147" s="14" t="s">
        <v>60</v>
      </c>
    </row>
    <row r="148" spans="1:24" ht="15" x14ac:dyDescent="0.3">
      <c r="A148" s="3">
        <v>65</v>
      </c>
      <c r="B148" s="3" t="s">
        <v>4798</v>
      </c>
      <c r="C148" s="14" t="s">
        <v>0</v>
      </c>
      <c r="D148" s="14" t="s">
        <v>3058</v>
      </c>
      <c r="E148" s="14" t="s">
        <v>4216</v>
      </c>
      <c r="F148" s="14" t="s">
        <v>3059</v>
      </c>
      <c r="G148" s="14" t="s">
        <v>3</v>
      </c>
      <c r="H148" s="14" t="s">
        <v>4799</v>
      </c>
      <c r="I148" s="14" t="s">
        <v>3060</v>
      </c>
      <c r="J148" s="14" t="s">
        <v>60</v>
      </c>
      <c r="K148" s="14" t="s">
        <v>60</v>
      </c>
      <c r="L148" s="14" t="s">
        <v>60</v>
      </c>
      <c r="M148" s="14" t="s">
        <v>3061</v>
      </c>
      <c r="N148" s="14" t="s">
        <v>60</v>
      </c>
      <c r="O148" s="14" t="s">
        <v>395</v>
      </c>
      <c r="P148" s="14" t="s">
        <v>4800</v>
      </c>
      <c r="Q148" s="14" t="s">
        <v>11</v>
      </c>
      <c r="R148" s="3" t="s">
        <v>4170</v>
      </c>
      <c r="S148" s="3">
        <f t="shared" ref="S148:S167" si="6">IF(RIGHT(C148,3)="MAZ",550,IF(RIGHT(C148,4)="MATE",570,IF(RIGHT(C148,7)="SKD-III",640,IF(RIGHT(C148,6)="SKD-II",770,IF(RIGHT(C148,5)="SKD-I",900,IF(RIGHT(C148,5)="CPDVR",770,""))))))</f>
        <v>550</v>
      </c>
      <c r="T148" s="3">
        <f t="shared" ref="T148:T167" si="7">R148*S148</f>
        <v>17050</v>
      </c>
      <c r="U148" s="3" t="s">
        <v>60</v>
      </c>
      <c r="V148" s="14" t="s">
        <v>6</v>
      </c>
      <c r="W148" s="14" t="s">
        <v>4782</v>
      </c>
      <c r="X148" s="14" t="s">
        <v>60</v>
      </c>
    </row>
    <row r="149" spans="1:24" ht="15" x14ac:dyDescent="0.3">
      <c r="A149" s="3">
        <v>66</v>
      </c>
      <c r="B149" s="3" t="s">
        <v>4801</v>
      </c>
      <c r="C149" s="14" t="s">
        <v>0</v>
      </c>
      <c r="D149" s="14" t="s">
        <v>1646</v>
      </c>
      <c r="E149" s="14" t="s">
        <v>4746</v>
      </c>
      <c r="F149" s="14" t="s">
        <v>2387</v>
      </c>
      <c r="G149" s="14" t="s">
        <v>3</v>
      </c>
      <c r="H149" s="14" t="s">
        <v>4802</v>
      </c>
      <c r="I149" s="14" t="s">
        <v>3062</v>
      </c>
      <c r="J149" s="14" t="s">
        <v>60</v>
      </c>
      <c r="K149" s="14" t="s">
        <v>60</v>
      </c>
      <c r="L149" s="14" t="s">
        <v>60</v>
      </c>
      <c r="M149" s="14" t="s">
        <v>3063</v>
      </c>
      <c r="N149" s="14" t="s">
        <v>60</v>
      </c>
      <c r="O149" s="14" t="s">
        <v>395</v>
      </c>
      <c r="P149" s="14" t="s">
        <v>4803</v>
      </c>
      <c r="Q149" s="14" t="s">
        <v>11</v>
      </c>
      <c r="R149" s="3" t="s">
        <v>4170</v>
      </c>
      <c r="S149" s="3">
        <f t="shared" si="6"/>
        <v>550</v>
      </c>
      <c r="T149" s="3">
        <f t="shared" si="7"/>
        <v>17050</v>
      </c>
      <c r="U149" s="3" t="s">
        <v>60</v>
      </c>
      <c r="V149" s="14" t="s">
        <v>6</v>
      </c>
      <c r="W149" s="14" t="s">
        <v>4782</v>
      </c>
      <c r="X149" s="14" t="s">
        <v>60</v>
      </c>
    </row>
    <row r="150" spans="1:24" ht="15" x14ac:dyDescent="0.3">
      <c r="A150" s="3">
        <v>67</v>
      </c>
      <c r="B150" s="3" t="s">
        <v>4804</v>
      </c>
      <c r="C150" s="14" t="s">
        <v>0</v>
      </c>
      <c r="D150" s="14" t="s">
        <v>3064</v>
      </c>
      <c r="E150" s="14" t="s">
        <v>4805</v>
      </c>
      <c r="F150" s="14" t="s">
        <v>2921</v>
      </c>
      <c r="G150" s="14" t="s">
        <v>3</v>
      </c>
      <c r="H150" s="14" t="s">
        <v>4806</v>
      </c>
      <c r="I150" s="14" t="s">
        <v>3065</v>
      </c>
      <c r="J150" s="14" t="s">
        <v>60</v>
      </c>
      <c r="K150" s="14" t="s">
        <v>60</v>
      </c>
      <c r="L150" s="14" t="s">
        <v>60</v>
      </c>
      <c r="M150" s="14" t="s">
        <v>3066</v>
      </c>
      <c r="N150" s="14" t="s">
        <v>60</v>
      </c>
      <c r="O150" s="14" t="s">
        <v>261</v>
      </c>
      <c r="P150" s="14" t="s">
        <v>4807</v>
      </c>
      <c r="Q150" s="14" t="s">
        <v>32</v>
      </c>
      <c r="R150" s="3" t="s">
        <v>4381</v>
      </c>
      <c r="S150" s="3">
        <f t="shared" si="6"/>
        <v>550</v>
      </c>
      <c r="T150" s="3">
        <f t="shared" si="7"/>
        <v>15400</v>
      </c>
      <c r="U150" s="3" t="s">
        <v>60</v>
      </c>
      <c r="V150" s="14" t="s">
        <v>4301</v>
      </c>
      <c r="W150" s="14" t="s">
        <v>4808</v>
      </c>
      <c r="X150" s="14" t="s">
        <v>60</v>
      </c>
    </row>
    <row r="151" spans="1:24" ht="15" x14ac:dyDescent="0.3">
      <c r="A151" s="3">
        <v>68</v>
      </c>
      <c r="B151" s="3" t="s">
        <v>4809</v>
      </c>
      <c r="C151" s="14" t="s">
        <v>0</v>
      </c>
      <c r="D151" s="14" t="s">
        <v>3067</v>
      </c>
      <c r="E151" s="14" t="s">
        <v>4810</v>
      </c>
      <c r="F151" s="14" t="s">
        <v>3068</v>
      </c>
      <c r="G151" s="14" t="s">
        <v>3</v>
      </c>
      <c r="H151" s="14" t="s">
        <v>4811</v>
      </c>
      <c r="I151" s="14" t="s">
        <v>3069</v>
      </c>
      <c r="J151" s="14" t="s">
        <v>60</v>
      </c>
      <c r="K151" s="14" t="s">
        <v>60</v>
      </c>
      <c r="L151" s="14" t="s">
        <v>60</v>
      </c>
      <c r="M151" s="14" t="s">
        <v>3070</v>
      </c>
      <c r="N151" s="14" t="s">
        <v>60</v>
      </c>
      <c r="O151" s="14" t="s">
        <v>261</v>
      </c>
      <c r="P151" s="14" t="s">
        <v>4812</v>
      </c>
      <c r="Q151" s="14" t="s">
        <v>11</v>
      </c>
      <c r="R151" s="3" t="s">
        <v>4170</v>
      </c>
      <c r="S151" s="3">
        <f t="shared" si="6"/>
        <v>550</v>
      </c>
      <c r="T151" s="3">
        <f t="shared" si="7"/>
        <v>17050</v>
      </c>
      <c r="U151" s="3" t="s">
        <v>60</v>
      </c>
      <c r="V151" s="14" t="s">
        <v>4301</v>
      </c>
      <c r="W151" s="14" t="s">
        <v>4813</v>
      </c>
      <c r="X151" s="14" t="s">
        <v>60</v>
      </c>
    </row>
    <row r="152" spans="1:24" ht="15" x14ac:dyDescent="0.3">
      <c r="A152" s="3">
        <v>69</v>
      </c>
      <c r="B152" s="3" t="s">
        <v>4814</v>
      </c>
      <c r="C152" s="14" t="s">
        <v>0</v>
      </c>
      <c r="D152" s="14" t="s">
        <v>3071</v>
      </c>
      <c r="E152" s="14" t="s">
        <v>4815</v>
      </c>
      <c r="F152" s="14" t="s">
        <v>3072</v>
      </c>
      <c r="G152" s="14" t="s">
        <v>3</v>
      </c>
      <c r="H152" s="14" t="s">
        <v>4816</v>
      </c>
      <c r="I152" s="14" t="s">
        <v>4817</v>
      </c>
      <c r="J152" s="14" t="s">
        <v>60</v>
      </c>
      <c r="K152" s="14" t="s">
        <v>60</v>
      </c>
      <c r="L152" s="14" t="s">
        <v>60</v>
      </c>
      <c r="M152" s="14" t="s">
        <v>3073</v>
      </c>
      <c r="N152" s="14" t="s">
        <v>60</v>
      </c>
      <c r="O152" s="14" t="s">
        <v>60</v>
      </c>
      <c r="P152" s="14" t="s">
        <v>4818</v>
      </c>
      <c r="Q152" s="14" t="s">
        <v>5</v>
      </c>
      <c r="R152" s="3" t="s">
        <v>4170</v>
      </c>
      <c r="S152" s="3">
        <f t="shared" si="6"/>
        <v>550</v>
      </c>
      <c r="T152" s="3">
        <f t="shared" si="7"/>
        <v>17050</v>
      </c>
      <c r="U152" s="3" t="s">
        <v>60</v>
      </c>
      <c r="V152" s="14" t="s">
        <v>6</v>
      </c>
      <c r="W152" s="14" t="s">
        <v>20</v>
      </c>
      <c r="X152" s="14" t="s">
        <v>60</v>
      </c>
    </row>
    <row r="153" spans="1:24" ht="15" x14ac:dyDescent="0.3">
      <c r="A153" s="3">
        <v>70</v>
      </c>
      <c r="B153" s="3" t="s">
        <v>4819</v>
      </c>
      <c r="C153" s="14" t="s">
        <v>69</v>
      </c>
      <c r="D153" s="14" t="s">
        <v>3118</v>
      </c>
      <c r="E153" s="14" t="s">
        <v>4820</v>
      </c>
      <c r="F153" s="14" t="s">
        <v>3119</v>
      </c>
      <c r="G153" s="14" t="s">
        <v>3</v>
      </c>
      <c r="H153" s="14" t="s">
        <v>3120</v>
      </c>
      <c r="I153" s="14" t="s">
        <v>3121</v>
      </c>
      <c r="J153" s="14" t="s">
        <v>60</v>
      </c>
      <c r="K153" s="14" t="s">
        <v>60</v>
      </c>
      <c r="L153" s="14" t="s">
        <v>60</v>
      </c>
      <c r="M153" s="14" t="s">
        <v>60</v>
      </c>
      <c r="N153" s="14" t="s">
        <v>60</v>
      </c>
      <c r="O153" s="14" t="s">
        <v>4821</v>
      </c>
      <c r="P153" s="14" t="s">
        <v>4822</v>
      </c>
      <c r="Q153" s="14" t="s">
        <v>32</v>
      </c>
      <c r="R153" s="3" t="s">
        <v>4170</v>
      </c>
      <c r="S153" s="3">
        <f t="shared" si="6"/>
        <v>570</v>
      </c>
      <c r="T153" s="3">
        <f t="shared" si="7"/>
        <v>17670</v>
      </c>
      <c r="U153" s="3" t="s">
        <v>60</v>
      </c>
      <c r="V153" s="14" t="s">
        <v>6</v>
      </c>
      <c r="W153" s="14" t="s">
        <v>4287</v>
      </c>
      <c r="X153" s="14" t="s">
        <v>60</v>
      </c>
    </row>
    <row r="154" spans="1:24" ht="15" x14ac:dyDescent="0.3">
      <c r="A154" s="3">
        <v>71</v>
      </c>
      <c r="B154" s="3" t="s">
        <v>4823</v>
      </c>
      <c r="C154" s="14" t="s">
        <v>0</v>
      </c>
      <c r="D154" s="14" t="s">
        <v>3890</v>
      </c>
      <c r="E154" s="14" t="s">
        <v>4824</v>
      </c>
      <c r="F154" s="14" t="s">
        <v>3899</v>
      </c>
      <c r="G154" s="14" t="s">
        <v>3</v>
      </c>
      <c r="H154" s="14" t="s">
        <v>4013</v>
      </c>
      <c r="I154" s="14" t="s">
        <v>4025</v>
      </c>
      <c r="J154" s="14" t="s">
        <v>60</v>
      </c>
      <c r="K154" s="14" t="s">
        <v>60</v>
      </c>
      <c r="L154" s="14" t="s">
        <v>60</v>
      </c>
      <c r="M154" s="14" t="s">
        <v>4037</v>
      </c>
      <c r="N154" s="14" t="s">
        <v>60</v>
      </c>
      <c r="O154" s="14" t="s">
        <v>60</v>
      </c>
      <c r="P154" s="14" t="s">
        <v>4825</v>
      </c>
      <c r="Q154" s="14" t="s">
        <v>5</v>
      </c>
      <c r="R154" s="3" t="s">
        <v>4170</v>
      </c>
      <c r="S154" s="3">
        <f t="shared" si="6"/>
        <v>550</v>
      </c>
      <c r="T154" s="3">
        <f t="shared" si="7"/>
        <v>17050</v>
      </c>
      <c r="U154" s="3" t="s">
        <v>60</v>
      </c>
      <c r="V154" s="14" t="s">
        <v>6</v>
      </c>
      <c r="W154" s="14" t="s">
        <v>4101</v>
      </c>
      <c r="X154" s="14" t="s">
        <v>60</v>
      </c>
    </row>
    <row r="155" spans="1:24" ht="15" x14ac:dyDescent="0.3">
      <c r="A155" s="3">
        <v>72</v>
      </c>
      <c r="B155" s="3" t="s">
        <v>4826</v>
      </c>
      <c r="C155" s="14" t="s">
        <v>0</v>
      </c>
      <c r="D155" s="14" t="s">
        <v>3891</v>
      </c>
      <c r="E155" s="14" t="s">
        <v>4827</v>
      </c>
      <c r="F155" s="14" t="s">
        <v>3900</v>
      </c>
      <c r="G155" s="14" t="s">
        <v>3</v>
      </c>
      <c r="H155" s="14" t="s">
        <v>4014</v>
      </c>
      <c r="I155" s="14" t="s">
        <v>4026</v>
      </c>
      <c r="J155" s="14" t="s">
        <v>60</v>
      </c>
      <c r="K155" s="14" t="s">
        <v>60</v>
      </c>
      <c r="L155" s="14" t="s">
        <v>60</v>
      </c>
      <c r="M155" s="14" t="s">
        <v>4038</v>
      </c>
      <c r="N155" s="14" t="s">
        <v>60</v>
      </c>
      <c r="O155" s="14" t="s">
        <v>4828</v>
      </c>
      <c r="P155" s="14" t="s">
        <v>4829</v>
      </c>
      <c r="Q155" s="14" t="s">
        <v>5</v>
      </c>
      <c r="R155" s="3" t="s">
        <v>4300</v>
      </c>
      <c r="S155" s="3">
        <f t="shared" si="6"/>
        <v>550</v>
      </c>
      <c r="T155" s="3">
        <f t="shared" si="7"/>
        <v>15950</v>
      </c>
      <c r="U155" s="3" t="s">
        <v>60</v>
      </c>
      <c r="V155" s="14" t="s">
        <v>6</v>
      </c>
      <c r="W155" s="14" t="s">
        <v>4101</v>
      </c>
      <c r="X155" s="14" t="s">
        <v>60</v>
      </c>
    </row>
    <row r="156" spans="1:24" ht="15" x14ac:dyDescent="0.3">
      <c r="A156" s="3">
        <v>73</v>
      </c>
      <c r="B156" s="3" t="s">
        <v>4830</v>
      </c>
      <c r="C156" s="14" t="s">
        <v>0</v>
      </c>
      <c r="D156" s="14" t="s">
        <v>2843</v>
      </c>
      <c r="E156" s="14" t="s">
        <v>4831</v>
      </c>
      <c r="F156" s="14" t="s">
        <v>3901</v>
      </c>
      <c r="G156" s="14" t="s">
        <v>3</v>
      </c>
      <c r="H156" s="14" t="s">
        <v>4015</v>
      </c>
      <c r="I156" s="14" t="s">
        <v>4027</v>
      </c>
      <c r="J156" s="14" t="s">
        <v>60</v>
      </c>
      <c r="K156" s="14" t="s">
        <v>60</v>
      </c>
      <c r="L156" s="14" t="s">
        <v>60</v>
      </c>
      <c r="M156" s="14" t="s">
        <v>4039</v>
      </c>
      <c r="N156" s="14" t="s">
        <v>60</v>
      </c>
      <c r="O156" s="14" t="s">
        <v>4828</v>
      </c>
      <c r="P156" s="14" t="s">
        <v>4832</v>
      </c>
      <c r="Q156" s="14" t="s">
        <v>5</v>
      </c>
      <c r="R156" s="3" t="s">
        <v>4170</v>
      </c>
      <c r="S156" s="3">
        <f t="shared" si="6"/>
        <v>550</v>
      </c>
      <c r="T156" s="3">
        <f t="shared" si="7"/>
        <v>17050</v>
      </c>
      <c r="U156" s="3" t="s">
        <v>60</v>
      </c>
      <c r="V156" s="14" t="s">
        <v>6</v>
      </c>
      <c r="W156" s="14" t="s">
        <v>4101</v>
      </c>
      <c r="X156" s="14" t="s">
        <v>60</v>
      </c>
    </row>
    <row r="157" spans="1:24" ht="15" x14ac:dyDescent="0.3">
      <c r="A157" s="3">
        <v>74</v>
      </c>
      <c r="B157" s="3" t="s">
        <v>4833</v>
      </c>
      <c r="C157" s="14" t="s">
        <v>0</v>
      </c>
      <c r="D157" s="14" t="s">
        <v>4105</v>
      </c>
      <c r="E157" s="14" t="s">
        <v>4834</v>
      </c>
      <c r="F157" s="14" t="s">
        <v>3902</v>
      </c>
      <c r="G157" s="14" t="s">
        <v>3</v>
      </c>
      <c r="H157" s="14" t="s">
        <v>4016</v>
      </c>
      <c r="I157" s="14" t="s">
        <v>4028</v>
      </c>
      <c r="J157" s="14" t="s">
        <v>60</v>
      </c>
      <c r="K157" s="14" t="s">
        <v>60</v>
      </c>
      <c r="L157" s="14" t="s">
        <v>60</v>
      </c>
      <c r="M157" s="14" t="s">
        <v>4040</v>
      </c>
      <c r="N157" s="14" t="s">
        <v>60</v>
      </c>
      <c r="O157" s="14" t="s">
        <v>60</v>
      </c>
      <c r="P157" s="14" t="s">
        <v>4835</v>
      </c>
      <c r="Q157" s="14" t="s">
        <v>4049</v>
      </c>
      <c r="R157" s="3" t="s">
        <v>4170</v>
      </c>
      <c r="S157" s="3">
        <f t="shared" si="6"/>
        <v>550</v>
      </c>
      <c r="T157" s="3">
        <f t="shared" si="7"/>
        <v>17050</v>
      </c>
      <c r="U157" s="3" t="s">
        <v>60</v>
      </c>
      <c r="V157" s="14" t="s">
        <v>6</v>
      </c>
      <c r="W157" s="14" t="s">
        <v>4101</v>
      </c>
      <c r="X157" s="14" t="s">
        <v>60</v>
      </c>
    </row>
    <row r="158" spans="1:24" ht="15" x14ac:dyDescent="0.3">
      <c r="A158" s="3">
        <v>75</v>
      </c>
      <c r="B158" s="3" t="s">
        <v>4836</v>
      </c>
      <c r="C158" s="14" t="s">
        <v>0</v>
      </c>
      <c r="D158" s="14" t="s">
        <v>3892</v>
      </c>
      <c r="E158" s="14" t="s">
        <v>4837</v>
      </c>
      <c r="F158" s="14" t="s">
        <v>3903</v>
      </c>
      <c r="G158" s="14" t="s">
        <v>3</v>
      </c>
      <c r="H158" s="14" t="s">
        <v>4017</v>
      </c>
      <c r="I158" s="14" t="s">
        <v>4029</v>
      </c>
      <c r="J158" s="14" t="s">
        <v>60</v>
      </c>
      <c r="K158" s="14" t="s">
        <v>60</v>
      </c>
      <c r="L158" s="14" t="s">
        <v>60</v>
      </c>
      <c r="M158" s="14" t="s">
        <v>4041</v>
      </c>
      <c r="N158" s="14" t="s">
        <v>60</v>
      </c>
      <c r="O158" s="14" t="s">
        <v>60</v>
      </c>
      <c r="P158" s="14" t="s">
        <v>4838</v>
      </c>
      <c r="Q158" s="14" t="s">
        <v>11</v>
      </c>
      <c r="R158" s="3" t="s">
        <v>4170</v>
      </c>
      <c r="S158" s="3">
        <f t="shared" si="6"/>
        <v>550</v>
      </c>
      <c r="T158" s="3">
        <f t="shared" si="7"/>
        <v>17050</v>
      </c>
      <c r="U158" s="3" t="s">
        <v>60</v>
      </c>
      <c r="V158" s="14" t="s">
        <v>6</v>
      </c>
      <c r="W158" s="14" t="s">
        <v>4101</v>
      </c>
      <c r="X158" s="14" t="s">
        <v>60</v>
      </c>
    </row>
    <row r="159" spans="1:24" ht="15" x14ac:dyDescent="0.3">
      <c r="A159" s="3">
        <v>76</v>
      </c>
      <c r="B159" s="3" t="s">
        <v>4839</v>
      </c>
      <c r="C159" s="14" t="s">
        <v>0</v>
      </c>
      <c r="D159" s="14" t="s">
        <v>3893</v>
      </c>
      <c r="E159" s="14" t="s">
        <v>4840</v>
      </c>
      <c r="F159" s="14" t="s">
        <v>3904</v>
      </c>
      <c r="G159" s="14" t="s">
        <v>3</v>
      </c>
      <c r="H159" s="14" t="s">
        <v>4018</v>
      </c>
      <c r="I159" s="14" t="s">
        <v>4030</v>
      </c>
      <c r="J159" s="14" t="s">
        <v>60</v>
      </c>
      <c r="K159" s="14" t="s">
        <v>60</v>
      </c>
      <c r="L159" s="14" t="s">
        <v>60</v>
      </c>
      <c r="M159" s="14" t="s">
        <v>4042</v>
      </c>
      <c r="N159" s="14" t="s">
        <v>60</v>
      </c>
      <c r="O159" s="14" t="s">
        <v>4828</v>
      </c>
      <c r="P159" s="14" t="s">
        <v>4841</v>
      </c>
      <c r="Q159" s="14" t="s">
        <v>32</v>
      </c>
      <c r="R159" s="3" t="s">
        <v>4170</v>
      </c>
      <c r="S159" s="3">
        <f t="shared" si="6"/>
        <v>550</v>
      </c>
      <c r="T159" s="3">
        <f t="shared" si="7"/>
        <v>17050</v>
      </c>
      <c r="U159" s="3" t="s">
        <v>60</v>
      </c>
      <c r="V159" s="14" t="s">
        <v>6</v>
      </c>
      <c r="W159" s="14" t="s">
        <v>4101</v>
      </c>
      <c r="X159" s="14" t="s">
        <v>60</v>
      </c>
    </row>
    <row r="160" spans="1:24" ht="15" x14ac:dyDescent="0.3">
      <c r="A160" s="3">
        <v>77</v>
      </c>
      <c r="B160" s="3" t="s">
        <v>4842</v>
      </c>
      <c r="C160" s="14" t="s">
        <v>0</v>
      </c>
      <c r="D160" s="14" t="s">
        <v>4843</v>
      </c>
      <c r="E160" s="14" t="s">
        <v>4844</v>
      </c>
      <c r="F160" s="14" t="s">
        <v>3903</v>
      </c>
      <c r="G160" s="14" t="s">
        <v>3</v>
      </c>
      <c r="H160" s="14" t="s">
        <v>4019</v>
      </c>
      <c r="I160" s="14" t="s">
        <v>4031</v>
      </c>
      <c r="J160" s="14" t="s">
        <v>60</v>
      </c>
      <c r="K160" s="14" t="s">
        <v>60</v>
      </c>
      <c r="L160" s="14" t="s">
        <v>60</v>
      </c>
      <c r="M160" s="14" t="s">
        <v>4043</v>
      </c>
      <c r="N160" s="14" t="s">
        <v>60</v>
      </c>
      <c r="O160" s="14" t="s">
        <v>60</v>
      </c>
      <c r="P160" s="14" t="s">
        <v>4845</v>
      </c>
      <c r="Q160" s="14" t="s">
        <v>32</v>
      </c>
      <c r="R160" s="3" t="s">
        <v>4170</v>
      </c>
      <c r="S160" s="3">
        <f t="shared" si="6"/>
        <v>550</v>
      </c>
      <c r="T160" s="3">
        <f t="shared" si="7"/>
        <v>17050</v>
      </c>
      <c r="U160" s="3" t="s">
        <v>60</v>
      </c>
      <c r="V160" s="14" t="s">
        <v>6</v>
      </c>
      <c r="W160" s="14" t="s">
        <v>4101</v>
      </c>
      <c r="X160" s="14" t="s">
        <v>60</v>
      </c>
    </row>
    <row r="161" spans="1:24" ht="15" x14ac:dyDescent="0.3">
      <c r="A161" s="3">
        <v>78</v>
      </c>
      <c r="B161" s="3" t="s">
        <v>4846</v>
      </c>
      <c r="C161" s="14" t="s">
        <v>0</v>
      </c>
      <c r="D161" s="14" t="s">
        <v>3894</v>
      </c>
      <c r="E161" s="14" t="s">
        <v>4847</v>
      </c>
      <c r="F161" s="14" t="s">
        <v>3905</v>
      </c>
      <c r="G161" s="14" t="s">
        <v>3</v>
      </c>
      <c r="H161" s="14" t="s">
        <v>4020</v>
      </c>
      <c r="I161" s="14" t="s">
        <v>4032</v>
      </c>
      <c r="J161" s="14" t="s">
        <v>60</v>
      </c>
      <c r="K161" s="14" t="s">
        <v>60</v>
      </c>
      <c r="L161" s="14" t="s">
        <v>60</v>
      </c>
      <c r="M161" s="14" t="s">
        <v>4044</v>
      </c>
      <c r="N161" s="14" t="s">
        <v>60</v>
      </c>
      <c r="O161" s="14" t="s">
        <v>60</v>
      </c>
      <c r="P161" s="14" t="s">
        <v>4848</v>
      </c>
      <c r="Q161" s="14" t="s">
        <v>32</v>
      </c>
      <c r="R161" s="3" t="s">
        <v>4170</v>
      </c>
      <c r="S161" s="3">
        <f t="shared" si="6"/>
        <v>550</v>
      </c>
      <c r="T161" s="3">
        <f t="shared" si="7"/>
        <v>17050</v>
      </c>
      <c r="U161" s="3" t="s">
        <v>60</v>
      </c>
      <c r="V161" s="14" t="s">
        <v>6</v>
      </c>
      <c r="W161" s="14" t="s">
        <v>4101</v>
      </c>
      <c r="X161" s="14" t="s">
        <v>60</v>
      </c>
    </row>
    <row r="162" spans="1:24" ht="15" x14ac:dyDescent="0.3">
      <c r="A162" s="3">
        <v>79</v>
      </c>
      <c r="B162" s="3" t="s">
        <v>4849</v>
      </c>
      <c r="C162" s="14" t="s">
        <v>0</v>
      </c>
      <c r="D162" s="14" t="s">
        <v>3895</v>
      </c>
      <c r="E162" s="14" t="s">
        <v>4850</v>
      </c>
      <c r="F162" s="14" t="s">
        <v>2969</v>
      </c>
      <c r="G162" s="14" t="s">
        <v>3</v>
      </c>
      <c r="H162" s="14" t="s">
        <v>4021</v>
      </c>
      <c r="I162" s="14" t="s">
        <v>4033</v>
      </c>
      <c r="J162" s="14" t="s">
        <v>60</v>
      </c>
      <c r="K162" s="14" t="s">
        <v>60</v>
      </c>
      <c r="L162" s="14" t="s">
        <v>60</v>
      </c>
      <c r="M162" s="14" t="s">
        <v>4045</v>
      </c>
      <c r="N162" s="14" t="s">
        <v>60</v>
      </c>
      <c r="O162" s="14" t="s">
        <v>60</v>
      </c>
      <c r="P162" s="14" t="s">
        <v>4851</v>
      </c>
      <c r="Q162" s="14" t="s">
        <v>5</v>
      </c>
      <c r="R162" s="3" t="s">
        <v>4170</v>
      </c>
      <c r="S162" s="3">
        <f t="shared" si="6"/>
        <v>550</v>
      </c>
      <c r="T162" s="3">
        <f t="shared" si="7"/>
        <v>17050</v>
      </c>
      <c r="U162" s="3" t="s">
        <v>60</v>
      </c>
      <c r="V162" s="14" t="s">
        <v>6</v>
      </c>
      <c r="W162" s="14" t="s">
        <v>4101</v>
      </c>
      <c r="X162" s="14" t="s">
        <v>60</v>
      </c>
    </row>
    <row r="163" spans="1:24" ht="15" x14ac:dyDescent="0.3">
      <c r="A163" s="3">
        <v>80</v>
      </c>
      <c r="B163" s="3" t="s">
        <v>4852</v>
      </c>
      <c r="C163" s="14" t="s">
        <v>0</v>
      </c>
      <c r="D163" s="14" t="s">
        <v>3896</v>
      </c>
      <c r="E163" s="14" t="s">
        <v>4853</v>
      </c>
      <c r="F163" s="14" t="s">
        <v>3906</v>
      </c>
      <c r="G163" s="14" t="s">
        <v>3</v>
      </c>
      <c r="H163" s="14" t="s">
        <v>4022</v>
      </c>
      <c r="I163" s="14" t="s">
        <v>4034</v>
      </c>
      <c r="J163" s="14" t="s">
        <v>60</v>
      </c>
      <c r="K163" s="14" t="s">
        <v>60</v>
      </c>
      <c r="L163" s="14" t="s">
        <v>60</v>
      </c>
      <c r="M163" s="14" t="s">
        <v>4046</v>
      </c>
      <c r="N163" s="14" t="s">
        <v>60</v>
      </c>
      <c r="O163" s="14" t="s">
        <v>60</v>
      </c>
      <c r="P163" s="14" t="s">
        <v>4854</v>
      </c>
      <c r="Q163" s="14" t="s">
        <v>5</v>
      </c>
      <c r="R163" s="3" t="s">
        <v>4170</v>
      </c>
      <c r="S163" s="3">
        <f t="shared" si="6"/>
        <v>550</v>
      </c>
      <c r="T163" s="3">
        <f t="shared" si="7"/>
        <v>17050</v>
      </c>
      <c r="U163" s="3" t="s">
        <v>4855</v>
      </c>
      <c r="V163" s="14" t="s">
        <v>6</v>
      </c>
      <c r="W163" s="14" t="s">
        <v>4101</v>
      </c>
      <c r="X163" s="14" t="s">
        <v>60</v>
      </c>
    </row>
    <row r="164" spans="1:24" ht="15" x14ac:dyDescent="0.3">
      <c r="A164" s="3">
        <v>81</v>
      </c>
      <c r="B164" s="3" t="s">
        <v>4856</v>
      </c>
      <c r="C164" s="14" t="s">
        <v>0</v>
      </c>
      <c r="D164" s="14" t="s">
        <v>3897</v>
      </c>
      <c r="E164" s="14" t="s">
        <v>4857</v>
      </c>
      <c r="F164" s="14" t="s">
        <v>3117</v>
      </c>
      <c r="G164" s="14" t="s">
        <v>3</v>
      </c>
      <c r="H164" s="14" t="s">
        <v>4023</v>
      </c>
      <c r="I164" s="14" t="s">
        <v>4035</v>
      </c>
      <c r="J164" s="14" t="s">
        <v>60</v>
      </c>
      <c r="K164" s="14" t="s">
        <v>60</v>
      </c>
      <c r="L164" s="14" t="s">
        <v>60</v>
      </c>
      <c r="M164" s="14" t="s">
        <v>4047</v>
      </c>
      <c r="N164" s="14" t="s">
        <v>60</v>
      </c>
      <c r="O164" s="14" t="s">
        <v>60</v>
      </c>
      <c r="P164" s="14" t="s">
        <v>4858</v>
      </c>
      <c r="Q164" s="14" t="s">
        <v>11</v>
      </c>
      <c r="R164" s="3" t="s">
        <v>4300</v>
      </c>
      <c r="S164" s="3">
        <f t="shared" si="6"/>
        <v>550</v>
      </c>
      <c r="T164" s="3">
        <f t="shared" si="7"/>
        <v>15950</v>
      </c>
      <c r="U164" s="3" t="s">
        <v>60</v>
      </c>
      <c r="V164" s="14" t="s">
        <v>6</v>
      </c>
      <c r="W164" s="14" t="s">
        <v>4101</v>
      </c>
      <c r="X164" s="14" t="s">
        <v>60</v>
      </c>
    </row>
    <row r="165" spans="1:24" ht="15" x14ac:dyDescent="0.3">
      <c r="A165" s="3">
        <v>82</v>
      </c>
      <c r="B165" s="3" t="s">
        <v>4859</v>
      </c>
      <c r="C165" s="14" t="s">
        <v>0</v>
      </c>
      <c r="D165" s="14" t="s">
        <v>3898</v>
      </c>
      <c r="E165" s="14" t="s">
        <v>4860</v>
      </c>
      <c r="F165" s="14" t="s">
        <v>3169</v>
      </c>
      <c r="G165" s="14" t="s">
        <v>3</v>
      </c>
      <c r="H165" s="14" t="s">
        <v>4024</v>
      </c>
      <c r="I165" s="14" t="s">
        <v>4036</v>
      </c>
      <c r="J165" s="14" t="s">
        <v>60</v>
      </c>
      <c r="K165" s="14" t="s">
        <v>60</v>
      </c>
      <c r="L165" s="14" t="s">
        <v>60</v>
      </c>
      <c r="M165" s="14" t="s">
        <v>4048</v>
      </c>
      <c r="N165" s="14" t="s">
        <v>60</v>
      </c>
      <c r="O165" s="14" t="s">
        <v>60</v>
      </c>
      <c r="P165" s="14" t="s">
        <v>4861</v>
      </c>
      <c r="Q165" s="14" t="s">
        <v>2905</v>
      </c>
      <c r="R165" s="3" t="s">
        <v>4862</v>
      </c>
      <c r="S165" s="3">
        <f t="shared" si="6"/>
        <v>550</v>
      </c>
      <c r="T165" s="3">
        <f t="shared" si="7"/>
        <v>6050</v>
      </c>
      <c r="U165" s="3" t="s">
        <v>60</v>
      </c>
      <c r="V165" s="14" t="s">
        <v>6</v>
      </c>
      <c r="W165" s="14" t="s">
        <v>4101</v>
      </c>
      <c r="X165" s="14" t="s">
        <v>60</v>
      </c>
    </row>
    <row r="166" spans="1:24" ht="15.6" x14ac:dyDescent="0.3">
      <c r="A166" s="3">
        <v>83</v>
      </c>
      <c r="B166" s="25" t="s">
        <v>4863</v>
      </c>
      <c r="C166" s="14" t="s">
        <v>0</v>
      </c>
      <c r="D166" s="14" t="s">
        <v>4106</v>
      </c>
      <c r="E166" s="14" t="s">
        <v>4864</v>
      </c>
      <c r="F166" s="14" t="s">
        <v>4865</v>
      </c>
      <c r="G166" s="14" t="s">
        <v>3</v>
      </c>
      <c r="H166" s="14" t="s">
        <v>4866</v>
      </c>
      <c r="I166" s="14" t="s">
        <v>4867</v>
      </c>
      <c r="J166" s="14" t="s">
        <v>60</v>
      </c>
      <c r="K166" s="14" t="s">
        <v>60</v>
      </c>
      <c r="L166" s="14" t="s">
        <v>60</v>
      </c>
      <c r="M166" s="14" t="s">
        <v>4868</v>
      </c>
      <c r="N166" s="14" t="s">
        <v>60</v>
      </c>
      <c r="O166" s="14" t="s">
        <v>60</v>
      </c>
      <c r="P166" s="14" t="s">
        <v>4869</v>
      </c>
      <c r="Q166" s="14" t="s">
        <v>11</v>
      </c>
      <c r="R166" s="3" t="s">
        <v>4533</v>
      </c>
      <c r="S166" s="3">
        <f t="shared" si="6"/>
        <v>550</v>
      </c>
      <c r="T166" s="3">
        <f t="shared" si="7"/>
        <v>7700</v>
      </c>
      <c r="U166" s="3" t="s">
        <v>60</v>
      </c>
      <c r="V166" s="14" t="s">
        <v>6</v>
      </c>
      <c r="W166" s="14" t="s">
        <v>4870</v>
      </c>
      <c r="X166" s="14" t="s">
        <v>60</v>
      </c>
    </row>
    <row r="167" spans="1:24" ht="15.6" x14ac:dyDescent="0.3">
      <c r="A167" s="3">
        <v>84</v>
      </c>
      <c r="B167" s="25" t="s">
        <v>4871</v>
      </c>
      <c r="C167" s="14" t="s">
        <v>0</v>
      </c>
      <c r="D167" s="14" t="s">
        <v>4107</v>
      </c>
      <c r="E167" s="14" t="s">
        <v>4872</v>
      </c>
      <c r="F167" s="14" t="s">
        <v>2939</v>
      </c>
      <c r="G167" s="14" t="s">
        <v>3</v>
      </c>
      <c r="H167" s="14" t="s">
        <v>4873</v>
      </c>
      <c r="I167" s="14" t="s">
        <v>4874</v>
      </c>
      <c r="J167" s="14" t="s">
        <v>60</v>
      </c>
      <c r="K167" s="14" t="s">
        <v>60</v>
      </c>
      <c r="L167" s="14" t="s">
        <v>60</v>
      </c>
      <c r="M167" s="14" t="s">
        <v>4875</v>
      </c>
      <c r="N167" s="14" t="s">
        <v>60</v>
      </c>
      <c r="O167" s="14" t="s">
        <v>60</v>
      </c>
      <c r="P167" s="14" t="s">
        <v>4876</v>
      </c>
      <c r="Q167" s="14" t="s">
        <v>11</v>
      </c>
      <c r="R167" s="3" t="s">
        <v>4533</v>
      </c>
      <c r="S167" s="3">
        <f t="shared" si="6"/>
        <v>550</v>
      </c>
      <c r="T167" s="3">
        <f t="shared" si="7"/>
        <v>7700</v>
      </c>
      <c r="U167" s="3" t="s">
        <v>4877</v>
      </c>
      <c r="V167" s="14" t="s">
        <v>6</v>
      </c>
      <c r="W167" s="14" t="s">
        <v>4870</v>
      </c>
      <c r="X167" s="14" t="s">
        <v>60</v>
      </c>
    </row>
    <row r="168" spans="1:24" ht="15.6" x14ac:dyDescent="0.3">
      <c r="A168" s="26" t="s">
        <v>60</v>
      </c>
      <c r="B168" s="26" t="s">
        <v>60</v>
      </c>
      <c r="C168" s="27" t="s">
        <v>60</v>
      </c>
      <c r="D168" s="27" t="s">
        <v>60</v>
      </c>
      <c r="E168" s="27" t="s">
        <v>60</v>
      </c>
      <c r="F168" s="27" t="s">
        <v>60</v>
      </c>
      <c r="G168" s="27" t="s">
        <v>60</v>
      </c>
      <c r="H168" s="27" t="s">
        <v>60</v>
      </c>
      <c r="I168" s="27" t="s">
        <v>60</v>
      </c>
      <c r="J168" s="27" t="s">
        <v>60</v>
      </c>
      <c r="K168" s="27" t="s">
        <v>60</v>
      </c>
      <c r="L168" s="27" t="s">
        <v>60</v>
      </c>
      <c r="M168" s="27" t="s">
        <v>60</v>
      </c>
      <c r="N168" s="27" t="s">
        <v>60</v>
      </c>
      <c r="O168" s="27" t="s">
        <v>60</v>
      </c>
      <c r="P168" s="27" t="s">
        <v>60</v>
      </c>
      <c r="Q168" s="27" t="s">
        <v>60</v>
      </c>
      <c r="R168" s="35" t="s">
        <v>2009</v>
      </c>
      <c r="S168" s="35" t="s">
        <v>60</v>
      </c>
      <c r="T168" s="26">
        <f>SUM(T83:T167)</f>
        <v>1364400</v>
      </c>
      <c r="U168" s="26" t="s">
        <v>4878</v>
      </c>
      <c r="V168" s="14"/>
      <c r="W168" s="27" t="s">
        <v>60</v>
      </c>
      <c r="X168" s="27" t="s">
        <v>60</v>
      </c>
    </row>
    <row r="169" spans="1:24" ht="15.6" x14ac:dyDescent="0.3">
      <c r="A169" s="34" t="s">
        <v>4879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spans="1:24" ht="140.4" x14ac:dyDescent="0.3">
      <c r="A170" s="23" t="s">
        <v>42</v>
      </c>
      <c r="B170" s="23" t="s">
        <v>43</v>
      </c>
      <c r="C170" s="24" t="s">
        <v>44</v>
      </c>
      <c r="D170" s="24" t="s">
        <v>4154</v>
      </c>
      <c r="E170" s="24" t="s">
        <v>4155</v>
      </c>
      <c r="F170" s="24" t="s">
        <v>4156</v>
      </c>
      <c r="G170" s="24" t="s">
        <v>45</v>
      </c>
      <c r="H170" s="24" t="s">
        <v>4157</v>
      </c>
      <c r="I170" s="24" t="s">
        <v>46</v>
      </c>
      <c r="J170" s="24" t="s">
        <v>4158</v>
      </c>
      <c r="K170" s="24" t="s">
        <v>4159</v>
      </c>
      <c r="L170" s="24" t="s">
        <v>4160</v>
      </c>
      <c r="M170" s="24" t="s">
        <v>4161</v>
      </c>
      <c r="N170" s="24" t="s">
        <v>47</v>
      </c>
      <c r="O170" s="24" t="s">
        <v>48</v>
      </c>
      <c r="P170" s="24" t="s">
        <v>49</v>
      </c>
      <c r="Q170" s="24" t="s">
        <v>50</v>
      </c>
      <c r="R170" s="23" t="s">
        <v>4162</v>
      </c>
      <c r="S170" s="23" t="s">
        <v>4163</v>
      </c>
      <c r="T170" s="23" t="s">
        <v>4164</v>
      </c>
      <c r="U170" s="23" t="s">
        <v>4165</v>
      </c>
      <c r="V170" s="24" t="s">
        <v>51</v>
      </c>
      <c r="W170" s="24" t="s">
        <v>52</v>
      </c>
      <c r="X170" s="24" t="s">
        <v>53</v>
      </c>
    </row>
    <row r="171" spans="1:24" ht="15" x14ac:dyDescent="0.3">
      <c r="A171" s="3">
        <v>1</v>
      </c>
      <c r="B171" s="3" t="s">
        <v>4880</v>
      </c>
      <c r="C171" s="14" t="s">
        <v>0</v>
      </c>
      <c r="D171" s="14" t="s">
        <v>177</v>
      </c>
      <c r="E171" s="14" t="s">
        <v>4881</v>
      </c>
      <c r="F171" s="14" t="s">
        <v>178</v>
      </c>
      <c r="G171" s="14" t="s">
        <v>3</v>
      </c>
      <c r="H171" s="14" t="s">
        <v>4882</v>
      </c>
      <c r="I171" s="14" t="s">
        <v>4883</v>
      </c>
      <c r="J171" s="14" t="s">
        <v>60</v>
      </c>
      <c r="K171" s="14" t="s">
        <v>60</v>
      </c>
      <c r="L171" s="14" t="s">
        <v>60</v>
      </c>
      <c r="M171" s="14" t="s">
        <v>60</v>
      </c>
      <c r="N171" s="14" t="s">
        <v>60</v>
      </c>
      <c r="O171" s="14" t="s">
        <v>179</v>
      </c>
      <c r="P171" s="14" t="s">
        <v>4884</v>
      </c>
      <c r="Q171" s="14" t="s">
        <v>180</v>
      </c>
      <c r="R171" s="3" t="s">
        <v>4170</v>
      </c>
      <c r="S171" s="3">
        <f t="shared" ref="S171:S207" si="8">IF(RIGHT(C171,3)="MAZ",550,IF(RIGHT(C171,4)="MATE",570,IF(RIGHT(C171,7)="SKD-III",640,IF(RIGHT(C171,6)="SKD-II",770,IF(RIGHT(C171,5)="SKD-I",900,IF(RIGHT(C171,5)="CPDVR",770,""))))))</f>
        <v>550</v>
      </c>
      <c r="T171" s="3">
        <f t="shared" ref="T171:T207" si="9">R171*S171</f>
        <v>17050</v>
      </c>
      <c r="U171" s="3" t="s">
        <v>60</v>
      </c>
      <c r="V171" s="14" t="s">
        <v>6</v>
      </c>
      <c r="W171" s="14" t="s">
        <v>4287</v>
      </c>
      <c r="X171" s="14" t="s">
        <v>60</v>
      </c>
    </row>
    <row r="172" spans="1:24" ht="15" x14ac:dyDescent="0.3">
      <c r="A172" s="3">
        <v>2</v>
      </c>
      <c r="B172" s="3" t="s">
        <v>4885</v>
      </c>
      <c r="C172" s="14" t="s">
        <v>0</v>
      </c>
      <c r="D172" s="14" t="s">
        <v>181</v>
      </c>
      <c r="E172" s="14" t="s">
        <v>4886</v>
      </c>
      <c r="F172" s="14" t="s">
        <v>182</v>
      </c>
      <c r="G172" s="14" t="s">
        <v>121</v>
      </c>
      <c r="H172" s="14" t="s">
        <v>4887</v>
      </c>
      <c r="I172" s="14" t="s">
        <v>183</v>
      </c>
      <c r="J172" s="14" t="s">
        <v>60</v>
      </c>
      <c r="K172" s="14" t="s">
        <v>60</v>
      </c>
      <c r="L172" s="14" t="s">
        <v>60</v>
      </c>
      <c r="M172" s="14" t="s">
        <v>60</v>
      </c>
      <c r="N172" s="14" t="s">
        <v>60</v>
      </c>
      <c r="O172" s="14" t="s">
        <v>184</v>
      </c>
      <c r="P172" s="14" t="s">
        <v>4888</v>
      </c>
      <c r="Q172" s="14" t="s">
        <v>185</v>
      </c>
      <c r="R172" s="3" t="s">
        <v>4170</v>
      </c>
      <c r="S172" s="3">
        <f t="shared" si="8"/>
        <v>550</v>
      </c>
      <c r="T172" s="3">
        <f t="shared" si="9"/>
        <v>17050</v>
      </c>
      <c r="U172" s="3" t="s">
        <v>60</v>
      </c>
      <c r="V172" s="14" t="s">
        <v>6</v>
      </c>
      <c r="W172" s="14" t="s">
        <v>4287</v>
      </c>
      <c r="X172" s="14" t="s">
        <v>60</v>
      </c>
    </row>
    <row r="173" spans="1:24" ht="15" x14ac:dyDescent="0.3">
      <c r="A173" s="3">
        <v>3</v>
      </c>
      <c r="B173" s="3" t="s">
        <v>4889</v>
      </c>
      <c r="C173" s="14" t="s">
        <v>0</v>
      </c>
      <c r="D173" s="14" t="s">
        <v>186</v>
      </c>
      <c r="E173" s="14" t="s">
        <v>4890</v>
      </c>
      <c r="F173" s="14" t="s">
        <v>187</v>
      </c>
      <c r="G173" s="14" t="s">
        <v>121</v>
      </c>
      <c r="H173" s="14" t="s">
        <v>4891</v>
      </c>
      <c r="I173" s="14" t="s">
        <v>188</v>
      </c>
      <c r="J173" s="14" t="s">
        <v>60</v>
      </c>
      <c r="K173" s="14" t="s">
        <v>60</v>
      </c>
      <c r="L173" s="14" t="s">
        <v>60</v>
      </c>
      <c r="M173" s="14" t="s">
        <v>60</v>
      </c>
      <c r="N173" s="14" t="s">
        <v>60</v>
      </c>
      <c r="O173" s="14" t="s">
        <v>189</v>
      </c>
      <c r="P173" s="14" t="s">
        <v>4892</v>
      </c>
      <c r="Q173" s="14" t="s">
        <v>185</v>
      </c>
      <c r="R173" s="3" t="s">
        <v>4170</v>
      </c>
      <c r="S173" s="3">
        <f t="shared" si="8"/>
        <v>550</v>
      </c>
      <c r="T173" s="3">
        <f t="shared" si="9"/>
        <v>17050</v>
      </c>
      <c r="U173" s="3" t="s">
        <v>60</v>
      </c>
      <c r="V173" s="14" t="s">
        <v>6</v>
      </c>
      <c r="W173" s="14" t="s">
        <v>4893</v>
      </c>
      <c r="X173" s="14" t="s">
        <v>60</v>
      </c>
    </row>
    <row r="174" spans="1:24" ht="15" x14ac:dyDescent="0.3">
      <c r="A174" s="3">
        <v>4</v>
      </c>
      <c r="B174" s="3" t="s">
        <v>4894</v>
      </c>
      <c r="C174" s="14" t="s">
        <v>0</v>
      </c>
      <c r="D174" s="14" t="s">
        <v>190</v>
      </c>
      <c r="E174" s="14" t="s">
        <v>4895</v>
      </c>
      <c r="F174" s="14" t="s">
        <v>191</v>
      </c>
      <c r="G174" s="14" t="s">
        <v>3</v>
      </c>
      <c r="H174" s="14" t="s">
        <v>4896</v>
      </c>
      <c r="I174" s="14" t="s">
        <v>4897</v>
      </c>
      <c r="J174" s="14" t="s">
        <v>60</v>
      </c>
      <c r="K174" s="14" t="s">
        <v>60</v>
      </c>
      <c r="L174" s="14" t="s">
        <v>60</v>
      </c>
      <c r="M174" s="14" t="s">
        <v>192</v>
      </c>
      <c r="N174" s="14" t="s">
        <v>60</v>
      </c>
      <c r="O174" s="14" t="s">
        <v>193</v>
      </c>
      <c r="P174" s="14" t="s">
        <v>4898</v>
      </c>
      <c r="Q174" s="14" t="s">
        <v>185</v>
      </c>
      <c r="R174" s="3" t="s">
        <v>4170</v>
      </c>
      <c r="S174" s="3">
        <f t="shared" si="8"/>
        <v>550</v>
      </c>
      <c r="T174" s="3">
        <f t="shared" si="9"/>
        <v>17050</v>
      </c>
      <c r="U174" s="3" t="s">
        <v>60</v>
      </c>
      <c r="V174" s="14" t="s">
        <v>6</v>
      </c>
      <c r="W174" s="14" t="s">
        <v>4287</v>
      </c>
      <c r="X174" s="14" t="s">
        <v>60</v>
      </c>
    </row>
    <row r="175" spans="1:24" ht="15" x14ac:dyDescent="0.3">
      <c r="A175" s="3">
        <v>5</v>
      </c>
      <c r="B175" s="3" t="s">
        <v>194</v>
      </c>
      <c r="C175" s="14" t="s">
        <v>0</v>
      </c>
      <c r="D175" s="14" t="s">
        <v>195</v>
      </c>
      <c r="E175" s="14" t="s">
        <v>4899</v>
      </c>
      <c r="F175" s="14" t="s">
        <v>196</v>
      </c>
      <c r="G175" s="14" t="s">
        <v>3</v>
      </c>
      <c r="H175" s="14" t="s">
        <v>4900</v>
      </c>
      <c r="I175" s="14" t="s">
        <v>4901</v>
      </c>
      <c r="J175" s="14" t="s">
        <v>60</v>
      </c>
      <c r="K175" s="14" t="s">
        <v>60</v>
      </c>
      <c r="L175" s="14" t="s">
        <v>60</v>
      </c>
      <c r="M175" s="14" t="s">
        <v>197</v>
      </c>
      <c r="N175" s="14" t="s">
        <v>60</v>
      </c>
      <c r="O175" s="14" t="s">
        <v>193</v>
      </c>
      <c r="P175" s="14" t="s">
        <v>4902</v>
      </c>
      <c r="Q175" s="14" t="s">
        <v>185</v>
      </c>
      <c r="R175" s="3" t="s">
        <v>4170</v>
      </c>
      <c r="S175" s="3">
        <f t="shared" si="8"/>
        <v>550</v>
      </c>
      <c r="T175" s="3">
        <f t="shared" si="9"/>
        <v>17050</v>
      </c>
      <c r="U175" s="3" t="s">
        <v>60</v>
      </c>
      <c r="V175" s="14" t="s">
        <v>6</v>
      </c>
      <c r="W175" s="14" t="s">
        <v>4287</v>
      </c>
      <c r="X175" s="14" t="s">
        <v>60</v>
      </c>
    </row>
    <row r="176" spans="1:24" ht="15" x14ac:dyDescent="0.3">
      <c r="A176" s="3">
        <v>6</v>
      </c>
      <c r="B176" s="3" t="s">
        <v>198</v>
      </c>
      <c r="C176" s="14" t="s">
        <v>0</v>
      </c>
      <c r="D176" s="14" t="s">
        <v>199</v>
      </c>
      <c r="E176" s="14" t="s">
        <v>4903</v>
      </c>
      <c r="F176" s="14" t="s">
        <v>200</v>
      </c>
      <c r="G176" s="14" t="s">
        <v>3</v>
      </c>
      <c r="H176" s="14" t="s">
        <v>4904</v>
      </c>
      <c r="I176" s="14" t="s">
        <v>4905</v>
      </c>
      <c r="J176" s="14" t="s">
        <v>60</v>
      </c>
      <c r="K176" s="14" t="s">
        <v>60</v>
      </c>
      <c r="L176" s="14" t="s">
        <v>60</v>
      </c>
      <c r="M176" s="14" t="s">
        <v>201</v>
      </c>
      <c r="N176" s="14" t="s">
        <v>60</v>
      </c>
      <c r="O176" s="14" t="s">
        <v>193</v>
      </c>
      <c r="P176" s="14" t="s">
        <v>4906</v>
      </c>
      <c r="Q176" s="14" t="s">
        <v>185</v>
      </c>
      <c r="R176" s="3" t="s">
        <v>4170</v>
      </c>
      <c r="S176" s="3">
        <f t="shared" si="8"/>
        <v>550</v>
      </c>
      <c r="T176" s="3">
        <f t="shared" si="9"/>
        <v>17050</v>
      </c>
      <c r="U176" s="3" t="s">
        <v>60</v>
      </c>
      <c r="V176" s="14" t="s">
        <v>6</v>
      </c>
      <c r="W176" s="14" t="s">
        <v>4287</v>
      </c>
      <c r="X176" s="14" t="s">
        <v>60</v>
      </c>
    </row>
    <row r="177" spans="1:24" ht="15" x14ac:dyDescent="0.3">
      <c r="A177" s="3">
        <v>7</v>
      </c>
      <c r="B177" s="3" t="s">
        <v>202</v>
      </c>
      <c r="C177" s="14" t="s">
        <v>0</v>
      </c>
      <c r="D177" s="14" t="s">
        <v>203</v>
      </c>
      <c r="E177" s="14" t="s">
        <v>4907</v>
      </c>
      <c r="F177" s="14" t="s">
        <v>204</v>
      </c>
      <c r="G177" s="14" t="s">
        <v>3</v>
      </c>
      <c r="H177" s="14" t="s">
        <v>4908</v>
      </c>
      <c r="I177" s="14" t="s">
        <v>4909</v>
      </c>
      <c r="J177" s="14" t="s">
        <v>60</v>
      </c>
      <c r="K177" s="14" t="s">
        <v>60</v>
      </c>
      <c r="L177" s="14" t="s">
        <v>60</v>
      </c>
      <c r="M177" s="14" t="s">
        <v>205</v>
      </c>
      <c r="N177" s="14" t="s">
        <v>60</v>
      </c>
      <c r="O177" s="14" t="s">
        <v>193</v>
      </c>
      <c r="P177" s="14" t="s">
        <v>4910</v>
      </c>
      <c r="Q177" s="14" t="s">
        <v>185</v>
      </c>
      <c r="R177" s="3" t="s">
        <v>4170</v>
      </c>
      <c r="S177" s="3">
        <f t="shared" si="8"/>
        <v>550</v>
      </c>
      <c r="T177" s="3">
        <f t="shared" si="9"/>
        <v>17050</v>
      </c>
      <c r="U177" s="3" t="s">
        <v>60</v>
      </c>
      <c r="V177" s="14" t="s">
        <v>6</v>
      </c>
      <c r="W177" s="14" t="s">
        <v>4287</v>
      </c>
      <c r="X177" s="14" t="s">
        <v>60</v>
      </c>
    </row>
    <row r="178" spans="1:24" ht="15" x14ac:dyDescent="0.3">
      <c r="A178" s="3">
        <v>8</v>
      </c>
      <c r="B178" s="3" t="s">
        <v>206</v>
      </c>
      <c r="C178" s="14" t="s">
        <v>0</v>
      </c>
      <c r="D178" s="14" t="s">
        <v>207</v>
      </c>
      <c r="E178" s="14" t="s">
        <v>4644</v>
      </c>
      <c r="F178" s="14" t="s">
        <v>208</v>
      </c>
      <c r="G178" s="14" t="s">
        <v>3</v>
      </c>
      <c r="H178" s="14" t="s">
        <v>4911</v>
      </c>
      <c r="I178" s="14" t="s">
        <v>209</v>
      </c>
      <c r="J178" s="14" t="s">
        <v>60</v>
      </c>
      <c r="K178" s="14" t="s">
        <v>60</v>
      </c>
      <c r="L178" s="14" t="s">
        <v>60</v>
      </c>
      <c r="M178" s="14" t="s">
        <v>4912</v>
      </c>
      <c r="N178" s="14" t="s">
        <v>60</v>
      </c>
      <c r="O178" s="14" t="s">
        <v>193</v>
      </c>
      <c r="P178" s="14" t="s">
        <v>4913</v>
      </c>
      <c r="Q178" s="14" t="s">
        <v>185</v>
      </c>
      <c r="R178" s="3" t="s">
        <v>4170</v>
      </c>
      <c r="S178" s="3">
        <f t="shared" si="8"/>
        <v>550</v>
      </c>
      <c r="T178" s="3">
        <f t="shared" si="9"/>
        <v>17050</v>
      </c>
      <c r="U178" s="3" t="s">
        <v>60</v>
      </c>
      <c r="V178" s="14" t="s">
        <v>6</v>
      </c>
      <c r="W178" s="14" t="s">
        <v>4287</v>
      </c>
      <c r="X178" s="14" t="s">
        <v>60</v>
      </c>
    </row>
    <row r="179" spans="1:24" ht="15" x14ac:dyDescent="0.3">
      <c r="A179" s="3">
        <v>9</v>
      </c>
      <c r="B179" s="3" t="s">
        <v>210</v>
      </c>
      <c r="C179" s="14" t="s">
        <v>0</v>
      </c>
      <c r="D179" s="14" t="s">
        <v>211</v>
      </c>
      <c r="E179" s="14" t="s">
        <v>4914</v>
      </c>
      <c r="F179" s="14" t="s">
        <v>212</v>
      </c>
      <c r="G179" s="14" t="s">
        <v>3</v>
      </c>
      <c r="H179" s="14" t="s">
        <v>4915</v>
      </c>
      <c r="I179" s="14" t="s">
        <v>4916</v>
      </c>
      <c r="J179" s="14" t="s">
        <v>60</v>
      </c>
      <c r="K179" s="14" t="s">
        <v>60</v>
      </c>
      <c r="L179" s="14" t="s">
        <v>60</v>
      </c>
      <c r="M179" s="14" t="s">
        <v>60</v>
      </c>
      <c r="N179" s="14" t="s">
        <v>60</v>
      </c>
      <c r="O179" s="14" t="s">
        <v>193</v>
      </c>
      <c r="P179" s="14" t="s">
        <v>4917</v>
      </c>
      <c r="Q179" s="14" t="s">
        <v>213</v>
      </c>
      <c r="R179" s="3" t="s">
        <v>4170</v>
      </c>
      <c r="S179" s="3">
        <f t="shared" si="8"/>
        <v>550</v>
      </c>
      <c r="T179" s="3">
        <f t="shared" si="9"/>
        <v>17050</v>
      </c>
      <c r="U179" s="3" t="s">
        <v>60</v>
      </c>
      <c r="V179" s="14" t="s">
        <v>6</v>
      </c>
      <c r="W179" s="14" t="s">
        <v>4287</v>
      </c>
      <c r="X179" s="14" t="s">
        <v>60</v>
      </c>
    </row>
    <row r="180" spans="1:24" ht="15" x14ac:dyDescent="0.3">
      <c r="A180" s="3">
        <v>10</v>
      </c>
      <c r="B180" s="3" t="s">
        <v>214</v>
      </c>
      <c r="C180" s="14" t="s">
        <v>0</v>
      </c>
      <c r="D180" s="14" t="s">
        <v>215</v>
      </c>
      <c r="E180" s="14" t="s">
        <v>4918</v>
      </c>
      <c r="F180" s="14" t="s">
        <v>216</v>
      </c>
      <c r="G180" s="14" t="s">
        <v>3</v>
      </c>
      <c r="H180" s="14" t="s">
        <v>4919</v>
      </c>
      <c r="I180" s="14" t="s">
        <v>4920</v>
      </c>
      <c r="J180" s="14" t="s">
        <v>60</v>
      </c>
      <c r="K180" s="14" t="s">
        <v>60</v>
      </c>
      <c r="L180" s="14" t="s">
        <v>60</v>
      </c>
      <c r="M180" s="14" t="s">
        <v>217</v>
      </c>
      <c r="N180" s="14" t="s">
        <v>60</v>
      </c>
      <c r="O180" s="14" t="s">
        <v>179</v>
      </c>
      <c r="P180" s="14" t="s">
        <v>4921</v>
      </c>
      <c r="Q180" s="14" t="s">
        <v>218</v>
      </c>
      <c r="R180" s="3" t="s">
        <v>4170</v>
      </c>
      <c r="S180" s="3">
        <f t="shared" si="8"/>
        <v>550</v>
      </c>
      <c r="T180" s="3">
        <f t="shared" si="9"/>
        <v>17050</v>
      </c>
      <c r="U180" s="3" t="s">
        <v>60</v>
      </c>
      <c r="V180" s="14" t="s">
        <v>6</v>
      </c>
      <c r="W180" s="14" t="s">
        <v>4287</v>
      </c>
      <c r="X180" s="14" t="s">
        <v>60</v>
      </c>
    </row>
    <row r="181" spans="1:24" ht="15" x14ac:dyDescent="0.3">
      <c r="A181" s="3">
        <v>11</v>
      </c>
      <c r="B181" s="3" t="s">
        <v>4922</v>
      </c>
      <c r="C181" s="14" t="s">
        <v>0</v>
      </c>
      <c r="D181" s="14" t="s">
        <v>219</v>
      </c>
      <c r="E181" s="14" t="s">
        <v>4923</v>
      </c>
      <c r="F181" s="14" t="s">
        <v>220</v>
      </c>
      <c r="G181" s="14" t="s">
        <v>3</v>
      </c>
      <c r="H181" s="14" t="s">
        <v>4924</v>
      </c>
      <c r="I181" s="14" t="s">
        <v>4925</v>
      </c>
      <c r="J181" s="14" t="s">
        <v>60</v>
      </c>
      <c r="K181" s="14" t="s">
        <v>60</v>
      </c>
      <c r="L181" s="14" t="s">
        <v>60</v>
      </c>
      <c r="M181" s="14" t="s">
        <v>60</v>
      </c>
      <c r="N181" s="14" t="s">
        <v>60</v>
      </c>
      <c r="O181" s="14" t="s">
        <v>193</v>
      </c>
      <c r="P181" s="14" t="s">
        <v>4926</v>
      </c>
      <c r="Q181" s="14" t="s">
        <v>185</v>
      </c>
      <c r="R181" s="3" t="s">
        <v>4170</v>
      </c>
      <c r="S181" s="3">
        <f t="shared" si="8"/>
        <v>550</v>
      </c>
      <c r="T181" s="3">
        <f t="shared" si="9"/>
        <v>17050</v>
      </c>
      <c r="U181" s="3" t="s">
        <v>60</v>
      </c>
      <c r="V181" s="14" t="s">
        <v>6</v>
      </c>
      <c r="W181" s="14" t="s">
        <v>4287</v>
      </c>
      <c r="X181" s="14" t="s">
        <v>60</v>
      </c>
    </row>
    <row r="182" spans="1:24" ht="15" x14ac:dyDescent="0.3">
      <c r="A182" s="3">
        <v>12</v>
      </c>
      <c r="B182" s="3" t="s">
        <v>4927</v>
      </c>
      <c r="C182" s="14" t="s">
        <v>0</v>
      </c>
      <c r="D182" s="14" t="s">
        <v>221</v>
      </c>
      <c r="E182" s="14" t="s">
        <v>4928</v>
      </c>
      <c r="F182" s="14" t="s">
        <v>222</v>
      </c>
      <c r="G182" s="14" t="s">
        <v>3</v>
      </c>
      <c r="H182" s="14" t="s">
        <v>4929</v>
      </c>
      <c r="I182" s="14" t="s">
        <v>223</v>
      </c>
      <c r="J182" s="14" t="s">
        <v>60</v>
      </c>
      <c r="K182" s="14" t="s">
        <v>60</v>
      </c>
      <c r="L182" s="14" t="s">
        <v>60</v>
      </c>
      <c r="M182" s="14" t="s">
        <v>60</v>
      </c>
      <c r="N182" s="14" t="s">
        <v>60</v>
      </c>
      <c r="O182" s="14" t="s">
        <v>224</v>
      </c>
      <c r="P182" s="14" t="s">
        <v>4930</v>
      </c>
      <c r="Q182" s="14" t="s">
        <v>11</v>
      </c>
      <c r="R182" s="3" t="s">
        <v>4170</v>
      </c>
      <c r="S182" s="3">
        <f t="shared" si="8"/>
        <v>550</v>
      </c>
      <c r="T182" s="3">
        <f t="shared" si="9"/>
        <v>17050</v>
      </c>
      <c r="U182" s="3" t="s">
        <v>60</v>
      </c>
      <c r="V182" s="14" t="s">
        <v>6</v>
      </c>
      <c r="W182" s="14" t="s">
        <v>4931</v>
      </c>
      <c r="X182" s="14" t="s">
        <v>60</v>
      </c>
    </row>
    <row r="183" spans="1:24" ht="15" x14ac:dyDescent="0.3">
      <c r="A183" s="3">
        <v>13</v>
      </c>
      <c r="B183" s="3" t="s">
        <v>4932</v>
      </c>
      <c r="C183" s="14" t="s">
        <v>0</v>
      </c>
      <c r="D183" s="14" t="s">
        <v>225</v>
      </c>
      <c r="E183" s="14" t="s">
        <v>4205</v>
      </c>
      <c r="F183" s="14" t="s">
        <v>226</v>
      </c>
      <c r="G183" s="14" t="s">
        <v>3</v>
      </c>
      <c r="H183" s="14" t="s">
        <v>4933</v>
      </c>
      <c r="I183" s="14" t="s">
        <v>227</v>
      </c>
      <c r="J183" s="14" t="s">
        <v>228</v>
      </c>
      <c r="K183" s="14" t="s">
        <v>60</v>
      </c>
      <c r="L183" s="14" t="s">
        <v>60</v>
      </c>
      <c r="M183" s="14" t="s">
        <v>229</v>
      </c>
      <c r="N183" s="14" t="s">
        <v>60</v>
      </c>
      <c r="O183" s="14" t="s">
        <v>193</v>
      </c>
      <c r="P183" s="14" t="s">
        <v>4934</v>
      </c>
      <c r="Q183" s="14" t="s">
        <v>11</v>
      </c>
      <c r="R183" s="3" t="s">
        <v>4170</v>
      </c>
      <c r="S183" s="3">
        <f t="shared" si="8"/>
        <v>550</v>
      </c>
      <c r="T183" s="3">
        <f t="shared" si="9"/>
        <v>17050</v>
      </c>
      <c r="U183" s="3" t="s">
        <v>60</v>
      </c>
      <c r="V183" s="14" t="s">
        <v>6</v>
      </c>
      <c r="W183" s="14" t="s">
        <v>4287</v>
      </c>
      <c r="X183" s="14" t="s">
        <v>60</v>
      </c>
    </row>
    <row r="184" spans="1:24" ht="15" x14ac:dyDescent="0.3">
      <c r="A184" s="3">
        <v>14</v>
      </c>
      <c r="B184" s="3" t="s">
        <v>4935</v>
      </c>
      <c r="C184" s="14" t="s">
        <v>0</v>
      </c>
      <c r="D184" s="14" t="s">
        <v>230</v>
      </c>
      <c r="E184" s="14" t="s">
        <v>4936</v>
      </c>
      <c r="F184" s="14" t="s">
        <v>231</v>
      </c>
      <c r="G184" s="14" t="s">
        <v>3</v>
      </c>
      <c r="H184" s="14" t="s">
        <v>4937</v>
      </c>
      <c r="I184" s="14" t="s">
        <v>232</v>
      </c>
      <c r="J184" s="14" t="s">
        <v>60</v>
      </c>
      <c r="K184" s="14" t="s">
        <v>60</v>
      </c>
      <c r="L184" s="14" t="s">
        <v>60</v>
      </c>
      <c r="M184" s="14" t="s">
        <v>233</v>
      </c>
      <c r="N184" s="14" t="s">
        <v>60</v>
      </c>
      <c r="O184" s="14" t="s">
        <v>4938</v>
      </c>
      <c r="P184" s="14" t="s">
        <v>4939</v>
      </c>
      <c r="Q184" s="14" t="s">
        <v>11</v>
      </c>
      <c r="R184" s="3" t="s">
        <v>4170</v>
      </c>
      <c r="S184" s="3">
        <f t="shared" si="8"/>
        <v>550</v>
      </c>
      <c r="T184" s="3">
        <f t="shared" si="9"/>
        <v>17050</v>
      </c>
      <c r="U184" s="3" t="s">
        <v>60</v>
      </c>
      <c r="V184" s="14" t="s">
        <v>6</v>
      </c>
      <c r="W184" s="14" t="s">
        <v>4557</v>
      </c>
      <c r="X184" s="14" t="s">
        <v>60</v>
      </c>
    </row>
    <row r="185" spans="1:24" ht="15" x14ac:dyDescent="0.3">
      <c r="A185" s="3">
        <v>15</v>
      </c>
      <c r="B185" s="3" t="s">
        <v>4940</v>
      </c>
      <c r="C185" s="14" t="s">
        <v>0</v>
      </c>
      <c r="D185" s="14" t="s">
        <v>350</v>
      </c>
      <c r="E185" s="14" t="s">
        <v>4941</v>
      </c>
      <c r="F185" s="14" t="s">
        <v>351</v>
      </c>
      <c r="G185" s="14" t="s">
        <v>3</v>
      </c>
      <c r="H185" s="14" t="s">
        <v>4942</v>
      </c>
      <c r="I185" s="14" t="s">
        <v>352</v>
      </c>
      <c r="J185" s="14" t="s">
        <v>60</v>
      </c>
      <c r="K185" s="14" t="s">
        <v>60</v>
      </c>
      <c r="L185" s="14" t="s">
        <v>60</v>
      </c>
      <c r="M185" s="14" t="s">
        <v>353</v>
      </c>
      <c r="N185" s="14" t="s">
        <v>60</v>
      </c>
      <c r="O185" s="14" t="s">
        <v>60</v>
      </c>
      <c r="P185" s="14" t="s">
        <v>4943</v>
      </c>
      <c r="Q185" s="14" t="s">
        <v>11</v>
      </c>
      <c r="R185" s="3" t="s">
        <v>4170</v>
      </c>
      <c r="S185" s="3">
        <f t="shared" si="8"/>
        <v>550</v>
      </c>
      <c r="T185" s="3">
        <f t="shared" si="9"/>
        <v>17050</v>
      </c>
      <c r="U185" s="3" t="s">
        <v>60</v>
      </c>
      <c r="V185" s="14" t="s">
        <v>6</v>
      </c>
      <c r="W185" s="14" t="s">
        <v>4944</v>
      </c>
      <c r="X185" s="14" t="s">
        <v>60</v>
      </c>
    </row>
    <row r="186" spans="1:24" ht="15" x14ac:dyDescent="0.3">
      <c r="A186" s="3">
        <v>16</v>
      </c>
      <c r="B186" s="3" t="s">
        <v>4945</v>
      </c>
      <c r="C186" s="14" t="s">
        <v>3532</v>
      </c>
      <c r="D186" s="14" t="s">
        <v>236</v>
      </c>
      <c r="E186" s="14" t="s">
        <v>4946</v>
      </c>
      <c r="F186" s="14" t="s">
        <v>237</v>
      </c>
      <c r="G186" s="14" t="s">
        <v>3</v>
      </c>
      <c r="H186" s="14" t="s">
        <v>238</v>
      </c>
      <c r="I186" s="14" t="s">
        <v>4947</v>
      </c>
      <c r="J186" s="14" t="s">
        <v>60</v>
      </c>
      <c r="K186" s="14" t="s">
        <v>60</v>
      </c>
      <c r="L186" s="14" t="s">
        <v>60</v>
      </c>
      <c r="M186" s="14" t="s">
        <v>239</v>
      </c>
      <c r="N186" s="14" t="s">
        <v>60</v>
      </c>
      <c r="O186" s="14" t="s">
        <v>193</v>
      </c>
      <c r="P186" s="14" t="s">
        <v>4948</v>
      </c>
      <c r="Q186" s="14" t="s">
        <v>185</v>
      </c>
      <c r="R186" s="3" t="s">
        <v>4170</v>
      </c>
      <c r="S186" s="3">
        <f t="shared" si="8"/>
        <v>640</v>
      </c>
      <c r="T186" s="3">
        <f t="shared" si="9"/>
        <v>19840</v>
      </c>
      <c r="U186" s="3" t="s">
        <v>60</v>
      </c>
      <c r="V186" s="14" t="s">
        <v>6</v>
      </c>
      <c r="W186" s="14" t="s">
        <v>4287</v>
      </c>
      <c r="X186" s="14" t="s">
        <v>60</v>
      </c>
    </row>
    <row r="187" spans="1:24" ht="15" x14ac:dyDescent="0.3">
      <c r="A187" s="3">
        <v>17</v>
      </c>
      <c r="B187" s="3" t="s">
        <v>4949</v>
      </c>
      <c r="C187" s="14" t="s">
        <v>0</v>
      </c>
      <c r="D187" s="14" t="s">
        <v>247</v>
      </c>
      <c r="E187" s="14" t="s">
        <v>4950</v>
      </c>
      <c r="F187" s="14" t="s">
        <v>248</v>
      </c>
      <c r="G187" s="14" t="s">
        <v>121</v>
      </c>
      <c r="H187" s="14" t="s">
        <v>4951</v>
      </c>
      <c r="I187" s="14" t="s">
        <v>249</v>
      </c>
      <c r="J187" s="14" t="s">
        <v>60</v>
      </c>
      <c r="K187" s="14" t="s">
        <v>60</v>
      </c>
      <c r="L187" s="14" t="s">
        <v>60</v>
      </c>
      <c r="M187" s="14" t="s">
        <v>60</v>
      </c>
      <c r="N187" s="14" t="s">
        <v>60</v>
      </c>
      <c r="O187" s="14" t="s">
        <v>86</v>
      </c>
      <c r="P187" s="14" t="s">
        <v>4952</v>
      </c>
      <c r="Q187" s="14" t="s">
        <v>185</v>
      </c>
      <c r="R187" s="3" t="s">
        <v>4170</v>
      </c>
      <c r="S187" s="3">
        <f t="shared" si="8"/>
        <v>550</v>
      </c>
      <c r="T187" s="3">
        <f t="shared" si="9"/>
        <v>17050</v>
      </c>
      <c r="U187" s="3" t="s">
        <v>60</v>
      </c>
      <c r="V187" s="14" t="s">
        <v>6</v>
      </c>
      <c r="W187" s="14" t="s">
        <v>4953</v>
      </c>
      <c r="X187" s="14" t="s">
        <v>60</v>
      </c>
    </row>
    <row r="188" spans="1:24" ht="15" x14ac:dyDescent="0.3">
      <c r="A188" s="3">
        <v>18</v>
      </c>
      <c r="B188" s="3" t="s">
        <v>4954</v>
      </c>
      <c r="C188" s="14" t="s">
        <v>0</v>
      </c>
      <c r="D188" s="14" t="s">
        <v>250</v>
      </c>
      <c r="E188" s="14" t="s">
        <v>4778</v>
      </c>
      <c r="F188" s="14" t="s">
        <v>251</v>
      </c>
      <c r="G188" s="14" t="s">
        <v>3</v>
      </c>
      <c r="H188" s="14" t="s">
        <v>4955</v>
      </c>
      <c r="I188" s="14" t="s">
        <v>252</v>
      </c>
      <c r="J188" s="14" t="s">
        <v>60</v>
      </c>
      <c r="K188" s="14" t="s">
        <v>60</v>
      </c>
      <c r="L188" s="14" t="s">
        <v>60</v>
      </c>
      <c r="M188" s="14" t="s">
        <v>253</v>
      </c>
      <c r="N188" s="14" t="s">
        <v>60</v>
      </c>
      <c r="O188" s="14" t="s">
        <v>60</v>
      </c>
      <c r="P188" s="14" t="s">
        <v>4956</v>
      </c>
      <c r="Q188" s="14" t="s">
        <v>11</v>
      </c>
      <c r="R188" s="3" t="s">
        <v>4300</v>
      </c>
      <c r="S188" s="3">
        <f t="shared" si="8"/>
        <v>550</v>
      </c>
      <c r="T188" s="3">
        <f t="shared" si="9"/>
        <v>15950</v>
      </c>
      <c r="U188" s="3" t="s">
        <v>60</v>
      </c>
      <c r="V188" s="14" t="s">
        <v>4957</v>
      </c>
      <c r="W188" s="14" t="s">
        <v>4958</v>
      </c>
      <c r="X188" s="14" t="s">
        <v>60</v>
      </c>
    </row>
    <row r="189" spans="1:24" ht="15" x14ac:dyDescent="0.3">
      <c r="A189" s="3">
        <v>19</v>
      </c>
      <c r="B189" s="3" t="s">
        <v>4959</v>
      </c>
      <c r="C189" s="14" t="s">
        <v>0</v>
      </c>
      <c r="D189" s="14" t="s">
        <v>258</v>
      </c>
      <c r="E189" s="14" t="s">
        <v>4960</v>
      </c>
      <c r="F189" s="14" t="s">
        <v>259</v>
      </c>
      <c r="G189" s="14" t="s">
        <v>121</v>
      </c>
      <c r="H189" s="14" t="s">
        <v>4961</v>
      </c>
      <c r="I189" s="14" t="s">
        <v>260</v>
      </c>
      <c r="J189" s="14" t="s">
        <v>60</v>
      </c>
      <c r="K189" s="14" t="s">
        <v>60</v>
      </c>
      <c r="L189" s="14" t="s">
        <v>60</v>
      </c>
      <c r="M189" s="14" t="s">
        <v>60</v>
      </c>
      <c r="N189" s="14" t="s">
        <v>60</v>
      </c>
      <c r="O189" s="14" t="s">
        <v>261</v>
      </c>
      <c r="P189" s="14" t="s">
        <v>4962</v>
      </c>
      <c r="Q189" s="14" t="s">
        <v>11</v>
      </c>
      <c r="R189" s="3" t="s">
        <v>4170</v>
      </c>
      <c r="S189" s="3">
        <f t="shared" si="8"/>
        <v>550</v>
      </c>
      <c r="T189" s="3">
        <f t="shared" si="9"/>
        <v>17050</v>
      </c>
      <c r="U189" s="3" t="s">
        <v>60</v>
      </c>
      <c r="V189" s="14" t="s">
        <v>4301</v>
      </c>
      <c r="W189" s="14" t="s">
        <v>4813</v>
      </c>
      <c r="X189" s="14" t="s">
        <v>60</v>
      </c>
    </row>
    <row r="190" spans="1:24" ht="15" x14ac:dyDescent="0.3">
      <c r="A190" s="3">
        <v>20</v>
      </c>
      <c r="B190" s="3" t="s">
        <v>4963</v>
      </c>
      <c r="C190" s="14" t="s">
        <v>0</v>
      </c>
      <c r="D190" s="14" t="s">
        <v>262</v>
      </c>
      <c r="E190" s="14" t="s">
        <v>4964</v>
      </c>
      <c r="F190" s="14" t="s">
        <v>263</v>
      </c>
      <c r="G190" s="14" t="s">
        <v>3</v>
      </c>
      <c r="H190" s="14" t="s">
        <v>4965</v>
      </c>
      <c r="I190" s="14" t="s">
        <v>264</v>
      </c>
      <c r="J190" s="14" t="s">
        <v>60</v>
      </c>
      <c r="K190" s="14" t="s">
        <v>60</v>
      </c>
      <c r="L190" s="14" t="s">
        <v>60</v>
      </c>
      <c r="M190" s="14" t="s">
        <v>60</v>
      </c>
      <c r="N190" s="14" t="s">
        <v>60</v>
      </c>
      <c r="O190" s="14" t="s">
        <v>114</v>
      </c>
      <c r="P190" s="14" t="s">
        <v>4966</v>
      </c>
      <c r="Q190" s="14" t="s">
        <v>11</v>
      </c>
      <c r="R190" s="3" t="s">
        <v>4170</v>
      </c>
      <c r="S190" s="3">
        <f t="shared" si="8"/>
        <v>550</v>
      </c>
      <c r="T190" s="3">
        <f t="shared" si="9"/>
        <v>17050</v>
      </c>
      <c r="U190" s="3" t="s">
        <v>4967</v>
      </c>
      <c r="V190" s="14" t="s">
        <v>6</v>
      </c>
      <c r="W190" s="14" t="s">
        <v>4968</v>
      </c>
      <c r="X190" s="14" t="s">
        <v>60</v>
      </c>
    </row>
    <row r="191" spans="1:24" ht="15" x14ac:dyDescent="0.3">
      <c r="A191" s="3">
        <v>21</v>
      </c>
      <c r="B191" s="3" t="s">
        <v>4969</v>
      </c>
      <c r="C191" s="14" t="s">
        <v>0</v>
      </c>
      <c r="D191" s="14" t="s">
        <v>265</v>
      </c>
      <c r="E191" s="14" t="s">
        <v>4970</v>
      </c>
      <c r="F191" s="14" t="s">
        <v>266</v>
      </c>
      <c r="G191" s="14" t="s">
        <v>3</v>
      </c>
      <c r="H191" s="14" t="s">
        <v>4971</v>
      </c>
      <c r="I191" s="14" t="s">
        <v>267</v>
      </c>
      <c r="J191" s="14" t="s">
        <v>60</v>
      </c>
      <c r="K191" s="14" t="s">
        <v>60</v>
      </c>
      <c r="L191" s="14" t="s">
        <v>60</v>
      </c>
      <c r="M191" s="14" t="s">
        <v>60</v>
      </c>
      <c r="N191" s="14" t="s">
        <v>60</v>
      </c>
      <c r="O191" s="14" t="s">
        <v>114</v>
      </c>
      <c r="P191" s="14" t="s">
        <v>4972</v>
      </c>
      <c r="Q191" s="14" t="s">
        <v>11</v>
      </c>
      <c r="R191" s="3" t="s">
        <v>4170</v>
      </c>
      <c r="S191" s="3">
        <f t="shared" si="8"/>
        <v>550</v>
      </c>
      <c r="T191" s="3">
        <f t="shared" si="9"/>
        <v>17050</v>
      </c>
      <c r="U191" s="3" t="s">
        <v>60</v>
      </c>
      <c r="V191" s="14" t="s">
        <v>6</v>
      </c>
      <c r="W191" s="14" t="s">
        <v>4968</v>
      </c>
      <c r="X191" s="14" t="s">
        <v>60</v>
      </c>
    </row>
    <row r="192" spans="1:24" ht="15" x14ac:dyDescent="0.3">
      <c r="A192" s="3">
        <v>22</v>
      </c>
      <c r="B192" s="3" t="s">
        <v>4973</v>
      </c>
      <c r="C192" s="14" t="s">
        <v>0</v>
      </c>
      <c r="D192" s="14" t="s">
        <v>268</v>
      </c>
      <c r="E192" s="14" t="s">
        <v>4974</v>
      </c>
      <c r="F192" s="14" t="s">
        <v>269</v>
      </c>
      <c r="G192" s="14" t="s">
        <v>3</v>
      </c>
      <c r="H192" s="14" t="s">
        <v>4975</v>
      </c>
      <c r="I192" s="14" t="s">
        <v>270</v>
      </c>
      <c r="J192" s="14" t="s">
        <v>60</v>
      </c>
      <c r="K192" s="14" t="s">
        <v>60</v>
      </c>
      <c r="L192" s="14" t="s">
        <v>60</v>
      </c>
      <c r="M192" s="14" t="s">
        <v>60</v>
      </c>
      <c r="N192" s="14" t="s">
        <v>60</v>
      </c>
      <c r="O192" s="14" t="s">
        <v>114</v>
      </c>
      <c r="P192" s="14" t="s">
        <v>4976</v>
      </c>
      <c r="Q192" s="14" t="s">
        <v>11</v>
      </c>
      <c r="R192" s="3" t="s">
        <v>4170</v>
      </c>
      <c r="S192" s="3">
        <f t="shared" si="8"/>
        <v>550</v>
      </c>
      <c r="T192" s="3">
        <f t="shared" si="9"/>
        <v>17050</v>
      </c>
      <c r="U192" s="3" t="s">
        <v>60</v>
      </c>
      <c r="V192" s="14" t="s">
        <v>6</v>
      </c>
      <c r="W192" s="14" t="s">
        <v>4968</v>
      </c>
      <c r="X192" s="14" t="s">
        <v>60</v>
      </c>
    </row>
    <row r="193" spans="1:24" ht="15" x14ac:dyDescent="0.3">
      <c r="A193" s="3">
        <v>23</v>
      </c>
      <c r="B193" s="3" t="s">
        <v>4977</v>
      </c>
      <c r="C193" s="14" t="s">
        <v>0</v>
      </c>
      <c r="D193" s="14" t="s">
        <v>271</v>
      </c>
      <c r="E193" s="14" t="s">
        <v>4815</v>
      </c>
      <c r="F193" s="14" t="s">
        <v>272</v>
      </c>
      <c r="G193" s="14" t="s">
        <v>3</v>
      </c>
      <c r="H193" s="14" t="s">
        <v>4978</v>
      </c>
      <c r="I193" s="14" t="s">
        <v>273</v>
      </c>
      <c r="J193" s="14" t="s">
        <v>60</v>
      </c>
      <c r="K193" s="14" t="s">
        <v>60</v>
      </c>
      <c r="L193" s="14" t="s">
        <v>60</v>
      </c>
      <c r="M193" s="14" t="s">
        <v>60</v>
      </c>
      <c r="N193" s="14" t="s">
        <v>60</v>
      </c>
      <c r="O193" s="14" t="s">
        <v>274</v>
      </c>
      <c r="P193" s="14" t="s">
        <v>4979</v>
      </c>
      <c r="Q193" s="14" t="s">
        <v>11</v>
      </c>
      <c r="R193" s="3" t="s">
        <v>4170</v>
      </c>
      <c r="S193" s="3">
        <f t="shared" si="8"/>
        <v>550</v>
      </c>
      <c r="T193" s="3">
        <f t="shared" si="9"/>
        <v>17050</v>
      </c>
      <c r="U193" s="3" t="s">
        <v>60</v>
      </c>
      <c r="V193" s="14" t="s">
        <v>6</v>
      </c>
      <c r="W193" s="14" t="s">
        <v>4980</v>
      </c>
      <c r="X193" s="14" t="s">
        <v>60</v>
      </c>
    </row>
    <row r="194" spans="1:24" ht="15" x14ac:dyDescent="0.3">
      <c r="A194" s="3">
        <v>24</v>
      </c>
      <c r="B194" s="3" t="s">
        <v>4981</v>
      </c>
      <c r="C194" s="14" t="s">
        <v>0</v>
      </c>
      <c r="D194" s="14" t="s">
        <v>279</v>
      </c>
      <c r="E194" s="14" t="s">
        <v>4982</v>
      </c>
      <c r="F194" s="14" t="s">
        <v>280</v>
      </c>
      <c r="G194" s="14" t="s">
        <v>121</v>
      </c>
      <c r="H194" s="14" t="s">
        <v>4983</v>
      </c>
      <c r="I194" s="14" t="s">
        <v>281</v>
      </c>
      <c r="J194" s="14" t="s">
        <v>60</v>
      </c>
      <c r="K194" s="14" t="s">
        <v>60</v>
      </c>
      <c r="L194" s="14" t="s">
        <v>60</v>
      </c>
      <c r="M194" s="14" t="s">
        <v>60</v>
      </c>
      <c r="N194" s="14" t="s">
        <v>60</v>
      </c>
      <c r="O194" s="14" t="s">
        <v>25</v>
      </c>
      <c r="P194" s="14" t="s">
        <v>4984</v>
      </c>
      <c r="Q194" s="14" t="s">
        <v>11</v>
      </c>
      <c r="R194" s="3" t="s">
        <v>4170</v>
      </c>
      <c r="S194" s="3">
        <f t="shared" si="8"/>
        <v>550</v>
      </c>
      <c r="T194" s="3">
        <f t="shared" si="9"/>
        <v>17050</v>
      </c>
      <c r="U194" s="3" t="s">
        <v>60</v>
      </c>
      <c r="V194" s="14" t="s">
        <v>6</v>
      </c>
      <c r="W194" s="14" t="s">
        <v>4985</v>
      </c>
      <c r="X194" s="14" t="s">
        <v>60</v>
      </c>
    </row>
    <row r="195" spans="1:24" ht="15" x14ac:dyDescent="0.3">
      <c r="A195" s="3">
        <v>25</v>
      </c>
      <c r="B195" s="3" t="s">
        <v>4986</v>
      </c>
      <c r="C195" s="14" t="s">
        <v>0</v>
      </c>
      <c r="D195" s="14" t="s">
        <v>286</v>
      </c>
      <c r="E195" s="14" t="s">
        <v>4304</v>
      </c>
      <c r="F195" s="14" t="s">
        <v>234</v>
      </c>
      <c r="G195" s="14" t="s">
        <v>3</v>
      </c>
      <c r="H195" s="14" t="s">
        <v>4987</v>
      </c>
      <c r="I195" s="14" t="s">
        <v>287</v>
      </c>
      <c r="J195" s="14" t="s">
        <v>60</v>
      </c>
      <c r="K195" s="14" t="s">
        <v>60</v>
      </c>
      <c r="L195" s="14" t="s">
        <v>60</v>
      </c>
      <c r="M195" s="14" t="s">
        <v>60</v>
      </c>
      <c r="N195" s="14" t="s">
        <v>60</v>
      </c>
      <c r="O195" s="14" t="s">
        <v>288</v>
      </c>
      <c r="P195" s="14" t="s">
        <v>4988</v>
      </c>
      <c r="Q195" s="14" t="s">
        <v>11</v>
      </c>
      <c r="R195" s="3" t="s">
        <v>4170</v>
      </c>
      <c r="S195" s="3">
        <f t="shared" si="8"/>
        <v>550</v>
      </c>
      <c r="T195" s="3">
        <f t="shared" si="9"/>
        <v>17050</v>
      </c>
      <c r="U195" s="3" t="s">
        <v>60</v>
      </c>
      <c r="V195" s="14" t="s">
        <v>6</v>
      </c>
      <c r="W195" s="14" t="s">
        <v>4980</v>
      </c>
      <c r="X195" s="14" t="s">
        <v>60</v>
      </c>
    </row>
    <row r="196" spans="1:24" ht="15" x14ac:dyDescent="0.3">
      <c r="A196" s="3">
        <v>26</v>
      </c>
      <c r="B196" s="3" t="s">
        <v>4989</v>
      </c>
      <c r="C196" s="14" t="s">
        <v>0</v>
      </c>
      <c r="D196" s="14" t="s">
        <v>289</v>
      </c>
      <c r="E196" s="14" t="s">
        <v>4990</v>
      </c>
      <c r="F196" s="14" t="s">
        <v>290</v>
      </c>
      <c r="G196" s="14" t="s">
        <v>3</v>
      </c>
      <c r="H196" s="14" t="s">
        <v>4991</v>
      </c>
      <c r="I196" s="14" t="s">
        <v>291</v>
      </c>
      <c r="J196" s="14" t="s">
        <v>60</v>
      </c>
      <c r="K196" s="14" t="s">
        <v>60</v>
      </c>
      <c r="L196" s="14" t="s">
        <v>60</v>
      </c>
      <c r="M196" s="14" t="s">
        <v>60</v>
      </c>
      <c r="N196" s="14" t="s">
        <v>60</v>
      </c>
      <c r="O196" s="14" t="s">
        <v>60</v>
      </c>
      <c r="P196" s="14" t="s">
        <v>4992</v>
      </c>
      <c r="Q196" s="14" t="s">
        <v>11</v>
      </c>
      <c r="R196" s="3" t="s">
        <v>4170</v>
      </c>
      <c r="S196" s="3">
        <f t="shared" si="8"/>
        <v>550</v>
      </c>
      <c r="T196" s="3">
        <f t="shared" si="9"/>
        <v>17050</v>
      </c>
      <c r="U196" s="3" t="s">
        <v>60</v>
      </c>
      <c r="V196" s="14" t="s">
        <v>6</v>
      </c>
      <c r="W196" s="14" t="s">
        <v>4980</v>
      </c>
      <c r="X196" s="14" t="s">
        <v>60</v>
      </c>
    </row>
    <row r="197" spans="1:24" ht="15" x14ac:dyDescent="0.3">
      <c r="A197" s="3">
        <v>27</v>
      </c>
      <c r="B197" s="3" t="s">
        <v>4993</v>
      </c>
      <c r="C197" s="14" t="s">
        <v>0</v>
      </c>
      <c r="D197" s="14" t="s">
        <v>292</v>
      </c>
      <c r="E197" s="14" t="s">
        <v>4304</v>
      </c>
      <c r="F197" s="14" t="s">
        <v>293</v>
      </c>
      <c r="G197" s="14" t="s">
        <v>3</v>
      </c>
      <c r="H197" s="14" t="s">
        <v>4994</v>
      </c>
      <c r="I197" s="14" t="s">
        <v>294</v>
      </c>
      <c r="J197" s="14" t="s">
        <v>60</v>
      </c>
      <c r="K197" s="14" t="s">
        <v>60</v>
      </c>
      <c r="L197" s="14" t="s">
        <v>60</v>
      </c>
      <c r="M197" s="14" t="s">
        <v>60</v>
      </c>
      <c r="N197" s="14" t="s">
        <v>60</v>
      </c>
      <c r="O197" s="14" t="s">
        <v>295</v>
      </c>
      <c r="P197" s="14" t="s">
        <v>4995</v>
      </c>
      <c r="Q197" s="14" t="s">
        <v>11</v>
      </c>
      <c r="R197" s="3" t="s">
        <v>4170</v>
      </c>
      <c r="S197" s="3">
        <f t="shared" si="8"/>
        <v>550</v>
      </c>
      <c r="T197" s="3">
        <f t="shared" si="9"/>
        <v>17050</v>
      </c>
      <c r="U197" s="3" t="s">
        <v>60</v>
      </c>
      <c r="V197" s="14" t="s">
        <v>6</v>
      </c>
      <c r="W197" s="14" t="s">
        <v>4980</v>
      </c>
      <c r="X197" s="14" t="s">
        <v>60</v>
      </c>
    </row>
    <row r="198" spans="1:24" ht="15" x14ac:dyDescent="0.3">
      <c r="A198" s="3">
        <v>28</v>
      </c>
      <c r="B198" s="3" t="s">
        <v>4996</v>
      </c>
      <c r="C198" s="14" t="s">
        <v>0</v>
      </c>
      <c r="D198" s="14" t="s">
        <v>296</v>
      </c>
      <c r="E198" s="14" t="s">
        <v>4778</v>
      </c>
      <c r="F198" s="14" t="s">
        <v>235</v>
      </c>
      <c r="G198" s="14" t="s">
        <v>3</v>
      </c>
      <c r="H198" s="14" t="s">
        <v>4997</v>
      </c>
      <c r="I198" s="14" t="s">
        <v>297</v>
      </c>
      <c r="J198" s="14" t="s">
        <v>60</v>
      </c>
      <c r="K198" s="14" t="s">
        <v>60</v>
      </c>
      <c r="L198" s="14" t="s">
        <v>60</v>
      </c>
      <c r="M198" s="14" t="s">
        <v>298</v>
      </c>
      <c r="N198" s="14" t="s">
        <v>60</v>
      </c>
      <c r="O198" s="14" t="s">
        <v>60</v>
      </c>
      <c r="P198" s="14" t="s">
        <v>4998</v>
      </c>
      <c r="Q198" s="14" t="s">
        <v>11</v>
      </c>
      <c r="R198" s="3" t="s">
        <v>4170</v>
      </c>
      <c r="S198" s="3">
        <f t="shared" si="8"/>
        <v>550</v>
      </c>
      <c r="T198" s="3">
        <f t="shared" si="9"/>
        <v>17050</v>
      </c>
      <c r="U198" s="3" t="s">
        <v>60</v>
      </c>
      <c r="V198" s="14" t="s">
        <v>6</v>
      </c>
      <c r="W198" s="14" t="s">
        <v>4999</v>
      </c>
      <c r="X198" s="14" t="s">
        <v>60</v>
      </c>
    </row>
    <row r="199" spans="1:24" ht="15" x14ac:dyDescent="0.3">
      <c r="A199" s="3">
        <v>29</v>
      </c>
      <c r="B199" s="3" t="s">
        <v>5000</v>
      </c>
      <c r="C199" s="14" t="s">
        <v>0</v>
      </c>
      <c r="D199" s="14" t="s">
        <v>299</v>
      </c>
      <c r="E199" s="14" t="s">
        <v>5001</v>
      </c>
      <c r="F199" s="14" t="s">
        <v>242</v>
      </c>
      <c r="G199" s="14" t="s">
        <v>3</v>
      </c>
      <c r="H199" s="14" t="s">
        <v>5002</v>
      </c>
      <c r="I199" s="14" t="s">
        <v>300</v>
      </c>
      <c r="J199" s="14" t="s">
        <v>60</v>
      </c>
      <c r="K199" s="14" t="s">
        <v>60</v>
      </c>
      <c r="L199" s="14" t="s">
        <v>60</v>
      </c>
      <c r="M199" s="14" t="s">
        <v>301</v>
      </c>
      <c r="N199" s="14" t="s">
        <v>60</v>
      </c>
      <c r="O199" s="14" t="s">
        <v>60</v>
      </c>
      <c r="P199" s="14" t="s">
        <v>5003</v>
      </c>
      <c r="Q199" s="14" t="s">
        <v>11</v>
      </c>
      <c r="R199" s="3" t="s">
        <v>4170</v>
      </c>
      <c r="S199" s="3">
        <f t="shared" si="8"/>
        <v>550</v>
      </c>
      <c r="T199" s="3">
        <f t="shared" si="9"/>
        <v>17050</v>
      </c>
      <c r="U199" s="3" t="s">
        <v>60</v>
      </c>
      <c r="V199" s="14" t="s">
        <v>6</v>
      </c>
      <c r="W199" s="14" t="s">
        <v>4999</v>
      </c>
      <c r="X199" s="14" t="s">
        <v>60</v>
      </c>
    </row>
    <row r="200" spans="1:24" ht="15" x14ac:dyDescent="0.3">
      <c r="A200" s="3">
        <v>30</v>
      </c>
      <c r="B200" s="3" t="s">
        <v>5004</v>
      </c>
      <c r="C200" s="14" t="s">
        <v>0</v>
      </c>
      <c r="D200" s="14" t="s">
        <v>302</v>
      </c>
      <c r="E200" s="14" t="s">
        <v>4778</v>
      </c>
      <c r="F200" s="14" t="s">
        <v>283</v>
      </c>
      <c r="G200" s="14" t="s">
        <v>3</v>
      </c>
      <c r="H200" s="14" t="s">
        <v>5005</v>
      </c>
      <c r="I200" s="14" t="s">
        <v>303</v>
      </c>
      <c r="J200" s="14" t="s">
        <v>60</v>
      </c>
      <c r="K200" s="14" t="s">
        <v>60</v>
      </c>
      <c r="L200" s="14" t="s">
        <v>60</v>
      </c>
      <c r="M200" s="14" t="s">
        <v>304</v>
      </c>
      <c r="N200" s="14" t="s">
        <v>60</v>
      </c>
      <c r="O200" s="14" t="s">
        <v>60</v>
      </c>
      <c r="P200" s="14" t="s">
        <v>5006</v>
      </c>
      <c r="Q200" s="14" t="s">
        <v>11</v>
      </c>
      <c r="R200" s="3" t="s">
        <v>4170</v>
      </c>
      <c r="S200" s="3">
        <f t="shared" si="8"/>
        <v>550</v>
      </c>
      <c r="T200" s="3">
        <f t="shared" si="9"/>
        <v>17050</v>
      </c>
      <c r="U200" s="3" t="s">
        <v>60</v>
      </c>
      <c r="V200" s="14" t="s">
        <v>6</v>
      </c>
      <c r="W200" s="14" t="s">
        <v>4999</v>
      </c>
      <c r="X200" s="14" t="s">
        <v>60</v>
      </c>
    </row>
    <row r="201" spans="1:24" ht="15" x14ac:dyDescent="0.3">
      <c r="A201" s="3">
        <v>31</v>
      </c>
      <c r="B201" s="3" t="s">
        <v>5007</v>
      </c>
      <c r="C201" s="14" t="s">
        <v>0</v>
      </c>
      <c r="D201" s="14" t="s">
        <v>305</v>
      </c>
      <c r="E201" s="14" t="s">
        <v>5008</v>
      </c>
      <c r="F201" s="14" t="s">
        <v>306</v>
      </c>
      <c r="G201" s="14" t="s">
        <v>3</v>
      </c>
      <c r="H201" s="14" t="s">
        <v>5009</v>
      </c>
      <c r="I201" s="14" t="s">
        <v>307</v>
      </c>
      <c r="J201" s="14" t="s">
        <v>60</v>
      </c>
      <c r="K201" s="14" t="s">
        <v>60</v>
      </c>
      <c r="L201" s="14" t="s">
        <v>60</v>
      </c>
      <c r="M201" s="14" t="s">
        <v>308</v>
      </c>
      <c r="N201" s="14" t="s">
        <v>60</v>
      </c>
      <c r="O201" s="14" t="s">
        <v>60</v>
      </c>
      <c r="P201" s="14" t="s">
        <v>5010</v>
      </c>
      <c r="Q201" s="14" t="s">
        <v>11</v>
      </c>
      <c r="R201" s="3" t="s">
        <v>4170</v>
      </c>
      <c r="S201" s="3">
        <f t="shared" si="8"/>
        <v>550</v>
      </c>
      <c r="T201" s="3">
        <f t="shared" si="9"/>
        <v>17050</v>
      </c>
      <c r="U201" s="3" t="s">
        <v>60</v>
      </c>
      <c r="V201" s="14" t="s">
        <v>6</v>
      </c>
      <c r="W201" s="14" t="s">
        <v>4999</v>
      </c>
      <c r="X201" s="14" t="s">
        <v>60</v>
      </c>
    </row>
    <row r="202" spans="1:24" ht="15" x14ac:dyDescent="0.3">
      <c r="A202" s="3">
        <v>32</v>
      </c>
      <c r="B202" s="3" t="s">
        <v>5011</v>
      </c>
      <c r="C202" s="14" t="s">
        <v>5012</v>
      </c>
      <c r="D202" s="14" t="s">
        <v>334</v>
      </c>
      <c r="E202" s="14" t="s">
        <v>5013</v>
      </c>
      <c r="F202" s="14" t="s">
        <v>335</v>
      </c>
      <c r="G202" s="14" t="s">
        <v>3</v>
      </c>
      <c r="H202" s="14" t="s">
        <v>336</v>
      </c>
      <c r="I202" s="14" t="s">
        <v>337</v>
      </c>
      <c r="J202" s="14" t="s">
        <v>60</v>
      </c>
      <c r="K202" s="14" t="s">
        <v>60</v>
      </c>
      <c r="L202" s="14" t="s">
        <v>60</v>
      </c>
      <c r="M202" s="14" t="s">
        <v>338</v>
      </c>
      <c r="N202" s="14" t="s">
        <v>60</v>
      </c>
      <c r="O202" s="14" t="s">
        <v>339</v>
      </c>
      <c r="P202" s="14" t="s">
        <v>5014</v>
      </c>
      <c r="Q202" s="14" t="s">
        <v>11</v>
      </c>
      <c r="R202" s="3" t="s">
        <v>4170</v>
      </c>
      <c r="S202" s="3">
        <f t="shared" si="8"/>
        <v>570</v>
      </c>
      <c r="T202" s="3">
        <f t="shared" si="9"/>
        <v>17670</v>
      </c>
      <c r="U202" s="3" t="s">
        <v>60</v>
      </c>
      <c r="V202" s="14" t="s">
        <v>6</v>
      </c>
      <c r="W202" s="14" t="s">
        <v>5015</v>
      </c>
      <c r="X202" s="14" t="s">
        <v>60</v>
      </c>
    </row>
    <row r="203" spans="1:24" ht="15" x14ac:dyDescent="0.3">
      <c r="A203" s="3">
        <v>33</v>
      </c>
      <c r="B203" s="3" t="s">
        <v>5016</v>
      </c>
      <c r="C203" s="14" t="s">
        <v>0</v>
      </c>
      <c r="D203" s="14" t="s">
        <v>396</v>
      </c>
      <c r="E203" s="14" t="s">
        <v>4778</v>
      </c>
      <c r="F203" s="14" t="s">
        <v>397</v>
      </c>
      <c r="G203" s="14" t="s">
        <v>3</v>
      </c>
      <c r="H203" s="14" t="s">
        <v>5017</v>
      </c>
      <c r="I203" s="14" t="s">
        <v>398</v>
      </c>
      <c r="J203" s="14" t="s">
        <v>60</v>
      </c>
      <c r="K203" s="14" t="s">
        <v>60</v>
      </c>
      <c r="L203" s="14" t="s">
        <v>60</v>
      </c>
      <c r="M203" s="14" t="s">
        <v>399</v>
      </c>
      <c r="N203" s="14" t="s">
        <v>60</v>
      </c>
      <c r="O203" s="14" t="s">
        <v>246</v>
      </c>
      <c r="P203" s="14" t="s">
        <v>5018</v>
      </c>
      <c r="Q203" s="14" t="s">
        <v>11</v>
      </c>
      <c r="R203" s="3" t="s">
        <v>4170</v>
      </c>
      <c r="S203" s="3">
        <f t="shared" si="8"/>
        <v>550</v>
      </c>
      <c r="T203" s="3">
        <f t="shared" si="9"/>
        <v>17050</v>
      </c>
      <c r="U203" s="3" t="s">
        <v>60</v>
      </c>
      <c r="V203" s="14" t="s">
        <v>6</v>
      </c>
      <c r="W203" s="14" t="s">
        <v>5019</v>
      </c>
      <c r="X203" s="14" t="s">
        <v>60</v>
      </c>
    </row>
    <row r="204" spans="1:24" ht="15" x14ac:dyDescent="0.3">
      <c r="A204" s="3">
        <v>34</v>
      </c>
      <c r="B204" s="3" t="s">
        <v>5020</v>
      </c>
      <c r="C204" s="14" t="s">
        <v>0</v>
      </c>
      <c r="D204" s="14" t="s">
        <v>400</v>
      </c>
      <c r="E204" s="14" t="s">
        <v>4200</v>
      </c>
      <c r="F204" s="14" t="s">
        <v>324</v>
      </c>
      <c r="G204" s="14" t="s">
        <v>3</v>
      </c>
      <c r="H204" s="14" t="s">
        <v>5021</v>
      </c>
      <c r="I204" s="14" t="s">
        <v>401</v>
      </c>
      <c r="J204" s="14" t="s">
        <v>60</v>
      </c>
      <c r="K204" s="14" t="s">
        <v>60</v>
      </c>
      <c r="L204" s="14" t="s">
        <v>60</v>
      </c>
      <c r="M204" s="14" t="s">
        <v>60</v>
      </c>
      <c r="N204" s="14" t="s">
        <v>60</v>
      </c>
      <c r="O204" s="14" t="s">
        <v>169</v>
      </c>
      <c r="P204" s="14" t="s">
        <v>5022</v>
      </c>
      <c r="Q204" s="14" t="s">
        <v>389</v>
      </c>
      <c r="R204" s="3" t="s">
        <v>4170</v>
      </c>
      <c r="S204" s="3">
        <f t="shared" si="8"/>
        <v>550</v>
      </c>
      <c r="T204" s="3">
        <f t="shared" si="9"/>
        <v>17050</v>
      </c>
      <c r="U204" s="3" t="s">
        <v>60</v>
      </c>
      <c r="V204" s="14" t="s">
        <v>6</v>
      </c>
      <c r="W204" s="14" t="s">
        <v>4327</v>
      </c>
      <c r="X204" s="14" t="s">
        <v>60</v>
      </c>
    </row>
    <row r="205" spans="1:24" ht="15" x14ac:dyDescent="0.3">
      <c r="A205" s="3">
        <v>35</v>
      </c>
      <c r="B205" s="3" t="s">
        <v>5023</v>
      </c>
      <c r="C205" s="14" t="s">
        <v>0</v>
      </c>
      <c r="D205" s="14" t="s">
        <v>282</v>
      </c>
      <c r="E205" s="14" t="s">
        <v>4658</v>
      </c>
      <c r="F205" s="14" t="s">
        <v>283</v>
      </c>
      <c r="G205" s="14" t="s">
        <v>3</v>
      </c>
      <c r="H205" s="14" t="s">
        <v>5024</v>
      </c>
      <c r="I205" s="14" t="s">
        <v>284</v>
      </c>
      <c r="J205" s="14" t="s">
        <v>60</v>
      </c>
      <c r="K205" s="14" t="s">
        <v>60</v>
      </c>
      <c r="L205" s="14" t="s">
        <v>60</v>
      </c>
      <c r="M205" s="14" t="s">
        <v>285</v>
      </c>
      <c r="N205" s="14" t="s">
        <v>60</v>
      </c>
      <c r="O205" s="14" t="s">
        <v>25</v>
      </c>
      <c r="P205" s="14" t="s">
        <v>5025</v>
      </c>
      <c r="Q205" s="14" t="s">
        <v>11</v>
      </c>
      <c r="R205" s="3" t="s">
        <v>4170</v>
      </c>
      <c r="S205" s="3">
        <f t="shared" si="8"/>
        <v>550</v>
      </c>
      <c r="T205" s="3">
        <f t="shared" si="9"/>
        <v>17050</v>
      </c>
      <c r="U205" s="3" t="s">
        <v>60</v>
      </c>
      <c r="V205" s="14" t="s">
        <v>6</v>
      </c>
      <c r="W205" s="14" t="s">
        <v>4999</v>
      </c>
      <c r="X205" s="14" t="s">
        <v>60</v>
      </c>
    </row>
    <row r="206" spans="1:24" ht="15" x14ac:dyDescent="0.3">
      <c r="A206" s="3">
        <v>36</v>
      </c>
      <c r="B206" s="3" t="s">
        <v>5026</v>
      </c>
      <c r="C206" s="14" t="s">
        <v>0</v>
      </c>
      <c r="D206" s="14" t="s">
        <v>309</v>
      </c>
      <c r="E206" s="14" t="s">
        <v>4928</v>
      </c>
      <c r="F206" s="14" t="s">
        <v>310</v>
      </c>
      <c r="G206" s="14" t="s">
        <v>3</v>
      </c>
      <c r="H206" s="14" t="s">
        <v>5027</v>
      </c>
      <c r="I206" s="14" t="s">
        <v>311</v>
      </c>
      <c r="J206" s="14" t="s">
        <v>60</v>
      </c>
      <c r="K206" s="14" t="s">
        <v>60</v>
      </c>
      <c r="L206" s="14" t="s">
        <v>60</v>
      </c>
      <c r="M206" s="14" t="s">
        <v>60</v>
      </c>
      <c r="N206" s="14" t="s">
        <v>60</v>
      </c>
      <c r="O206" s="14" t="s">
        <v>312</v>
      </c>
      <c r="P206" s="14" t="s">
        <v>5028</v>
      </c>
      <c r="Q206" s="14" t="s">
        <v>11</v>
      </c>
      <c r="R206" s="3" t="s">
        <v>4170</v>
      </c>
      <c r="S206" s="3">
        <f t="shared" si="8"/>
        <v>550</v>
      </c>
      <c r="T206" s="3">
        <f t="shared" si="9"/>
        <v>17050</v>
      </c>
      <c r="U206" s="3" t="s">
        <v>60</v>
      </c>
      <c r="V206" s="14" t="s">
        <v>6</v>
      </c>
      <c r="W206" s="14" t="s">
        <v>4980</v>
      </c>
      <c r="X206" s="14" t="s">
        <v>60</v>
      </c>
    </row>
    <row r="207" spans="1:24" ht="15" x14ac:dyDescent="0.3">
      <c r="A207" s="3">
        <v>37</v>
      </c>
      <c r="B207" s="3" t="s">
        <v>5029</v>
      </c>
      <c r="C207" s="14" t="s">
        <v>0</v>
      </c>
      <c r="D207" s="14" t="s">
        <v>314</v>
      </c>
      <c r="E207" s="14" t="s">
        <v>4308</v>
      </c>
      <c r="F207" s="14" t="s">
        <v>315</v>
      </c>
      <c r="G207" s="14" t="s">
        <v>3</v>
      </c>
      <c r="H207" s="14" t="s">
        <v>5030</v>
      </c>
      <c r="I207" s="14" t="s">
        <v>316</v>
      </c>
      <c r="J207" s="14" t="s">
        <v>60</v>
      </c>
      <c r="K207" s="14" t="s">
        <v>60</v>
      </c>
      <c r="L207" s="14" t="s">
        <v>60</v>
      </c>
      <c r="M207" s="14" t="s">
        <v>317</v>
      </c>
      <c r="N207" s="14" t="s">
        <v>60</v>
      </c>
      <c r="O207" s="14" t="s">
        <v>114</v>
      </c>
      <c r="P207" s="14" t="s">
        <v>5031</v>
      </c>
      <c r="Q207" s="14" t="s">
        <v>11</v>
      </c>
      <c r="R207" s="3" t="s">
        <v>4170</v>
      </c>
      <c r="S207" s="3">
        <f t="shared" si="8"/>
        <v>550</v>
      </c>
      <c r="T207" s="3">
        <f t="shared" si="9"/>
        <v>17050</v>
      </c>
      <c r="U207" s="3" t="s">
        <v>5032</v>
      </c>
      <c r="V207" s="14" t="s">
        <v>6</v>
      </c>
      <c r="W207" s="14" t="s">
        <v>4980</v>
      </c>
      <c r="X207" s="14" t="s">
        <v>60</v>
      </c>
    </row>
    <row r="208" spans="1:24" ht="15.6" x14ac:dyDescent="0.3">
      <c r="A208" s="26" t="s">
        <v>60</v>
      </c>
      <c r="B208" s="26" t="s">
        <v>60</v>
      </c>
      <c r="C208" s="27" t="s">
        <v>60</v>
      </c>
      <c r="D208" s="27" t="s">
        <v>60</v>
      </c>
      <c r="E208" s="27" t="s">
        <v>60</v>
      </c>
      <c r="F208" s="27" t="s">
        <v>60</v>
      </c>
      <c r="G208" s="27" t="s">
        <v>60</v>
      </c>
      <c r="H208" s="27" t="s">
        <v>60</v>
      </c>
      <c r="I208" s="27" t="s">
        <v>60</v>
      </c>
      <c r="J208" s="27" t="s">
        <v>60</v>
      </c>
      <c r="K208" s="27" t="s">
        <v>60</v>
      </c>
      <c r="L208" s="27" t="s">
        <v>60</v>
      </c>
      <c r="M208" s="27" t="s">
        <v>60</v>
      </c>
      <c r="N208" s="27" t="s">
        <v>60</v>
      </c>
      <c r="O208" s="27" t="s">
        <v>60</v>
      </c>
      <c r="P208" s="27" t="s">
        <v>60</v>
      </c>
      <c r="Q208" s="27" t="s">
        <v>60</v>
      </c>
      <c r="R208" s="35" t="s">
        <v>2009</v>
      </c>
      <c r="S208" s="35" t="s">
        <v>60</v>
      </c>
      <c r="T208" s="26">
        <f>SUM(T170:T207)</f>
        <v>633160</v>
      </c>
      <c r="U208" s="26" t="s">
        <v>5033</v>
      </c>
      <c r="V208" s="27" t="s">
        <v>60</v>
      </c>
      <c r="W208" s="27" t="s">
        <v>60</v>
      </c>
      <c r="X208" s="27" t="s">
        <v>60</v>
      </c>
    </row>
    <row r="209" spans="1:24" ht="15.6" x14ac:dyDescent="0.3">
      <c r="A209" s="34" t="s">
        <v>5034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spans="1:24" ht="140.4" x14ac:dyDescent="0.3">
      <c r="A210" s="23" t="s">
        <v>42</v>
      </c>
      <c r="B210" s="23" t="s">
        <v>43</v>
      </c>
      <c r="C210" s="24" t="s">
        <v>44</v>
      </c>
      <c r="D210" s="24" t="s">
        <v>4154</v>
      </c>
      <c r="E210" s="24" t="s">
        <v>4155</v>
      </c>
      <c r="F210" s="24" t="s">
        <v>4156</v>
      </c>
      <c r="G210" s="24" t="s">
        <v>45</v>
      </c>
      <c r="H210" s="24" t="s">
        <v>4157</v>
      </c>
      <c r="I210" s="24" t="s">
        <v>46</v>
      </c>
      <c r="J210" s="24" t="s">
        <v>4158</v>
      </c>
      <c r="K210" s="24" t="s">
        <v>4159</v>
      </c>
      <c r="L210" s="24" t="s">
        <v>4160</v>
      </c>
      <c r="M210" s="24" t="s">
        <v>4161</v>
      </c>
      <c r="N210" s="24" t="s">
        <v>47</v>
      </c>
      <c r="O210" s="24" t="s">
        <v>48</v>
      </c>
      <c r="P210" s="24" t="s">
        <v>49</v>
      </c>
      <c r="Q210" s="24" t="s">
        <v>50</v>
      </c>
      <c r="R210" s="23" t="s">
        <v>4162</v>
      </c>
      <c r="S210" s="23" t="s">
        <v>4163</v>
      </c>
      <c r="T210" s="23" t="s">
        <v>4164</v>
      </c>
      <c r="U210" s="23" t="s">
        <v>4165</v>
      </c>
      <c r="V210" s="24" t="s">
        <v>51</v>
      </c>
      <c r="W210" s="24" t="s">
        <v>52</v>
      </c>
      <c r="X210" s="24" t="s">
        <v>53</v>
      </c>
    </row>
    <row r="211" spans="1:24" ht="15" x14ac:dyDescent="0.3">
      <c r="A211" s="3">
        <v>1</v>
      </c>
      <c r="B211" s="3" t="s">
        <v>5035</v>
      </c>
      <c r="C211" s="14" t="s">
        <v>14</v>
      </c>
      <c r="D211" s="14" t="s">
        <v>5036</v>
      </c>
      <c r="E211" s="14" t="s">
        <v>5037</v>
      </c>
      <c r="F211" s="14" t="s">
        <v>346</v>
      </c>
      <c r="G211" s="14" t="s">
        <v>3</v>
      </c>
      <c r="H211" s="14" t="s">
        <v>5038</v>
      </c>
      <c r="I211" s="14" t="s">
        <v>347</v>
      </c>
      <c r="J211" s="14" t="s">
        <v>60</v>
      </c>
      <c r="K211" s="14" t="s">
        <v>60</v>
      </c>
      <c r="L211" s="14" t="s">
        <v>60</v>
      </c>
      <c r="M211" s="14" t="s">
        <v>348</v>
      </c>
      <c r="N211" s="14" t="s">
        <v>60</v>
      </c>
      <c r="O211" s="14" t="s">
        <v>60</v>
      </c>
      <c r="P211" s="14" t="s">
        <v>5039</v>
      </c>
      <c r="Q211" s="14" t="s">
        <v>349</v>
      </c>
      <c r="R211" s="3" t="s">
        <v>4170</v>
      </c>
      <c r="S211" s="3">
        <f t="shared" ref="S211:S245" si="10">IF(RIGHT(C211,3)="MAZ",550,IF(RIGHT(C211,4)="MATE",570,IF(RIGHT(C211,7)="SKD-III",640,IF(RIGHT(C211,6)="SKD-II",770,IF(RIGHT(C211,5)="SKD-I",900,IF(RIGHT(C211,5)="CPDVR",770,""))))))</f>
        <v>640</v>
      </c>
      <c r="T211" s="3">
        <f t="shared" ref="T211:T245" si="11">R211*S211</f>
        <v>19840</v>
      </c>
      <c r="U211" s="3" t="s">
        <v>60</v>
      </c>
      <c r="V211" s="14" t="s">
        <v>6</v>
      </c>
      <c r="W211" s="14" t="s">
        <v>5040</v>
      </c>
      <c r="X211" s="14" t="s">
        <v>60</v>
      </c>
    </row>
    <row r="212" spans="1:24" ht="15" x14ac:dyDescent="0.3">
      <c r="A212" s="3">
        <v>2</v>
      </c>
      <c r="B212" s="3" t="s">
        <v>5041</v>
      </c>
      <c r="C212" s="14" t="s">
        <v>26</v>
      </c>
      <c r="D212" s="14" t="s">
        <v>391</v>
      </c>
      <c r="E212" s="14" t="s">
        <v>4430</v>
      </c>
      <c r="F212" s="14" t="s">
        <v>392</v>
      </c>
      <c r="G212" s="14" t="s">
        <v>3</v>
      </c>
      <c r="H212" s="14" t="s">
        <v>5042</v>
      </c>
      <c r="I212" s="14" t="s">
        <v>393</v>
      </c>
      <c r="J212" s="14" t="s">
        <v>60</v>
      </c>
      <c r="K212" s="14" t="s">
        <v>60</v>
      </c>
      <c r="L212" s="14" t="s">
        <v>60</v>
      </c>
      <c r="M212" s="14" t="s">
        <v>394</v>
      </c>
      <c r="N212" s="14" t="s">
        <v>60</v>
      </c>
      <c r="O212" s="14" t="s">
        <v>388</v>
      </c>
      <c r="P212" s="14" t="s">
        <v>5043</v>
      </c>
      <c r="Q212" s="14" t="s">
        <v>11</v>
      </c>
      <c r="R212" s="3" t="s">
        <v>4170</v>
      </c>
      <c r="S212" s="3">
        <f t="shared" si="10"/>
        <v>770</v>
      </c>
      <c r="T212" s="3">
        <f t="shared" si="11"/>
        <v>23870</v>
      </c>
      <c r="U212" s="3" t="s">
        <v>60</v>
      </c>
      <c r="V212" s="14" t="s">
        <v>6</v>
      </c>
      <c r="W212" s="14" t="s">
        <v>5044</v>
      </c>
      <c r="X212" s="14" t="s">
        <v>60</v>
      </c>
    </row>
    <row r="213" spans="1:24" ht="15" x14ac:dyDescent="0.3">
      <c r="A213" s="3">
        <v>3</v>
      </c>
      <c r="B213" s="3" t="s">
        <v>5045</v>
      </c>
      <c r="C213" s="14" t="s">
        <v>26</v>
      </c>
      <c r="D213" s="14" t="s">
        <v>340</v>
      </c>
      <c r="E213" s="14" t="s">
        <v>5046</v>
      </c>
      <c r="F213" s="14" t="s">
        <v>341</v>
      </c>
      <c r="G213" s="14" t="s">
        <v>3</v>
      </c>
      <c r="H213" s="14" t="s">
        <v>342</v>
      </c>
      <c r="I213" s="14" t="s">
        <v>343</v>
      </c>
      <c r="J213" s="14" t="s">
        <v>60</v>
      </c>
      <c r="K213" s="14" t="s">
        <v>60</v>
      </c>
      <c r="L213" s="14" t="s">
        <v>60</v>
      </c>
      <c r="M213" s="14" t="s">
        <v>344</v>
      </c>
      <c r="N213" s="14" t="s">
        <v>60</v>
      </c>
      <c r="O213" s="14" t="s">
        <v>345</v>
      </c>
      <c r="P213" s="14" t="s">
        <v>5047</v>
      </c>
      <c r="Q213" s="14" t="s">
        <v>11</v>
      </c>
      <c r="R213" s="3" t="s">
        <v>4170</v>
      </c>
      <c r="S213" s="3">
        <f t="shared" si="10"/>
        <v>770</v>
      </c>
      <c r="T213" s="3">
        <f t="shared" si="11"/>
        <v>23870</v>
      </c>
      <c r="U213" s="3" t="s">
        <v>60</v>
      </c>
      <c r="V213" s="14" t="s">
        <v>6</v>
      </c>
      <c r="W213" s="14" t="s">
        <v>5048</v>
      </c>
      <c r="X213" s="14" t="s">
        <v>60</v>
      </c>
    </row>
    <row r="214" spans="1:24" ht="15" x14ac:dyDescent="0.3">
      <c r="A214" s="3">
        <v>4</v>
      </c>
      <c r="B214" s="3" t="s">
        <v>5049</v>
      </c>
      <c r="C214" s="14" t="s">
        <v>0</v>
      </c>
      <c r="D214" s="14" t="s">
        <v>275</v>
      </c>
      <c r="E214" s="14" t="s">
        <v>5050</v>
      </c>
      <c r="F214" s="14" t="s">
        <v>276</v>
      </c>
      <c r="G214" s="14" t="s">
        <v>3</v>
      </c>
      <c r="H214" s="14" t="s">
        <v>5051</v>
      </c>
      <c r="I214" s="14" t="s">
        <v>277</v>
      </c>
      <c r="J214" s="14" t="s">
        <v>60</v>
      </c>
      <c r="K214" s="14" t="s">
        <v>60</v>
      </c>
      <c r="L214" s="14" t="s">
        <v>60</v>
      </c>
      <c r="M214" s="14" t="s">
        <v>278</v>
      </c>
      <c r="N214" s="14" t="s">
        <v>60</v>
      </c>
      <c r="O214" s="14" t="s">
        <v>5052</v>
      </c>
      <c r="P214" s="14" t="s">
        <v>5053</v>
      </c>
      <c r="Q214" s="14" t="s">
        <v>240</v>
      </c>
      <c r="R214" s="3" t="s">
        <v>4170</v>
      </c>
      <c r="S214" s="3">
        <f t="shared" si="10"/>
        <v>550</v>
      </c>
      <c r="T214" s="3">
        <f t="shared" si="11"/>
        <v>17050</v>
      </c>
      <c r="U214" s="3" t="s">
        <v>60</v>
      </c>
      <c r="V214" s="14" t="s">
        <v>6</v>
      </c>
      <c r="W214" s="14" t="s">
        <v>4287</v>
      </c>
      <c r="X214" s="14" t="s">
        <v>60</v>
      </c>
    </row>
    <row r="215" spans="1:24" ht="15" x14ac:dyDescent="0.3">
      <c r="A215" s="3">
        <v>5</v>
      </c>
      <c r="B215" s="3" t="s">
        <v>5054</v>
      </c>
      <c r="C215" s="14" t="s">
        <v>0</v>
      </c>
      <c r="D215" s="14" t="s">
        <v>3534</v>
      </c>
      <c r="E215" s="14" t="s">
        <v>5055</v>
      </c>
      <c r="F215" s="14" t="s">
        <v>3539</v>
      </c>
      <c r="G215" s="14" t="s">
        <v>3</v>
      </c>
      <c r="H215" s="14" t="s">
        <v>5056</v>
      </c>
      <c r="I215" s="14" t="s">
        <v>3654</v>
      </c>
      <c r="J215" s="14" t="s">
        <v>60</v>
      </c>
      <c r="K215" s="14" t="s">
        <v>60</v>
      </c>
      <c r="L215" s="14" t="s">
        <v>60</v>
      </c>
      <c r="M215" s="14" t="s">
        <v>3655</v>
      </c>
      <c r="N215" s="14" t="s">
        <v>60</v>
      </c>
      <c r="O215" s="14" t="s">
        <v>60</v>
      </c>
      <c r="P215" s="14" t="s">
        <v>5057</v>
      </c>
      <c r="Q215" s="14" t="s">
        <v>11</v>
      </c>
      <c r="R215" s="3" t="s">
        <v>4170</v>
      </c>
      <c r="S215" s="3">
        <f t="shared" si="10"/>
        <v>550</v>
      </c>
      <c r="T215" s="3">
        <f t="shared" si="11"/>
        <v>17050</v>
      </c>
      <c r="U215" s="3" t="s">
        <v>60</v>
      </c>
      <c r="V215" s="14" t="s">
        <v>6</v>
      </c>
      <c r="W215" s="14" t="s">
        <v>5058</v>
      </c>
      <c r="X215" s="14" t="s">
        <v>60</v>
      </c>
    </row>
    <row r="216" spans="1:24" ht="15" x14ac:dyDescent="0.3">
      <c r="A216" s="3">
        <v>6</v>
      </c>
      <c r="B216" s="3" t="s">
        <v>5059</v>
      </c>
      <c r="C216" s="14" t="s">
        <v>0</v>
      </c>
      <c r="D216" s="14" t="s">
        <v>3535</v>
      </c>
      <c r="E216" s="14" t="s">
        <v>5060</v>
      </c>
      <c r="F216" s="14" t="s">
        <v>3540</v>
      </c>
      <c r="G216" s="14" t="s">
        <v>3</v>
      </c>
      <c r="H216" s="14" t="s">
        <v>5061</v>
      </c>
      <c r="I216" s="14" t="s">
        <v>3656</v>
      </c>
      <c r="J216" s="14" t="s">
        <v>60</v>
      </c>
      <c r="K216" s="14" t="s">
        <v>60</v>
      </c>
      <c r="L216" s="14" t="s">
        <v>60</v>
      </c>
      <c r="M216" s="14" t="s">
        <v>3657</v>
      </c>
      <c r="N216" s="14" t="s">
        <v>60</v>
      </c>
      <c r="O216" s="14" t="s">
        <v>60</v>
      </c>
      <c r="P216" s="14" t="s">
        <v>5062</v>
      </c>
      <c r="Q216" s="14" t="s">
        <v>180</v>
      </c>
      <c r="R216" s="3" t="s">
        <v>4170</v>
      </c>
      <c r="S216" s="3">
        <f t="shared" si="10"/>
        <v>550</v>
      </c>
      <c r="T216" s="3">
        <f t="shared" si="11"/>
        <v>17050</v>
      </c>
      <c r="U216" s="3" t="s">
        <v>60</v>
      </c>
      <c r="V216" s="14" t="s">
        <v>6</v>
      </c>
      <c r="W216" s="14" t="s">
        <v>5058</v>
      </c>
      <c r="X216" s="14" t="s">
        <v>60</v>
      </c>
    </row>
    <row r="217" spans="1:24" ht="15" x14ac:dyDescent="0.3">
      <c r="A217" s="3">
        <v>7</v>
      </c>
      <c r="B217" s="3" t="s">
        <v>5063</v>
      </c>
      <c r="C217" s="14" t="s">
        <v>0</v>
      </c>
      <c r="D217" s="14" t="s">
        <v>3536</v>
      </c>
      <c r="E217" s="14" t="s">
        <v>5064</v>
      </c>
      <c r="F217" s="14" t="s">
        <v>3541</v>
      </c>
      <c r="G217" s="14" t="s">
        <v>3</v>
      </c>
      <c r="H217" s="14" t="s">
        <v>5065</v>
      </c>
      <c r="I217" s="14" t="s">
        <v>3658</v>
      </c>
      <c r="J217" s="14" t="s">
        <v>60</v>
      </c>
      <c r="K217" s="14" t="s">
        <v>60</v>
      </c>
      <c r="L217" s="14" t="s">
        <v>60</v>
      </c>
      <c r="M217" s="14" t="s">
        <v>3659</v>
      </c>
      <c r="N217" s="14" t="s">
        <v>60</v>
      </c>
      <c r="O217" s="14" t="s">
        <v>60</v>
      </c>
      <c r="P217" s="14" t="s">
        <v>5066</v>
      </c>
      <c r="Q217" s="14" t="s">
        <v>761</v>
      </c>
      <c r="R217" s="3" t="s">
        <v>4170</v>
      </c>
      <c r="S217" s="3">
        <f t="shared" si="10"/>
        <v>550</v>
      </c>
      <c r="T217" s="3">
        <f t="shared" si="11"/>
        <v>17050</v>
      </c>
      <c r="U217" s="3" t="s">
        <v>60</v>
      </c>
      <c r="V217" s="14" t="s">
        <v>6</v>
      </c>
      <c r="W217" s="14" t="s">
        <v>5067</v>
      </c>
      <c r="X217" s="14" t="s">
        <v>60</v>
      </c>
    </row>
    <row r="218" spans="1:24" ht="15" x14ac:dyDescent="0.3">
      <c r="A218" s="3">
        <v>8</v>
      </c>
      <c r="B218" s="3" t="s">
        <v>5068</v>
      </c>
      <c r="C218" s="14" t="s">
        <v>0</v>
      </c>
      <c r="D218" s="14" t="s">
        <v>3537</v>
      </c>
      <c r="E218" s="14" t="s">
        <v>5069</v>
      </c>
      <c r="F218" s="14" t="s">
        <v>3542</v>
      </c>
      <c r="G218" s="14" t="s">
        <v>3</v>
      </c>
      <c r="H218" s="14" t="s">
        <v>5070</v>
      </c>
      <c r="I218" s="14" t="s">
        <v>3660</v>
      </c>
      <c r="J218" s="14" t="s">
        <v>60</v>
      </c>
      <c r="K218" s="14" t="s">
        <v>60</v>
      </c>
      <c r="L218" s="14" t="s">
        <v>60</v>
      </c>
      <c r="M218" s="14" t="s">
        <v>3661</v>
      </c>
      <c r="N218" s="14" t="s">
        <v>60</v>
      </c>
      <c r="O218" s="14" t="s">
        <v>60</v>
      </c>
      <c r="P218" s="14" t="s">
        <v>5071</v>
      </c>
      <c r="Q218" s="14" t="s">
        <v>180</v>
      </c>
      <c r="R218" s="3" t="s">
        <v>4170</v>
      </c>
      <c r="S218" s="3">
        <f t="shared" si="10"/>
        <v>550</v>
      </c>
      <c r="T218" s="3">
        <f t="shared" si="11"/>
        <v>17050</v>
      </c>
      <c r="U218" s="3" t="s">
        <v>60</v>
      </c>
      <c r="V218" s="14" t="s">
        <v>6</v>
      </c>
      <c r="W218" s="14" t="s">
        <v>5072</v>
      </c>
      <c r="X218" s="14" t="s">
        <v>60</v>
      </c>
    </row>
    <row r="219" spans="1:24" ht="15" x14ac:dyDescent="0.3">
      <c r="A219" s="3">
        <v>9</v>
      </c>
      <c r="B219" s="3" t="s">
        <v>322</v>
      </c>
      <c r="C219" s="14" t="s">
        <v>26</v>
      </c>
      <c r="D219" s="14" t="s">
        <v>323</v>
      </c>
      <c r="E219" s="14" t="s">
        <v>5073</v>
      </c>
      <c r="F219" s="14" t="s">
        <v>324</v>
      </c>
      <c r="G219" s="14" t="s">
        <v>3</v>
      </c>
      <c r="H219" s="14" t="s">
        <v>325</v>
      </c>
      <c r="I219" s="14" t="s">
        <v>326</v>
      </c>
      <c r="J219" s="14" t="s">
        <v>60</v>
      </c>
      <c r="K219" s="14" t="s">
        <v>60</v>
      </c>
      <c r="L219" s="14" t="s">
        <v>60</v>
      </c>
      <c r="M219" s="14" t="s">
        <v>327</v>
      </c>
      <c r="N219" s="14" t="s">
        <v>60</v>
      </c>
      <c r="O219" s="14" t="s">
        <v>328</v>
      </c>
      <c r="P219" s="14" t="s">
        <v>5074</v>
      </c>
      <c r="Q219" s="14" t="s">
        <v>11</v>
      </c>
      <c r="R219" s="3" t="s">
        <v>4170</v>
      </c>
      <c r="S219" s="3">
        <f t="shared" si="10"/>
        <v>770</v>
      </c>
      <c r="T219" s="3">
        <f t="shared" si="11"/>
        <v>23870</v>
      </c>
      <c r="U219" s="3" t="s">
        <v>60</v>
      </c>
      <c r="V219" s="14" t="s">
        <v>6</v>
      </c>
      <c r="W219" s="14" t="s">
        <v>4287</v>
      </c>
      <c r="X219" s="14" t="s">
        <v>60</v>
      </c>
    </row>
    <row r="220" spans="1:24" ht="15" x14ac:dyDescent="0.3">
      <c r="A220" s="3">
        <v>10</v>
      </c>
      <c r="B220" s="3" t="s">
        <v>5075</v>
      </c>
      <c r="C220" s="14" t="s">
        <v>0</v>
      </c>
      <c r="D220" s="14" t="s">
        <v>359</v>
      </c>
      <c r="E220" s="14" t="s">
        <v>5076</v>
      </c>
      <c r="F220" s="14" t="s">
        <v>360</v>
      </c>
      <c r="G220" s="14" t="s">
        <v>3</v>
      </c>
      <c r="H220" s="14" t="s">
        <v>5077</v>
      </c>
      <c r="I220" s="14" t="s">
        <v>5078</v>
      </c>
      <c r="J220" s="14" t="s">
        <v>60</v>
      </c>
      <c r="K220" s="14" t="s">
        <v>60</v>
      </c>
      <c r="L220" s="14" t="s">
        <v>60</v>
      </c>
      <c r="M220" s="14" t="s">
        <v>361</v>
      </c>
      <c r="N220" s="14" t="s">
        <v>60</v>
      </c>
      <c r="O220" s="14" t="s">
        <v>179</v>
      </c>
      <c r="P220" s="14" t="s">
        <v>5079</v>
      </c>
      <c r="Q220" s="14" t="s">
        <v>185</v>
      </c>
      <c r="R220" s="3" t="s">
        <v>4170</v>
      </c>
      <c r="S220" s="3">
        <f t="shared" si="10"/>
        <v>550</v>
      </c>
      <c r="T220" s="3">
        <f t="shared" si="11"/>
        <v>17050</v>
      </c>
      <c r="U220" s="3" t="s">
        <v>60</v>
      </c>
      <c r="V220" s="14" t="s">
        <v>6</v>
      </c>
      <c r="W220" s="14" t="s">
        <v>4287</v>
      </c>
      <c r="X220" s="14" t="s">
        <v>60</v>
      </c>
    </row>
    <row r="221" spans="1:24" ht="15" x14ac:dyDescent="0.3">
      <c r="A221" s="3">
        <v>11</v>
      </c>
      <c r="B221" s="3" t="s">
        <v>5080</v>
      </c>
      <c r="C221" s="14" t="s">
        <v>0</v>
      </c>
      <c r="D221" s="14" t="s">
        <v>362</v>
      </c>
      <c r="E221" s="14" t="s">
        <v>5081</v>
      </c>
      <c r="F221" s="14" t="s">
        <v>363</v>
      </c>
      <c r="G221" s="14" t="s">
        <v>3</v>
      </c>
      <c r="H221" s="14" t="s">
        <v>364</v>
      </c>
      <c r="I221" s="14" t="s">
        <v>5082</v>
      </c>
      <c r="J221" s="14" t="s">
        <v>60</v>
      </c>
      <c r="K221" s="14" t="s">
        <v>60</v>
      </c>
      <c r="L221" s="14" t="s">
        <v>60</v>
      </c>
      <c r="M221" s="14" t="s">
        <v>365</v>
      </c>
      <c r="N221" s="14" t="s">
        <v>60</v>
      </c>
      <c r="O221" s="14" t="s">
        <v>179</v>
      </c>
      <c r="P221" s="14" t="s">
        <v>5083</v>
      </c>
      <c r="Q221" s="14" t="s">
        <v>180</v>
      </c>
      <c r="R221" s="3" t="s">
        <v>5084</v>
      </c>
      <c r="S221" s="3">
        <f t="shared" si="10"/>
        <v>550</v>
      </c>
      <c r="T221" s="3">
        <f t="shared" si="11"/>
        <v>550</v>
      </c>
      <c r="U221" s="3" t="s">
        <v>60</v>
      </c>
      <c r="V221" s="14" t="s">
        <v>6</v>
      </c>
      <c r="W221" s="14" t="s">
        <v>4287</v>
      </c>
      <c r="X221" s="14" t="s">
        <v>5085</v>
      </c>
    </row>
    <row r="222" spans="1:24" ht="15" x14ac:dyDescent="0.3">
      <c r="A222" s="3">
        <v>12</v>
      </c>
      <c r="B222" s="3" t="s">
        <v>5086</v>
      </c>
      <c r="C222" s="14" t="s">
        <v>0</v>
      </c>
      <c r="D222" s="14" t="s">
        <v>366</v>
      </c>
      <c r="E222" s="14" t="s">
        <v>5087</v>
      </c>
      <c r="F222" s="14" t="s">
        <v>367</v>
      </c>
      <c r="G222" s="14" t="s">
        <v>3</v>
      </c>
      <c r="H222" s="14" t="s">
        <v>5088</v>
      </c>
      <c r="I222" s="14" t="s">
        <v>368</v>
      </c>
      <c r="J222" s="14" t="s">
        <v>60</v>
      </c>
      <c r="K222" s="14" t="s">
        <v>60</v>
      </c>
      <c r="L222" s="14" t="s">
        <v>60</v>
      </c>
      <c r="M222" s="14" t="s">
        <v>369</v>
      </c>
      <c r="N222" s="14" t="s">
        <v>60</v>
      </c>
      <c r="O222" s="14" t="s">
        <v>370</v>
      </c>
      <c r="P222" s="14" t="s">
        <v>5089</v>
      </c>
      <c r="Q222" s="14" t="s">
        <v>349</v>
      </c>
      <c r="R222" s="3" t="s">
        <v>4170</v>
      </c>
      <c r="S222" s="3">
        <f t="shared" si="10"/>
        <v>550</v>
      </c>
      <c r="T222" s="3">
        <f t="shared" si="11"/>
        <v>17050</v>
      </c>
      <c r="U222" s="3" t="s">
        <v>60</v>
      </c>
      <c r="V222" s="14" t="s">
        <v>6</v>
      </c>
      <c r="W222" s="14" t="s">
        <v>5090</v>
      </c>
      <c r="X222" s="14" t="s">
        <v>60</v>
      </c>
    </row>
    <row r="223" spans="1:24" ht="15" x14ac:dyDescent="0.3">
      <c r="A223" s="3">
        <v>13</v>
      </c>
      <c r="B223" s="3" t="s">
        <v>5091</v>
      </c>
      <c r="C223" s="14" t="s">
        <v>0</v>
      </c>
      <c r="D223" s="14" t="s">
        <v>371</v>
      </c>
      <c r="E223" s="14" t="s">
        <v>4658</v>
      </c>
      <c r="F223" s="14" t="s">
        <v>372</v>
      </c>
      <c r="G223" s="14" t="s">
        <v>3</v>
      </c>
      <c r="H223" s="14" t="s">
        <v>5092</v>
      </c>
      <c r="I223" s="14" t="s">
        <v>373</v>
      </c>
      <c r="J223" s="14" t="s">
        <v>60</v>
      </c>
      <c r="K223" s="14" t="s">
        <v>60</v>
      </c>
      <c r="L223" s="14" t="s">
        <v>60</v>
      </c>
      <c r="M223" s="14" t="s">
        <v>60</v>
      </c>
      <c r="N223" s="14" t="s">
        <v>60</v>
      </c>
      <c r="O223" s="14" t="s">
        <v>374</v>
      </c>
      <c r="P223" s="14" t="s">
        <v>5093</v>
      </c>
      <c r="Q223" s="14" t="s">
        <v>11</v>
      </c>
      <c r="R223" s="3" t="s">
        <v>4170</v>
      </c>
      <c r="S223" s="3">
        <f t="shared" si="10"/>
        <v>550</v>
      </c>
      <c r="T223" s="3">
        <f t="shared" si="11"/>
        <v>17050</v>
      </c>
      <c r="U223" s="3" t="s">
        <v>60</v>
      </c>
      <c r="V223" s="14" t="s">
        <v>6</v>
      </c>
      <c r="W223" s="14" t="s">
        <v>4980</v>
      </c>
      <c r="X223" s="14" t="s">
        <v>60</v>
      </c>
    </row>
    <row r="224" spans="1:24" ht="15" x14ac:dyDescent="0.3">
      <c r="A224" s="3">
        <v>14</v>
      </c>
      <c r="B224" s="3" t="s">
        <v>5094</v>
      </c>
      <c r="C224" s="14" t="s">
        <v>0</v>
      </c>
      <c r="D224" s="14" t="s">
        <v>375</v>
      </c>
      <c r="E224" s="14" t="s">
        <v>5095</v>
      </c>
      <c r="F224" s="14" t="s">
        <v>376</v>
      </c>
      <c r="G224" s="14" t="s">
        <v>3</v>
      </c>
      <c r="H224" s="14" t="s">
        <v>5096</v>
      </c>
      <c r="I224" s="14" t="s">
        <v>377</v>
      </c>
      <c r="J224" s="14" t="s">
        <v>60</v>
      </c>
      <c r="K224" s="14" t="s">
        <v>60</v>
      </c>
      <c r="L224" s="14" t="s">
        <v>60</v>
      </c>
      <c r="M224" s="14" t="s">
        <v>378</v>
      </c>
      <c r="N224" s="14" t="s">
        <v>60</v>
      </c>
      <c r="O224" s="14" t="s">
        <v>60</v>
      </c>
      <c r="P224" s="14" t="s">
        <v>5097</v>
      </c>
      <c r="Q224" s="14" t="s">
        <v>11</v>
      </c>
      <c r="R224" s="3" t="s">
        <v>4170</v>
      </c>
      <c r="S224" s="3">
        <f t="shared" si="10"/>
        <v>550</v>
      </c>
      <c r="T224" s="3">
        <f t="shared" si="11"/>
        <v>17050</v>
      </c>
      <c r="U224" s="3" t="s">
        <v>60</v>
      </c>
      <c r="V224" s="14" t="s">
        <v>6</v>
      </c>
      <c r="W224" s="14" t="s">
        <v>5098</v>
      </c>
      <c r="X224" s="14" t="s">
        <v>60</v>
      </c>
    </row>
    <row r="225" spans="1:24" ht="15" x14ac:dyDescent="0.3">
      <c r="A225" s="3">
        <v>15</v>
      </c>
      <c r="B225" s="3" t="s">
        <v>5099</v>
      </c>
      <c r="C225" s="14" t="s">
        <v>0</v>
      </c>
      <c r="D225" s="14" t="s">
        <v>379</v>
      </c>
      <c r="E225" s="14" t="s">
        <v>5073</v>
      </c>
      <c r="F225" s="14" t="s">
        <v>380</v>
      </c>
      <c r="G225" s="14" t="s">
        <v>3</v>
      </c>
      <c r="H225" s="14" t="s">
        <v>5100</v>
      </c>
      <c r="I225" s="14" t="s">
        <v>381</v>
      </c>
      <c r="J225" s="14" t="s">
        <v>60</v>
      </c>
      <c r="K225" s="14" t="s">
        <v>60</v>
      </c>
      <c r="L225" s="14" t="s">
        <v>60</v>
      </c>
      <c r="M225" s="14" t="s">
        <v>382</v>
      </c>
      <c r="N225" s="14" t="s">
        <v>60</v>
      </c>
      <c r="O225" s="14" t="s">
        <v>60</v>
      </c>
      <c r="P225" s="14" t="s">
        <v>5101</v>
      </c>
      <c r="Q225" s="14" t="s">
        <v>11</v>
      </c>
      <c r="R225" s="3" t="s">
        <v>4170</v>
      </c>
      <c r="S225" s="3">
        <f t="shared" si="10"/>
        <v>550</v>
      </c>
      <c r="T225" s="3">
        <f t="shared" si="11"/>
        <v>17050</v>
      </c>
      <c r="U225" s="3" t="s">
        <v>60</v>
      </c>
      <c r="V225" s="14" t="s">
        <v>6</v>
      </c>
      <c r="W225" s="14" t="s">
        <v>5098</v>
      </c>
      <c r="X225" s="14" t="s">
        <v>60</v>
      </c>
    </row>
    <row r="226" spans="1:24" ht="15" x14ac:dyDescent="0.3">
      <c r="A226" s="3">
        <v>16</v>
      </c>
      <c r="B226" s="3" t="s">
        <v>5102</v>
      </c>
      <c r="C226" s="14" t="s">
        <v>354</v>
      </c>
      <c r="D226" s="14" t="s">
        <v>241</v>
      </c>
      <c r="E226" s="14" t="s">
        <v>4367</v>
      </c>
      <c r="F226" s="14" t="s">
        <v>242</v>
      </c>
      <c r="G226" s="14" t="s">
        <v>3</v>
      </c>
      <c r="H226" s="14" t="s">
        <v>243</v>
      </c>
      <c r="I226" s="14" t="s">
        <v>244</v>
      </c>
      <c r="J226" s="14" t="s">
        <v>60</v>
      </c>
      <c r="K226" s="14" t="s">
        <v>60</v>
      </c>
      <c r="L226" s="14" t="s">
        <v>60</v>
      </c>
      <c r="M226" s="14" t="s">
        <v>60</v>
      </c>
      <c r="N226" s="14" t="s">
        <v>60</v>
      </c>
      <c r="O226" s="14" t="s">
        <v>245</v>
      </c>
      <c r="P226" s="14" t="s">
        <v>5103</v>
      </c>
      <c r="Q226" s="14" t="s">
        <v>11</v>
      </c>
      <c r="R226" s="3" t="s">
        <v>4862</v>
      </c>
      <c r="S226" s="3">
        <f t="shared" si="10"/>
        <v>550</v>
      </c>
      <c r="T226" s="3">
        <f t="shared" si="11"/>
        <v>6050</v>
      </c>
      <c r="U226" s="3" t="s">
        <v>60</v>
      </c>
      <c r="V226" s="14" t="s">
        <v>6</v>
      </c>
      <c r="W226" s="14" t="s">
        <v>4980</v>
      </c>
      <c r="X226" s="14" t="s">
        <v>60</v>
      </c>
    </row>
    <row r="227" spans="1:24" ht="15" x14ac:dyDescent="0.3">
      <c r="A227" s="3">
        <v>17</v>
      </c>
      <c r="B227" s="3" t="s">
        <v>5104</v>
      </c>
      <c r="C227" s="14" t="s">
        <v>2079</v>
      </c>
      <c r="D227" s="14" t="s">
        <v>5105</v>
      </c>
      <c r="E227" s="14" t="s">
        <v>5106</v>
      </c>
      <c r="F227" s="14" t="s">
        <v>355</v>
      </c>
      <c r="G227" s="14" t="s">
        <v>3</v>
      </c>
      <c r="H227" s="14" t="s">
        <v>356</v>
      </c>
      <c r="I227" s="14" t="s">
        <v>357</v>
      </c>
      <c r="J227" s="14" t="s">
        <v>60</v>
      </c>
      <c r="K227" s="14" t="s">
        <v>60</v>
      </c>
      <c r="L227" s="14" t="s">
        <v>60</v>
      </c>
      <c r="M227" s="14" t="s">
        <v>358</v>
      </c>
      <c r="N227" s="14" t="s">
        <v>60</v>
      </c>
      <c r="O227" s="14" t="s">
        <v>255</v>
      </c>
      <c r="P227" s="14" t="s">
        <v>5107</v>
      </c>
      <c r="Q227" s="14" t="s">
        <v>11</v>
      </c>
      <c r="R227" s="3" t="s">
        <v>4170</v>
      </c>
      <c r="S227" s="3">
        <f t="shared" si="10"/>
        <v>640</v>
      </c>
      <c r="T227" s="3">
        <f t="shared" si="11"/>
        <v>19840</v>
      </c>
      <c r="U227" s="3" t="s">
        <v>60</v>
      </c>
      <c r="V227" s="14" t="s">
        <v>3889</v>
      </c>
      <c r="W227" s="14" t="s">
        <v>4958</v>
      </c>
      <c r="X227" s="14" t="s">
        <v>60</v>
      </c>
    </row>
    <row r="228" spans="1:24" ht="15" x14ac:dyDescent="0.3">
      <c r="A228" s="3">
        <v>18</v>
      </c>
      <c r="B228" s="3" t="s">
        <v>5108</v>
      </c>
      <c r="C228" s="14" t="s">
        <v>91</v>
      </c>
      <c r="D228" s="14" t="s">
        <v>329</v>
      </c>
      <c r="E228" s="14" t="s">
        <v>5109</v>
      </c>
      <c r="F228" s="14" t="s">
        <v>330</v>
      </c>
      <c r="G228" s="14" t="s">
        <v>3</v>
      </c>
      <c r="H228" s="14" t="s">
        <v>331</v>
      </c>
      <c r="I228" s="14" t="s">
        <v>332</v>
      </c>
      <c r="J228" s="14" t="s">
        <v>60</v>
      </c>
      <c r="K228" s="14" t="s">
        <v>60</v>
      </c>
      <c r="L228" s="14" t="s">
        <v>60</v>
      </c>
      <c r="M228" s="14" t="s">
        <v>333</v>
      </c>
      <c r="N228" s="14" t="s">
        <v>60</v>
      </c>
      <c r="O228" s="14" t="s">
        <v>261</v>
      </c>
      <c r="P228" s="14" t="s">
        <v>5110</v>
      </c>
      <c r="Q228" s="14" t="s">
        <v>185</v>
      </c>
      <c r="R228" s="3" t="s">
        <v>4170</v>
      </c>
      <c r="S228" s="3">
        <f t="shared" si="10"/>
        <v>770</v>
      </c>
      <c r="T228" s="3">
        <f t="shared" si="11"/>
        <v>23870</v>
      </c>
      <c r="U228" s="3" t="s">
        <v>60</v>
      </c>
      <c r="V228" s="14" t="s">
        <v>5111</v>
      </c>
      <c r="W228" s="14" t="s">
        <v>5112</v>
      </c>
      <c r="X228" s="14" t="s">
        <v>60</v>
      </c>
    </row>
    <row r="229" spans="1:24" ht="15" x14ac:dyDescent="0.3">
      <c r="A229" s="3">
        <v>19</v>
      </c>
      <c r="B229" s="3" t="s">
        <v>5113</v>
      </c>
      <c r="C229" s="14" t="s">
        <v>0</v>
      </c>
      <c r="D229" s="14" t="s">
        <v>318</v>
      </c>
      <c r="E229" s="14" t="s">
        <v>4440</v>
      </c>
      <c r="F229" s="14" t="s">
        <v>319</v>
      </c>
      <c r="G229" s="14" t="s">
        <v>3</v>
      </c>
      <c r="H229" s="14" t="s">
        <v>5114</v>
      </c>
      <c r="I229" s="14" t="s">
        <v>320</v>
      </c>
      <c r="J229" s="14" t="s">
        <v>60</v>
      </c>
      <c r="K229" s="14" t="s">
        <v>60</v>
      </c>
      <c r="L229" s="14" t="s">
        <v>60</v>
      </c>
      <c r="M229" s="14" t="s">
        <v>321</v>
      </c>
      <c r="N229" s="14" t="s">
        <v>60</v>
      </c>
      <c r="O229" s="14" t="s">
        <v>114</v>
      </c>
      <c r="P229" s="14" t="s">
        <v>5115</v>
      </c>
      <c r="Q229" s="14" t="s">
        <v>11</v>
      </c>
      <c r="R229" s="3" t="s">
        <v>4170</v>
      </c>
      <c r="S229" s="3">
        <f t="shared" si="10"/>
        <v>550</v>
      </c>
      <c r="T229" s="3">
        <f t="shared" si="11"/>
        <v>17050</v>
      </c>
      <c r="U229" s="3" t="s">
        <v>60</v>
      </c>
      <c r="V229" s="14" t="s">
        <v>6</v>
      </c>
      <c r="W229" s="14" t="s">
        <v>4980</v>
      </c>
      <c r="X229" s="14" t="s">
        <v>60</v>
      </c>
    </row>
    <row r="230" spans="1:24" ht="15.6" x14ac:dyDescent="0.3">
      <c r="A230" s="6">
        <v>20</v>
      </c>
      <c r="B230" s="13">
        <v>8172</v>
      </c>
      <c r="C230" s="14" t="s">
        <v>0</v>
      </c>
      <c r="D230" s="15" t="s">
        <v>383</v>
      </c>
      <c r="E230" s="12">
        <v>31810</v>
      </c>
      <c r="F230" s="5" t="s">
        <v>384</v>
      </c>
      <c r="G230" s="5" t="s">
        <v>3</v>
      </c>
      <c r="H230" s="5" t="s">
        <v>385</v>
      </c>
      <c r="I230" s="8" t="s">
        <v>386</v>
      </c>
      <c r="J230" s="5"/>
      <c r="K230" s="5"/>
      <c r="L230" s="5"/>
      <c r="M230" s="16" t="s">
        <v>387</v>
      </c>
      <c r="N230" s="4"/>
      <c r="O230" s="17" t="s">
        <v>388</v>
      </c>
      <c r="P230" s="6">
        <v>44888657333</v>
      </c>
      <c r="Q230" s="18" t="s">
        <v>389</v>
      </c>
      <c r="R230" s="3" t="s">
        <v>4170</v>
      </c>
      <c r="S230" s="3">
        <f t="shared" si="10"/>
        <v>550</v>
      </c>
      <c r="T230" s="3">
        <f t="shared" si="11"/>
        <v>17050</v>
      </c>
      <c r="U230" s="7">
        <f>SUM(T211:T230)</f>
        <v>346360</v>
      </c>
      <c r="V230" s="9" t="s">
        <v>6</v>
      </c>
      <c r="W230" s="11">
        <v>46121</v>
      </c>
      <c r="X230" s="11"/>
    </row>
    <row r="231" spans="1:24" ht="15" x14ac:dyDescent="0.3">
      <c r="A231" s="3">
        <v>21</v>
      </c>
      <c r="B231" s="3" t="s">
        <v>5116</v>
      </c>
      <c r="C231" s="14" t="s">
        <v>146</v>
      </c>
      <c r="D231" s="14" t="s">
        <v>3527</v>
      </c>
      <c r="E231" s="14" t="s">
        <v>5117</v>
      </c>
      <c r="F231" s="14" t="s">
        <v>3529</v>
      </c>
      <c r="G231" s="14" t="s">
        <v>3</v>
      </c>
      <c r="H231" s="14" t="s">
        <v>3647</v>
      </c>
      <c r="I231" s="14" t="s">
        <v>3648</v>
      </c>
      <c r="J231" s="14" t="s">
        <v>60</v>
      </c>
      <c r="K231" s="14" t="s">
        <v>60</v>
      </c>
      <c r="L231" s="14" t="s">
        <v>60</v>
      </c>
      <c r="M231" s="14" t="s">
        <v>3649</v>
      </c>
      <c r="N231" s="14" t="s">
        <v>60</v>
      </c>
      <c r="O231" s="14" t="s">
        <v>60</v>
      </c>
      <c r="P231" s="14" t="s">
        <v>5118</v>
      </c>
      <c r="Q231" s="14" t="s">
        <v>3531</v>
      </c>
      <c r="R231" s="3" t="s">
        <v>4170</v>
      </c>
      <c r="S231" s="3">
        <f t="shared" si="10"/>
        <v>570</v>
      </c>
      <c r="T231" s="3">
        <f t="shared" si="11"/>
        <v>17670</v>
      </c>
      <c r="U231" s="3" t="s">
        <v>60</v>
      </c>
      <c r="V231" s="14" t="s">
        <v>6</v>
      </c>
      <c r="W231" s="14" t="s">
        <v>4444</v>
      </c>
      <c r="X231" s="14" t="s">
        <v>60</v>
      </c>
    </row>
    <row r="232" spans="1:24" ht="15" x14ac:dyDescent="0.3">
      <c r="A232" s="3">
        <v>22</v>
      </c>
      <c r="B232" s="3" t="s">
        <v>5119</v>
      </c>
      <c r="C232" s="14" t="s">
        <v>0</v>
      </c>
      <c r="D232" s="14" t="s">
        <v>3528</v>
      </c>
      <c r="E232" s="14" t="s">
        <v>4195</v>
      </c>
      <c r="F232" s="14" t="s">
        <v>3530</v>
      </c>
      <c r="G232" s="14" t="s">
        <v>3</v>
      </c>
      <c r="H232" s="14" t="s">
        <v>5120</v>
      </c>
      <c r="I232" s="14" t="s">
        <v>3650</v>
      </c>
      <c r="J232" s="14" t="s">
        <v>60</v>
      </c>
      <c r="K232" s="14" t="s">
        <v>60</v>
      </c>
      <c r="L232" s="14" t="s">
        <v>60</v>
      </c>
      <c r="M232" s="14" t="s">
        <v>3651</v>
      </c>
      <c r="N232" s="14" t="s">
        <v>60</v>
      </c>
      <c r="O232" s="14" t="s">
        <v>60</v>
      </c>
      <c r="P232" s="14" t="s">
        <v>5121</v>
      </c>
      <c r="Q232" s="14" t="s">
        <v>11</v>
      </c>
      <c r="R232" s="3" t="s">
        <v>4170</v>
      </c>
      <c r="S232" s="3">
        <f t="shared" si="10"/>
        <v>550</v>
      </c>
      <c r="T232" s="3">
        <f t="shared" si="11"/>
        <v>17050</v>
      </c>
      <c r="U232" s="3" t="s">
        <v>60</v>
      </c>
      <c r="V232" s="14" t="s">
        <v>6</v>
      </c>
      <c r="W232" s="14" t="s">
        <v>5122</v>
      </c>
      <c r="X232" s="14" t="s">
        <v>60</v>
      </c>
    </row>
    <row r="233" spans="1:24" ht="15" x14ac:dyDescent="0.3">
      <c r="A233" s="3">
        <v>23</v>
      </c>
      <c r="B233" s="3" t="s">
        <v>5123</v>
      </c>
      <c r="C233" s="14" t="s">
        <v>0</v>
      </c>
      <c r="D233" s="14" t="s">
        <v>815</v>
      </c>
      <c r="E233" s="14" t="s">
        <v>4778</v>
      </c>
      <c r="F233" s="14" t="s">
        <v>816</v>
      </c>
      <c r="G233" s="14" t="s">
        <v>3</v>
      </c>
      <c r="H233" s="14" t="s">
        <v>5124</v>
      </c>
      <c r="I233" s="14" t="s">
        <v>817</v>
      </c>
      <c r="J233" s="14" t="s">
        <v>60</v>
      </c>
      <c r="K233" s="14" t="s">
        <v>60</v>
      </c>
      <c r="L233" s="14" t="s">
        <v>60</v>
      </c>
      <c r="M233" s="14" t="s">
        <v>818</v>
      </c>
      <c r="N233" s="14" t="s">
        <v>60</v>
      </c>
      <c r="O233" s="14" t="s">
        <v>25</v>
      </c>
      <c r="P233" s="14" t="s">
        <v>5125</v>
      </c>
      <c r="Q233" s="14" t="s">
        <v>11</v>
      </c>
      <c r="R233" s="3" t="s">
        <v>4170</v>
      </c>
      <c r="S233" s="3">
        <f t="shared" si="10"/>
        <v>550</v>
      </c>
      <c r="T233" s="3">
        <f t="shared" si="11"/>
        <v>17050</v>
      </c>
      <c r="U233" s="3" t="s">
        <v>60</v>
      </c>
      <c r="V233" s="14" t="s">
        <v>6</v>
      </c>
      <c r="W233" s="14" t="s">
        <v>4999</v>
      </c>
      <c r="X233" s="14" t="s">
        <v>60</v>
      </c>
    </row>
    <row r="234" spans="1:24" ht="15" x14ac:dyDescent="0.3">
      <c r="A234" s="3">
        <v>24</v>
      </c>
      <c r="B234" s="3" t="s">
        <v>5126</v>
      </c>
      <c r="C234" s="14" t="s">
        <v>0</v>
      </c>
      <c r="D234" s="14" t="s">
        <v>4076</v>
      </c>
      <c r="E234" s="14" t="s">
        <v>4304</v>
      </c>
      <c r="F234" s="14" t="s">
        <v>397</v>
      </c>
      <c r="G234" s="14" t="s">
        <v>3</v>
      </c>
      <c r="H234" s="14" t="s">
        <v>4077</v>
      </c>
      <c r="I234" s="14" t="s">
        <v>4095</v>
      </c>
      <c r="J234" s="14" t="s">
        <v>60</v>
      </c>
      <c r="K234" s="14" t="s">
        <v>60</v>
      </c>
      <c r="L234" s="14" t="s">
        <v>60</v>
      </c>
      <c r="M234" s="14" t="s">
        <v>5127</v>
      </c>
      <c r="N234" s="14" t="s">
        <v>60</v>
      </c>
      <c r="O234" s="14" t="s">
        <v>3910</v>
      </c>
      <c r="P234" s="14" t="s">
        <v>5128</v>
      </c>
      <c r="Q234" s="14" t="s">
        <v>11</v>
      </c>
      <c r="R234" s="3" t="s">
        <v>4170</v>
      </c>
      <c r="S234" s="3">
        <f t="shared" si="10"/>
        <v>550</v>
      </c>
      <c r="T234" s="3">
        <f t="shared" si="11"/>
        <v>17050</v>
      </c>
      <c r="U234" s="3" t="s">
        <v>60</v>
      </c>
      <c r="V234" s="14" t="s">
        <v>6</v>
      </c>
      <c r="W234" s="14" t="s">
        <v>5129</v>
      </c>
      <c r="X234" s="14" t="s">
        <v>60</v>
      </c>
    </row>
    <row r="235" spans="1:24" ht="15" x14ac:dyDescent="0.3">
      <c r="A235" s="3">
        <v>25</v>
      </c>
      <c r="B235" s="3" t="s">
        <v>5130</v>
      </c>
      <c r="C235" s="14" t="s">
        <v>0</v>
      </c>
      <c r="D235" s="14" t="s">
        <v>4078</v>
      </c>
      <c r="E235" s="14" t="s">
        <v>4658</v>
      </c>
      <c r="F235" s="14" t="s">
        <v>4079</v>
      </c>
      <c r="G235" s="14" t="s">
        <v>3</v>
      </c>
      <c r="H235" s="14" t="s">
        <v>4080</v>
      </c>
      <c r="I235" s="14" t="s">
        <v>4096</v>
      </c>
      <c r="J235" s="14" t="s">
        <v>60</v>
      </c>
      <c r="K235" s="14" t="s">
        <v>60</v>
      </c>
      <c r="L235" s="14" t="s">
        <v>60</v>
      </c>
      <c r="M235" s="14" t="s">
        <v>5131</v>
      </c>
      <c r="N235" s="14" t="s">
        <v>60</v>
      </c>
      <c r="O235" s="14" t="s">
        <v>3910</v>
      </c>
      <c r="P235" s="14" t="s">
        <v>5132</v>
      </c>
      <c r="Q235" s="14" t="s">
        <v>1120</v>
      </c>
      <c r="R235" s="3" t="s">
        <v>4170</v>
      </c>
      <c r="S235" s="3">
        <f t="shared" si="10"/>
        <v>550</v>
      </c>
      <c r="T235" s="3">
        <f t="shared" si="11"/>
        <v>17050</v>
      </c>
      <c r="U235" s="3" t="s">
        <v>60</v>
      </c>
      <c r="V235" s="14" t="s">
        <v>6</v>
      </c>
      <c r="W235" s="14" t="s">
        <v>5129</v>
      </c>
      <c r="X235" s="14" t="s">
        <v>60</v>
      </c>
    </row>
    <row r="236" spans="1:24" ht="15" x14ac:dyDescent="0.3">
      <c r="A236" s="3">
        <v>26</v>
      </c>
      <c r="B236" s="3" t="s">
        <v>5133</v>
      </c>
      <c r="C236" s="14" t="s">
        <v>0</v>
      </c>
      <c r="D236" s="14" t="s">
        <v>4081</v>
      </c>
      <c r="E236" s="14" t="s">
        <v>5134</v>
      </c>
      <c r="F236" s="14" t="s">
        <v>4082</v>
      </c>
      <c r="G236" s="14" t="s">
        <v>3</v>
      </c>
      <c r="H236" s="14" t="s">
        <v>4083</v>
      </c>
      <c r="I236" s="14" t="s">
        <v>4097</v>
      </c>
      <c r="J236" s="14" t="s">
        <v>60</v>
      </c>
      <c r="K236" s="14" t="s">
        <v>60</v>
      </c>
      <c r="L236" s="14" t="s">
        <v>60</v>
      </c>
      <c r="M236" s="14" t="s">
        <v>5135</v>
      </c>
      <c r="N236" s="14" t="s">
        <v>60</v>
      </c>
      <c r="O236" s="14" t="s">
        <v>3910</v>
      </c>
      <c r="P236" s="14" t="s">
        <v>5136</v>
      </c>
      <c r="Q236" s="14" t="s">
        <v>11</v>
      </c>
      <c r="R236" s="3" t="s">
        <v>4170</v>
      </c>
      <c r="S236" s="3">
        <f t="shared" si="10"/>
        <v>550</v>
      </c>
      <c r="T236" s="3">
        <f t="shared" si="11"/>
        <v>17050</v>
      </c>
      <c r="U236" s="3" t="s">
        <v>60</v>
      </c>
      <c r="V236" s="14" t="s">
        <v>6</v>
      </c>
      <c r="W236" s="14" t="s">
        <v>5129</v>
      </c>
      <c r="X236" s="14" t="s">
        <v>60</v>
      </c>
    </row>
    <row r="237" spans="1:24" ht="15" x14ac:dyDescent="0.3">
      <c r="A237" s="3">
        <v>27</v>
      </c>
      <c r="B237" s="3" t="s">
        <v>5137</v>
      </c>
      <c r="C237" s="14" t="s">
        <v>0</v>
      </c>
      <c r="D237" s="14" t="s">
        <v>4084</v>
      </c>
      <c r="E237" s="14" t="s">
        <v>4778</v>
      </c>
      <c r="F237" s="14" t="s">
        <v>4085</v>
      </c>
      <c r="G237" s="14" t="s">
        <v>3</v>
      </c>
      <c r="H237" s="14" t="s">
        <v>4086</v>
      </c>
      <c r="I237" s="14" t="s">
        <v>4098</v>
      </c>
      <c r="J237" s="14" t="s">
        <v>60</v>
      </c>
      <c r="K237" s="14" t="s">
        <v>60</v>
      </c>
      <c r="L237" s="14" t="s">
        <v>60</v>
      </c>
      <c r="M237" s="14" t="s">
        <v>5138</v>
      </c>
      <c r="N237" s="14" t="s">
        <v>60</v>
      </c>
      <c r="O237" s="14" t="s">
        <v>3910</v>
      </c>
      <c r="P237" s="14" t="s">
        <v>5139</v>
      </c>
      <c r="Q237" s="14" t="s">
        <v>11</v>
      </c>
      <c r="R237" s="3" t="s">
        <v>4170</v>
      </c>
      <c r="S237" s="3">
        <f t="shared" si="10"/>
        <v>550</v>
      </c>
      <c r="T237" s="3">
        <f t="shared" si="11"/>
        <v>17050</v>
      </c>
      <c r="U237" s="3" t="s">
        <v>60</v>
      </c>
      <c r="V237" s="14" t="s">
        <v>6</v>
      </c>
      <c r="W237" s="14" t="s">
        <v>5129</v>
      </c>
      <c r="X237" s="14" t="s">
        <v>60</v>
      </c>
    </row>
    <row r="238" spans="1:24" ht="15" x14ac:dyDescent="0.3">
      <c r="A238" s="3">
        <v>28</v>
      </c>
      <c r="B238" s="3" t="s">
        <v>5140</v>
      </c>
      <c r="C238" s="14" t="s">
        <v>0</v>
      </c>
      <c r="D238" s="14" t="s">
        <v>2545</v>
      </c>
      <c r="E238" s="14" t="s">
        <v>4308</v>
      </c>
      <c r="F238" s="14" t="s">
        <v>693</v>
      </c>
      <c r="G238" s="14" t="s">
        <v>3</v>
      </c>
      <c r="H238" s="14" t="s">
        <v>4087</v>
      </c>
      <c r="I238" s="14" t="s">
        <v>2546</v>
      </c>
      <c r="J238" s="14" t="s">
        <v>60</v>
      </c>
      <c r="K238" s="14" t="s">
        <v>60</v>
      </c>
      <c r="L238" s="14" t="s">
        <v>60</v>
      </c>
      <c r="M238" s="14" t="s">
        <v>5141</v>
      </c>
      <c r="N238" s="14" t="s">
        <v>60</v>
      </c>
      <c r="O238" s="14" t="s">
        <v>3910</v>
      </c>
      <c r="P238" s="14" t="s">
        <v>5142</v>
      </c>
      <c r="Q238" s="14" t="s">
        <v>11</v>
      </c>
      <c r="R238" s="3" t="s">
        <v>4170</v>
      </c>
      <c r="S238" s="3">
        <f t="shared" si="10"/>
        <v>550</v>
      </c>
      <c r="T238" s="3">
        <f t="shared" si="11"/>
        <v>17050</v>
      </c>
      <c r="U238" s="3" t="s">
        <v>60</v>
      </c>
      <c r="V238" s="14" t="s">
        <v>6</v>
      </c>
      <c r="W238" s="14" t="s">
        <v>5143</v>
      </c>
      <c r="X238" s="14" t="s">
        <v>60</v>
      </c>
    </row>
    <row r="239" spans="1:24" ht="15" x14ac:dyDescent="0.3">
      <c r="A239" s="3">
        <v>29</v>
      </c>
      <c r="B239" s="3" t="s">
        <v>5144</v>
      </c>
      <c r="C239" s="14" t="s">
        <v>0</v>
      </c>
      <c r="D239" s="14" t="s">
        <v>4088</v>
      </c>
      <c r="E239" s="14" t="s">
        <v>5134</v>
      </c>
      <c r="F239" s="14" t="s">
        <v>4089</v>
      </c>
      <c r="G239" s="14" t="s">
        <v>3</v>
      </c>
      <c r="H239" s="14" t="s">
        <v>4090</v>
      </c>
      <c r="I239" s="14" t="s">
        <v>4099</v>
      </c>
      <c r="J239" s="14" t="s">
        <v>60</v>
      </c>
      <c r="K239" s="14" t="s">
        <v>60</v>
      </c>
      <c r="L239" s="14" t="s">
        <v>60</v>
      </c>
      <c r="M239" s="14" t="s">
        <v>5145</v>
      </c>
      <c r="N239" s="14" t="s">
        <v>60</v>
      </c>
      <c r="O239" s="14" t="s">
        <v>3910</v>
      </c>
      <c r="P239" s="14" t="s">
        <v>5146</v>
      </c>
      <c r="Q239" s="14" t="s">
        <v>4091</v>
      </c>
      <c r="R239" s="3" t="s">
        <v>4443</v>
      </c>
      <c r="S239" s="3">
        <f t="shared" si="10"/>
        <v>550</v>
      </c>
      <c r="T239" s="3">
        <f t="shared" si="11"/>
        <v>11550</v>
      </c>
      <c r="U239" s="3" t="s">
        <v>60</v>
      </c>
      <c r="V239" s="14" t="s">
        <v>6</v>
      </c>
      <c r="W239" s="14" t="s">
        <v>5143</v>
      </c>
      <c r="X239" s="14" t="s">
        <v>60</v>
      </c>
    </row>
    <row r="240" spans="1:24" ht="15" x14ac:dyDescent="0.3">
      <c r="A240" s="3">
        <v>30</v>
      </c>
      <c r="B240" s="3" t="s">
        <v>5147</v>
      </c>
      <c r="C240" s="14" t="s">
        <v>0</v>
      </c>
      <c r="D240" s="14" t="s">
        <v>4092</v>
      </c>
      <c r="E240" s="14" t="s">
        <v>5148</v>
      </c>
      <c r="F240" s="14" t="s">
        <v>4093</v>
      </c>
      <c r="G240" s="14" t="s">
        <v>3</v>
      </c>
      <c r="H240" s="14" t="s">
        <v>4094</v>
      </c>
      <c r="I240" s="14" t="s">
        <v>4100</v>
      </c>
      <c r="J240" s="14" t="s">
        <v>60</v>
      </c>
      <c r="K240" s="14" t="s">
        <v>60</v>
      </c>
      <c r="L240" s="14" t="s">
        <v>60</v>
      </c>
      <c r="M240" s="14" t="s">
        <v>5149</v>
      </c>
      <c r="N240" s="14" t="s">
        <v>60</v>
      </c>
      <c r="O240" s="14" t="s">
        <v>3910</v>
      </c>
      <c r="P240" s="14" t="s">
        <v>5150</v>
      </c>
      <c r="Q240" s="14" t="s">
        <v>4091</v>
      </c>
      <c r="R240" s="3" t="s">
        <v>4170</v>
      </c>
      <c r="S240" s="3">
        <f t="shared" si="10"/>
        <v>550</v>
      </c>
      <c r="T240" s="3">
        <f t="shared" si="11"/>
        <v>17050</v>
      </c>
      <c r="U240" s="3" t="s">
        <v>60</v>
      </c>
      <c r="V240" s="14" t="s">
        <v>6</v>
      </c>
      <c r="W240" s="14" t="s">
        <v>5143</v>
      </c>
      <c r="X240" s="14" t="s">
        <v>60</v>
      </c>
    </row>
    <row r="241" spans="1:24" ht="15" x14ac:dyDescent="0.3">
      <c r="A241" s="28">
        <v>31</v>
      </c>
      <c r="B241" s="28" t="s">
        <v>5151</v>
      </c>
      <c r="C241" s="29" t="s">
        <v>0</v>
      </c>
      <c r="D241" s="29" t="s">
        <v>4050</v>
      </c>
      <c r="E241" s="29" t="s">
        <v>5008</v>
      </c>
      <c r="F241" s="29" t="s">
        <v>315</v>
      </c>
      <c r="G241" s="29" t="s">
        <v>3</v>
      </c>
      <c r="H241" s="29" t="s">
        <v>4051</v>
      </c>
      <c r="I241" s="29" t="s">
        <v>4062</v>
      </c>
      <c r="J241" s="29" t="s">
        <v>60</v>
      </c>
      <c r="K241" s="29" t="s">
        <v>60</v>
      </c>
      <c r="L241" s="29" t="s">
        <v>60</v>
      </c>
      <c r="M241" s="29" t="s">
        <v>4063</v>
      </c>
      <c r="N241" s="29" t="s">
        <v>60</v>
      </c>
      <c r="O241" s="29" t="s">
        <v>3910</v>
      </c>
      <c r="P241" s="29">
        <v>34963869542</v>
      </c>
      <c r="Q241" s="29" t="s">
        <v>1120</v>
      </c>
      <c r="R241" s="28" t="s">
        <v>4170</v>
      </c>
      <c r="S241" s="28">
        <f t="shared" si="10"/>
        <v>550</v>
      </c>
      <c r="T241" s="28">
        <f t="shared" si="11"/>
        <v>17050</v>
      </c>
      <c r="U241" s="28" t="s">
        <v>60</v>
      </c>
      <c r="V241" s="29" t="s">
        <v>6</v>
      </c>
      <c r="W241" s="29" t="s">
        <v>5152</v>
      </c>
      <c r="X241" s="29" t="s">
        <v>60</v>
      </c>
    </row>
    <row r="242" spans="1:24" ht="15" x14ac:dyDescent="0.3">
      <c r="A242" s="3">
        <v>32</v>
      </c>
      <c r="B242" s="3" t="s">
        <v>5153</v>
      </c>
      <c r="C242" s="14" t="s">
        <v>14</v>
      </c>
      <c r="D242" s="14" t="s">
        <v>4052</v>
      </c>
      <c r="E242" s="14" t="s">
        <v>5154</v>
      </c>
      <c r="F242" s="14" t="s">
        <v>4068</v>
      </c>
      <c r="G242" s="14" t="s">
        <v>3</v>
      </c>
      <c r="H242" s="14" t="s">
        <v>4069</v>
      </c>
      <c r="I242" s="14" t="s">
        <v>4070</v>
      </c>
      <c r="J242" s="14" t="s">
        <v>60</v>
      </c>
      <c r="K242" s="14" t="s">
        <v>60</v>
      </c>
      <c r="L242" s="14" t="s">
        <v>60</v>
      </c>
      <c r="M242" s="14" t="s">
        <v>4064</v>
      </c>
      <c r="N242" s="14" t="s">
        <v>60</v>
      </c>
      <c r="O242" s="14" t="s">
        <v>3910</v>
      </c>
      <c r="P242" s="14" t="s">
        <v>5155</v>
      </c>
      <c r="Q242" s="14" t="s">
        <v>11</v>
      </c>
      <c r="R242" s="3" t="s">
        <v>4170</v>
      </c>
      <c r="S242" s="3">
        <f t="shared" si="10"/>
        <v>640</v>
      </c>
      <c r="T242" s="3">
        <f t="shared" si="11"/>
        <v>19840</v>
      </c>
      <c r="U242" s="3" t="s">
        <v>60</v>
      </c>
      <c r="V242" s="14" t="s">
        <v>6</v>
      </c>
      <c r="W242" s="14" t="s">
        <v>5152</v>
      </c>
      <c r="X242" s="14" t="s">
        <v>60</v>
      </c>
    </row>
    <row r="243" spans="1:24" ht="15" x14ac:dyDescent="0.3">
      <c r="A243" s="3">
        <v>33</v>
      </c>
      <c r="B243" s="3" t="s">
        <v>5156</v>
      </c>
      <c r="C243" s="14" t="s">
        <v>0</v>
      </c>
      <c r="D243" s="14" t="s">
        <v>4053</v>
      </c>
      <c r="E243" s="14" t="s">
        <v>4195</v>
      </c>
      <c r="F243" s="14" t="s">
        <v>4054</v>
      </c>
      <c r="G243" s="14" t="s">
        <v>3</v>
      </c>
      <c r="H243" s="14" t="s">
        <v>4055</v>
      </c>
      <c r="I243" s="14" t="s">
        <v>4071</v>
      </c>
      <c r="J243" s="14" t="s">
        <v>60</v>
      </c>
      <c r="K243" s="14" t="s">
        <v>60</v>
      </c>
      <c r="L243" s="14" t="s">
        <v>60</v>
      </c>
      <c r="M243" s="14" t="s">
        <v>4065</v>
      </c>
      <c r="N243" s="14" t="s">
        <v>60</v>
      </c>
      <c r="O243" s="14" t="s">
        <v>3910</v>
      </c>
      <c r="P243" s="14" t="s">
        <v>5157</v>
      </c>
      <c r="Q243" s="14" t="s">
        <v>389</v>
      </c>
      <c r="R243" s="3" t="s">
        <v>4170</v>
      </c>
      <c r="S243" s="3">
        <f t="shared" si="10"/>
        <v>550</v>
      </c>
      <c r="T243" s="3">
        <f t="shared" si="11"/>
        <v>17050</v>
      </c>
      <c r="U243" s="3" t="s">
        <v>60</v>
      </c>
      <c r="V243" s="14" t="s">
        <v>6</v>
      </c>
      <c r="W243" s="14" t="s">
        <v>5152</v>
      </c>
      <c r="X243" s="14" t="s">
        <v>60</v>
      </c>
    </row>
    <row r="244" spans="1:24" ht="15" x14ac:dyDescent="0.3">
      <c r="A244" s="3">
        <v>34</v>
      </c>
      <c r="B244" s="3" t="s">
        <v>5158</v>
      </c>
      <c r="C244" s="14" t="s">
        <v>0</v>
      </c>
      <c r="D244" s="14" t="s">
        <v>4059</v>
      </c>
      <c r="E244" s="14" t="s">
        <v>5159</v>
      </c>
      <c r="F244" s="14" t="s">
        <v>4060</v>
      </c>
      <c r="G244" s="14" t="s">
        <v>3</v>
      </c>
      <c r="H244" s="14" t="s">
        <v>4061</v>
      </c>
      <c r="I244" s="14" t="s">
        <v>4075</v>
      </c>
      <c r="J244" s="14" t="s">
        <v>60</v>
      </c>
      <c r="K244" s="14" t="s">
        <v>60</v>
      </c>
      <c r="L244" s="14" t="s">
        <v>60</v>
      </c>
      <c r="M244" s="14" t="s">
        <v>4067</v>
      </c>
      <c r="N244" s="14" t="s">
        <v>60</v>
      </c>
      <c r="O244" s="14" t="s">
        <v>3910</v>
      </c>
      <c r="P244" s="14" t="s">
        <v>5160</v>
      </c>
      <c r="Q244" s="14" t="s">
        <v>240</v>
      </c>
      <c r="R244" s="3" t="s">
        <v>4170</v>
      </c>
      <c r="S244" s="3">
        <f t="shared" si="10"/>
        <v>550</v>
      </c>
      <c r="T244" s="3">
        <f t="shared" si="11"/>
        <v>17050</v>
      </c>
      <c r="U244" s="3" t="s">
        <v>60</v>
      </c>
      <c r="V244" s="14" t="s">
        <v>6</v>
      </c>
      <c r="W244" s="14" t="s">
        <v>5161</v>
      </c>
      <c r="X244" s="14" t="s">
        <v>60</v>
      </c>
    </row>
    <row r="245" spans="1:24" ht="15.6" x14ac:dyDescent="0.3">
      <c r="A245" s="3">
        <v>35</v>
      </c>
      <c r="B245" s="25" t="s">
        <v>5162</v>
      </c>
      <c r="C245" s="14" t="s">
        <v>0</v>
      </c>
      <c r="D245" s="14" t="s">
        <v>5163</v>
      </c>
      <c r="E245" s="14" t="s">
        <v>5164</v>
      </c>
      <c r="F245" s="14" t="s">
        <v>5165</v>
      </c>
      <c r="G245" s="14" t="s">
        <v>3</v>
      </c>
      <c r="H245" s="14" t="s">
        <v>5166</v>
      </c>
      <c r="I245" s="14" t="s">
        <v>5167</v>
      </c>
      <c r="J245" s="14" t="s">
        <v>60</v>
      </c>
      <c r="K245" s="14" t="s">
        <v>60</v>
      </c>
      <c r="L245" s="14" t="s">
        <v>60</v>
      </c>
      <c r="M245" s="14" t="s">
        <v>5168</v>
      </c>
      <c r="N245" s="14" t="s">
        <v>60</v>
      </c>
      <c r="O245" s="14" t="s">
        <v>60</v>
      </c>
      <c r="P245" s="14" t="s">
        <v>5169</v>
      </c>
      <c r="Q245" s="14" t="s">
        <v>11</v>
      </c>
      <c r="R245" s="3" t="s">
        <v>4381</v>
      </c>
      <c r="S245" s="3">
        <f t="shared" si="10"/>
        <v>550</v>
      </c>
      <c r="T245" s="3">
        <f t="shared" si="11"/>
        <v>15400</v>
      </c>
      <c r="U245" s="3" t="s">
        <v>5170</v>
      </c>
      <c r="V245" s="14" t="s">
        <v>6</v>
      </c>
      <c r="W245" s="14" t="s">
        <v>5171</v>
      </c>
      <c r="X245" s="14" t="s">
        <v>60</v>
      </c>
    </row>
    <row r="246" spans="1:24" ht="15.6" x14ac:dyDescent="0.3">
      <c r="A246" s="26" t="s">
        <v>60</v>
      </c>
      <c r="B246" s="26" t="s">
        <v>60</v>
      </c>
      <c r="C246" s="27" t="s">
        <v>60</v>
      </c>
      <c r="D246" s="27" t="s">
        <v>60</v>
      </c>
      <c r="E246" s="27" t="s">
        <v>60</v>
      </c>
      <c r="F246" s="27" t="s">
        <v>60</v>
      </c>
      <c r="G246" s="27" t="s">
        <v>60</v>
      </c>
      <c r="H246" s="27" t="s">
        <v>60</v>
      </c>
      <c r="I246" s="27" t="s">
        <v>60</v>
      </c>
      <c r="J246" s="27" t="s">
        <v>60</v>
      </c>
      <c r="K246" s="27" t="s">
        <v>60</v>
      </c>
      <c r="L246" s="27" t="s">
        <v>60</v>
      </c>
      <c r="M246" s="27" t="s">
        <v>60</v>
      </c>
      <c r="N246" s="27" t="s">
        <v>60</v>
      </c>
      <c r="O246" s="27" t="s">
        <v>60</v>
      </c>
      <c r="P246" s="27" t="s">
        <v>60</v>
      </c>
      <c r="Q246" s="27" t="s">
        <v>60</v>
      </c>
      <c r="R246" s="35" t="s">
        <v>2009</v>
      </c>
      <c r="S246" s="35" t="s">
        <v>60</v>
      </c>
      <c r="T246" s="26">
        <f>SUM(T210:T245)</f>
        <v>598370</v>
      </c>
      <c r="U246" s="26" t="s">
        <v>5172</v>
      </c>
      <c r="V246" s="27" t="s">
        <v>60</v>
      </c>
      <c r="W246" s="27" t="s">
        <v>60</v>
      </c>
      <c r="X246" s="27" t="s">
        <v>60</v>
      </c>
    </row>
    <row r="247" spans="1:24" ht="15.6" x14ac:dyDescent="0.3">
      <c r="A247" s="34" t="s">
        <v>5173</v>
      </c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 spans="1:24" ht="140.4" x14ac:dyDescent="0.3">
      <c r="A248" s="23" t="s">
        <v>42</v>
      </c>
      <c r="B248" s="23" t="s">
        <v>43</v>
      </c>
      <c r="C248" s="24" t="s">
        <v>44</v>
      </c>
      <c r="D248" s="24" t="s">
        <v>4154</v>
      </c>
      <c r="E248" s="24" t="s">
        <v>4155</v>
      </c>
      <c r="F248" s="24" t="s">
        <v>4156</v>
      </c>
      <c r="G248" s="24" t="s">
        <v>45</v>
      </c>
      <c r="H248" s="24" t="s">
        <v>4157</v>
      </c>
      <c r="I248" s="24" t="s">
        <v>46</v>
      </c>
      <c r="J248" s="24" t="s">
        <v>4158</v>
      </c>
      <c r="K248" s="24" t="s">
        <v>4159</v>
      </c>
      <c r="L248" s="24" t="s">
        <v>4160</v>
      </c>
      <c r="M248" s="24" t="s">
        <v>4161</v>
      </c>
      <c r="N248" s="24" t="s">
        <v>47</v>
      </c>
      <c r="O248" s="24" t="s">
        <v>48</v>
      </c>
      <c r="P248" s="24" t="s">
        <v>49</v>
      </c>
      <c r="Q248" s="24" t="s">
        <v>50</v>
      </c>
      <c r="R248" s="23" t="s">
        <v>4162</v>
      </c>
      <c r="S248" s="23" t="s">
        <v>4163</v>
      </c>
      <c r="T248" s="23" t="s">
        <v>4164</v>
      </c>
      <c r="U248" s="23" t="s">
        <v>4165</v>
      </c>
      <c r="V248" s="24" t="s">
        <v>51</v>
      </c>
      <c r="W248" s="24" t="s">
        <v>52</v>
      </c>
      <c r="X248" s="24" t="s">
        <v>53</v>
      </c>
    </row>
    <row r="249" spans="1:24" ht="15" x14ac:dyDescent="0.3">
      <c r="A249" s="3">
        <v>1</v>
      </c>
      <c r="B249" s="3" t="s">
        <v>5174</v>
      </c>
      <c r="C249" s="14" t="s">
        <v>128</v>
      </c>
      <c r="D249" s="14" t="s">
        <v>402</v>
      </c>
      <c r="E249" s="14" t="s">
        <v>4644</v>
      </c>
      <c r="F249" s="14" t="s">
        <v>403</v>
      </c>
      <c r="G249" s="14" t="s">
        <v>3</v>
      </c>
      <c r="H249" s="14" t="s">
        <v>404</v>
      </c>
      <c r="I249" s="14" t="s">
        <v>405</v>
      </c>
      <c r="J249" s="14" t="s">
        <v>228</v>
      </c>
      <c r="K249" s="14" t="s">
        <v>60</v>
      </c>
      <c r="L249" s="14" t="s">
        <v>60</v>
      </c>
      <c r="M249" s="14" t="s">
        <v>406</v>
      </c>
      <c r="N249" s="14" t="s">
        <v>60</v>
      </c>
      <c r="O249" s="14" t="s">
        <v>59</v>
      </c>
      <c r="P249" s="14" t="s">
        <v>5175</v>
      </c>
      <c r="Q249" s="14" t="s">
        <v>11</v>
      </c>
      <c r="R249" s="3" t="s">
        <v>4551</v>
      </c>
      <c r="S249" s="3">
        <f t="shared" ref="S249:S312" si="12">IF(RIGHT(C249,3)="MAZ",550,IF(RIGHT(C249,4)="MATE",570,IF(RIGHT(C249,7)="SKD-III",640,IF(RIGHT(C249,6)="SKD-II",770,IF(RIGHT(C249,5)="SKD-I",900,IF(RIGHT(C249,5)="CPDVR",770,""))))))</f>
        <v>550</v>
      </c>
      <c r="T249" s="3">
        <f t="shared" ref="T249:T312" si="13">R249*S249</f>
        <v>6600</v>
      </c>
      <c r="U249" s="3" t="s">
        <v>60</v>
      </c>
      <c r="V249" s="14" t="s">
        <v>6</v>
      </c>
      <c r="W249" s="14" t="s">
        <v>4287</v>
      </c>
      <c r="X249" s="14" t="s">
        <v>60</v>
      </c>
    </row>
    <row r="250" spans="1:24" ht="15" x14ac:dyDescent="0.3">
      <c r="A250" s="3">
        <v>2</v>
      </c>
      <c r="B250" s="3" t="s">
        <v>5176</v>
      </c>
      <c r="C250" s="14" t="s">
        <v>128</v>
      </c>
      <c r="D250" s="14" t="s">
        <v>431</v>
      </c>
      <c r="E250" s="14" t="s">
        <v>4205</v>
      </c>
      <c r="F250" s="14" t="s">
        <v>403</v>
      </c>
      <c r="G250" s="14" t="s">
        <v>3</v>
      </c>
      <c r="H250" s="14" t="s">
        <v>432</v>
      </c>
      <c r="I250" s="14" t="s">
        <v>433</v>
      </c>
      <c r="J250" s="14" t="s">
        <v>60</v>
      </c>
      <c r="K250" s="14" t="s">
        <v>60</v>
      </c>
      <c r="L250" s="14" t="s">
        <v>60</v>
      </c>
      <c r="M250" s="14" t="s">
        <v>434</v>
      </c>
      <c r="N250" s="14" t="s">
        <v>60</v>
      </c>
      <c r="O250" s="14" t="s">
        <v>59</v>
      </c>
      <c r="P250" s="14" t="s">
        <v>5177</v>
      </c>
      <c r="Q250" s="14" t="s">
        <v>11</v>
      </c>
      <c r="R250" s="3" t="s">
        <v>4551</v>
      </c>
      <c r="S250" s="3">
        <f t="shared" si="12"/>
        <v>550</v>
      </c>
      <c r="T250" s="3">
        <f t="shared" si="13"/>
        <v>6600</v>
      </c>
      <c r="U250" s="3" t="s">
        <v>60</v>
      </c>
      <c r="V250" s="14" t="s">
        <v>6</v>
      </c>
      <c r="W250" s="14" t="s">
        <v>5178</v>
      </c>
      <c r="X250" s="14" t="s">
        <v>60</v>
      </c>
    </row>
    <row r="251" spans="1:24" ht="15" x14ac:dyDescent="0.3">
      <c r="A251" s="3">
        <v>3</v>
      </c>
      <c r="B251" s="3" t="s">
        <v>5179</v>
      </c>
      <c r="C251" s="14" t="s">
        <v>14</v>
      </c>
      <c r="D251" s="14" t="s">
        <v>468</v>
      </c>
      <c r="E251" s="14" t="s">
        <v>469</v>
      </c>
      <c r="F251" s="14" t="s">
        <v>470</v>
      </c>
      <c r="G251" s="14" t="s">
        <v>3</v>
      </c>
      <c r="H251" s="14" t="s">
        <v>5180</v>
      </c>
      <c r="I251" s="14" t="s">
        <v>5181</v>
      </c>
      <c r="J251" s="14" t="s">
        <v>60</v>
      </c>
      <c r="K251" s="14" t="s">
        <v>60</v>
      </c>
      <c r="L251" s="14" t="s">
        <v>60</v>
      </c>
      <c r="M251" s="14" t="s">
        <v>471</v>
      </c>
      <c r="N251" s="14" t="s">
        <v>60</v>
      </c>
      <c r="O251" s="14" t="s">
        <v>193</v>
      </c>
      <c r="P251" s="14" t="s">
        <v>5182</v>
      </c>
      <c r="Q251" s="14" t="s">
        <v>11</v>
      </c>
      <c r="R251" s="3" t="s">
        <v>4170</v>
      </c>
      <c r="S251" s="3">
        <f t="shared" si="12"/>
        <v>640</v>
      </c>
      <c r="T251" s="3">
        <f t="shared" si="13"/>
        <v>19840</v>
      </c>
      <c r="U251" s="3" t="s">
        <v>60</v>
      </c>
      <c r="V251" s="14" t="s">
        <v>6</v>
      </c>
      <c r="W251" s="14" t="s">
        <v>4287</v>
      </c>
      <c r="X251" s="14" t="s">
        <v>60</v>
      </c>
    </row>
    <row r="252" spans="1:24" ht="15" x14ac:dyDescent="0.3">
      <c r="A252" s="3">
        <v>4</v>
      </c>
      <c r="B252" s="3" t="s">
        <v>5183</v>
      </c>
      <c r="C252" s="14" t="s">
        <v>14</v>
      </c>
      <c r="D252" s="14" t="s">
        <v>852</v>
      </c>
      <c r="E252" s="14" t="s">
        <v>5184</v>
      </c>
      <c r="F252" s="14" t="s">
        <v>236</v>
      </c>
      <c r="G252" s="14" t="s">
        <v>3</v>
      </c>
      <c r="H252" s="14" t="s">
        <v>5185</v>
      </c>
      <c r="I252" s="14" t="s">
        <v>5186</v>
      </c>
      <c r="J252" s="14" t="s">
        <v>228</v>
      </c>
      <c r="K252" s="14" t="s">
        <v>60</v>
      </c>
      <c r="L252" s="14" t="s">
        <v>60</v>
      </c>
      <c r="M252" s="14" t="s">
        <v>853</v>
      </c>
      <c r="N252" s="14" t="s">
        <v>60</v>
      </c>
      <c r="O252" s="14" t="s">
        <v>59</v>
      </c>
      <c r="P252" s="14" t="s">
        <v>5187</v>
      </c>
      <c r="Q252" s="14" t="s">
        <v>11</v>
      </c>
      <c r="R252" s="3" t="s">
        <v>4170</v>
      </c>
      <c r="S252" s="3">
        <f t="shared" si="12"/>
        <v>640</v>
      </c>
      <c r="T252" s="3">
        <f t="shared" si="13"/>
        <v>19840</v>
      </c>
      <c r="U252" s="3" t="s">
        <v>60</v>
      </c>
      <c r="V252" s="14" t="s">
        <v>6</v>
      </c>
      <c r="W252" s="14" t="s">
        <v>4287</v>
      </c>
      <c r="X252" s="14" t="s">
        <v>60</v>
      </c>
    </row>
    <row r="253" spans="1:24" ht="15" x14ac:dyDescent="0.3">
      <c r="A253" s="3">
        <v>5</v>
      </c>
      <c r="B253" s="3" t="s">
        <v>5188</v>
      </c>
      <c r="C253" s="14" t="s">
        <v>91</v>
      </c>
      <c r="D253" s="14" t="s">
        <v>450</v>
      </c>
      <c r="E253" s="14" t="s">
        <v>4746</v>
      </c>
      <c r="F253" s="14" t="s">
        <v>451</v>
      </c>
      <c r="G253" s="14" t="s">
        <v>3</v>
      </c>
      <c r="H253" s="14" t="s">
        <v>5189</v>
      </c>
      <c r="I253" s="14" t="s">
        <v>452</v>
      </c>
      <c r="J253" s="14" t="s">
        <v>60</v>
      </c>
      <c r="K253" s="14" t="s">
        <v>60</v>
      </c>
      <c r="L253" s="14" t="s">
        <v>60</v>
      </c>
      <c r="M253" s="14" t="s">
        <v>453</v>
      </c>
      <c r="N253" s="14" t="s">
        <v>60</v>
      </c>
      <c r="O253" s="14" t="s">
        <v>60</v>
      </c>
      <c r="P253" s="14" t="s">
        <v>5190</v>
      </c>
      <c r="Q253" s="14" t="s">
        <v>185</v>
      </c>
      <c r="R253" s="3" t="s">
        <v>4170</v>
      </c>
      <c r="S253" s="3">
        <f t="shared" si="12"/>
        <v>770</v>
      </c>
      <c r="T253" s="3">
        <f t="shared" si="13"/>
        <v>23870</v>
      </c>
      <c r="U253" s="3" t="s">
        <v>60</v>
      </c>
      <c r="V253" s="14" t="s">
        <v>6</v>
      </c>
      <c r="W253" s="14" t="s">
        <v>5191</v>
      </c>
      <c r="X253" s="14" t="s">
        <v>60</v>
      </c>
    </row>
    <row r="254" spans="1:24" ht="15" x14ac:dyDescent="0.3">
      <c r="A254" s="3">
        <v>6</v>
      </c>
      <c r="B254" s="3" t="s">
        <v>5192</v>
      </c>
      <c r="C254" s="14" t="s">
        <v>91</v>
      </c>
      <c r="D254" s="14" t="s">
        <v>461</v>
      </c>
      <c r="E254" s="14" t="s">
        <v>5193</v>
      </c>
      <c r="F254" s="14" t="s">
        <v>462</v>
      </c>
      <c r="G254" s="14" t="s">
        <v>3</v>
      </c>
      <c r="H254" s="14" t="s">
        <v>5194</v>
      </c>
      <c r="I254" s="14" t="s">
        <v>463</v>
      </c>
      <c r="J254" s="14" t="s">
        <v>60</v>
      </c>
      <c r="K254" s="14" t="s">
        <v>60</v>
      </c>
      <c r="L254" s="14" t="s">
        <v>60</v>
      </c>
      <c r="M254" s="14" t="s">
        <v>464</v>
      </c>
      <c r="N254" s="14" t="s">
        <v>60</v>
      </c>
      <c r="O254" s="14" t="s">
        <v>465</v>
      </c>
      <c r="P254" s="14" t="s">
        <v>5195</v>
      </c>
      <c r="Q254" s="14" t="s">
        <v>185</v>
      </c>
      <c r="R254" s="3" t="s">
        <v>4170</v>
      </c>
      <c r="S254" s="3">
        <f t="shared" si="12"/>
        <v>770</v>
      </c>
      <c r="T254" s="3">
        <f t="shared" si="13"/>
        <v>23870</v>
      </c>
      <c r="U254" s="3" t="s">
        <v>60</v>
      </c>
      <c r="V254" s="14" t="s">
        <v>6</v>
      </c>
      <c r="W254" s="14" t="s">
        <v>5196</v>
      </c>
      <c r="X254" s="14" t="s">
        <v>60</v>
      </c>
    </row>
    <row r="255" spans="1:24" ht="15" x14ac:dyDescent="0.3">
      <c r="A255" s="3">
        <v>7</v>
      </c>
      <c r="B255" s="3" t="s">
        <v>412</v>
      </c>
      <c r="C255" s="14" t="s">
        <v>0</v>
      </c>
      <c r="D255" s="14" t="s">
        <v>413</v>
      </c>
      <c r="E255" s="14" t="s">
        <v>414</v>
      </c>
      <c r="F255" s="14" t="s">
        <v>415</v>
      </c>
      <c r="G255" s="14" t="s">
        <v>3</v>
      </c>
      <c r="H255" s="14" t="s">
        <v>5197</v>
      </c>
      <c r="I255" s="14" t="s">
        <v>5198</v>
      </c>
      <c r="J255" s="14" t="s">
        <v>60</v>
      </c>
      <c r="K255" s="14" t="s">
        <v>60</v>
      </c>
      <c r="L255" s="14" t="s">
        <v>60</v>
      </c>
      <c r="M255" s="14" t="s">
        <v>60</v>
      </c>
      <c r="N255" s="14" t="s">
        <v>60</v>
      </c>
      <c r="O255" s="14" t="s">
        <v>59</v>
      </c>
      <c r="P255" s="14" t="s">
        <v>5199</v>
      </c>
      <c r="Q255" s="14" t="s">
        <v>185</v>
      </c>
      <c r="R255" s="3" t="s">
        <v>4170</v>
      </c>
      <c r="S255" s="3">
        <f t="shared" si="12"/>
        <v>550</v>
      </c>
      <c r="T255" s="3">
        <f t="shared" si="13"/>
        <v>17050</v>
      </c>
      <c r="U255" s="3" t="s">
        <v>60</v>
      </c>
      <c r="V255" s="14" t="s">
        <v>6</v>
      </c>
      <c r="W255" s="14" t="s">
        <v>4287</v>
      </c>
      <c r="X255" s="14" t="s">
        <v>60</v>
      </c>
    </row>
    <row r="256" spans="1:24" ht="15" x14ac:dyDescent="0.3">
      <c r="A256" s="3">
        <v>8</v>
      </c>
      <c r="B256" s="3" t="s">
        <v>5200</v>
      </c>
      <c r="C256" s="14" t="s">
        <v>0</v>
      </c>
      <c r="D256" s="14" t="s">
        <v>416</v>
      </c>
      <c r="E256" s="14" t="s">
        <v>4644</v>
      </c>
      <c r="F256" s="14" t="s">
        <v>417</v>
      </c>
      <c r="G256" s="14" t="s">
        <v>3</v>
      </c>
      <c r="H256" s="14" t="s">
        <v>5201</v>
      </c>
      <c r="I256" s="14" t="s">
        <v>5202</v>
      </c>
      <c r="J256" s="14" t="s">
        <v>60</v>
      </c>
      <c r="K256" s="14" t="s">
        <v>60</v>
      </c>
      <c r="L256" s="14" t="s">
        <v>60</v>
      </c>
      <c r="M256" s="14" t="s">
        <v>418</v>
      </c>
      <c r="N256" s="14" t="s">
        <v>60</v>
      </c>
      <c r="O256" s="14" t="s">
        <v>59</v>
      </c>
      <c r="P256" s="14" t="s">
        <v>5203</v>
      </c>
      <c r="Q256" s="14" t="s">
        <v>185</v>
      </c>
      <c r="R256" s="3" t="s">
        <v>4170</v>
      </c>
      <c r="S256" s="3">
        <f t="shared" si="12"/>
        <v>550</v>
      </c>
      <c r="T256" s="3">
        <f t="shared" si="13"/>
        <v>17050</v>
      </c>
      <c r="U256" s="3" t="s">
        <v>60</v>
      </c>
      <c r="V256" s="14" t="s">
        <v>6</v>
      </c>
      <c r="W256" s="14" t="s">
        <v>4287</v>
      </c>
      <c r="X256" s="14" t="s">
        <v>60</v>
      </c>
    </row>
    <row r="257" spans="1:24" ht="15" x14ac:dyDescent="0.3">
      <c r="A257" s="3">
        <v>9</v>
      </c>
      <c r="B257" s="3" t="s">
        <v>5204</v>
      </c>
      <c r="C257" s="14" t="s">
        <v>0</v>
      </c>
      <c r="D257" s="14" t="s">
        <v>427</v>
      </c>
      <c r="E257" s="14" t="s">
        <v>4293</v>
      </c>
      <c r="F257" s="14" t="s">
        <v>428</v>
      </c>
      <c r="G257" s="14" t="s">
        <v>3</v>
      </c>
      <c r="H257" s="14" t="s">
        <v>5205</v>
      </c>
      <c r="I257" s="14" t="s">
        <v>429</v>
      </c>
      <c r="J257" s="14" t="s">
        <v>60</v>
      </c>
      <c r="K257" s="14" t="s">
        <v>60</v>
      </c>
      <c r="L257" s="14" t="s">
        <v>60</v>
      </c>
      <c r="M257" s="14" t="s">
        <v>430</v>
      </c>
      <c r="N257" s="14" t="s">
        <v>60</v>
      </c>
      <c r="O257" s="14" t="s">
        <v>59</v>
      </c>
      <c r="P257" s="14" t="s">
        <v>5206</v>
      </c>
      <c r="Q257" s="14" t="s">
        <v>11</v>
      </c>
      <c r="R257" s="3" t="s">
        <v>4170</v>
      </c>
      <c r="S257" s="3">
        <f t="shared" si="12"/>
        <v>550</v>
      </c>
      <c r="T257" s="3">
        <f t="shared" si="13"/>
        <v>17050</v>
      </c>
      <c r="U257" s="3" t="s">
        <v>60</v>
      </c>
      <c r="V257" s="14" t="s">
        <v>6</v>
      </c>
      <c r="W257" s="14" t="s">
        <v>5207</v>
      </c>
      <c r="X257" s="14" t="s">
        <v>60</v>
      </c>
    </row>
    <row r="258" spans="1:24" ht="15" x14ac:dyDescent="0.3">
      <c r="A258" s="3">
        <v>10</v>
      </c>
      <c r="B258" s="3" t="s">
        <v>5208</v>
      </c>
      <c r="C258" s="14" t="s">
        <v>0</v>
      </c>
      <c r="D258" s="14" t="s">
        <v>420</v>
      </c>
      <c r="E258" s="14" t="s">
        <v>5209</v>
      </c>
      <c r="F258" s="14" t="s">
        <v>435</v>
      </c>
      <c r="G258" s="14" t="s">
        <v>3</v>
      </c>
      <c r="H258" s="14" t="s">
        <v>5210</v>
      </c>
      <c r="I258" s="14" t="s">
        <v>436</v>
      </c>
      <c r="J258" s="14" t="s">
        <v>60</v>
      </c>
      <c r="K258" s="14" t="s">
        <v>60</v>
      </c>
      <c r="L258" s="14" t="s">
        <v>60</v>
      </c>
      <c r="M258" s="14" t="s">
        <v>437</v>
      </c>
      <c r="N258" s="14" t="s">
        <v>60</v>
      </c>
      <c r="O258" s="14" t="s">
        <v>59</v>
      </c>
      <c r="P258" s="14" t="s">
        <v>5211</v>
      </c>
      <c r="Q258" s="14" t="s">
        <v>11</v>
      </c>
      <c r="R258" s="3" t="s">
        <v>4381</v>
      </c>
      <c r="S258" s="3">
        <f t="shared" si="12"/>
        <v>550</v>
      </c>
      <c r="T258" s="3">
        <f t="shared" si="13"/>
        <v>15400</v>
      </c>
      <c r="U258" s="3" t="s">
        <v>60</v>
      </c>
      <c r="V258" s="14" t="s">
        <v>6</v>
      </c>
      <c r="W258" s="14" t="s">
        <v>5090</v>
      </c>
      <c r="X258" s="14" t="s">
        <v>60</v>
      </c>
    </row>
    <row r="259" spans="1:24" ht="15" x14ac:dyDescent="0.3">
      <c r="A259" s="3">
        <v>11</v>
      </c>
      <c r="B259" s="3" t="s">
        <v>5212</v>
      </c>
      <c r="C259" s="14" t="s">
        <v>0</v>
      </c>
      <c r="D259" s="14" t="s">
        <v>420</v>
      </c>
      <c r="E259" s="14" t="s">
        <v>4216</v>
      </c>
      <c r="F259" s="14" t="s">
        <v>438</v>
      </c>
      <c r="G259" s="14" t="s">
        <v>3</v>
      </c>
      <c r="H259" s="14" t="s">
        <v>5213</v>
      </c>
      <c r="I259" s="14" t="s">
        <v>439</v>
      </c>
      <c r="J259" s="14" t="s">
        <v>60</v>
      </c>
      <c r="K259" s="14" t="s">
        <v>60</v>
      </c>
      <c r="L259" s="14" t="s">
        <v>60</v>
      </c>
      <c r="M259" s="14" t="s">
        <v>440</v>
      </c>
      <c r="N259" s="14" t="s">
        <v>60</v>
      </c>
      <c r="O259" s="14" t="s">
        <v>59</v>
      </c>
      <c r="P259" s="14" t="s">
        <v>5214</v>
      </c>
      <c r="Q259" s="14" t="s">
        <v>11</v>
      </c>
      <c r="R259" s="3" t="s">
        <v>4170</v>
      </c>
      <c r="S259" s="3">
        <f t="shared" si="12"/>
        <v>550</v>
      </c>
      <c r="T259" s="3">
        <f t="shared" si="13"/>
        <v>17050</v>
      </c>
      <c r="U259" s="3" t="s">
        <v>60</v>
      </c>
      <c r="V259" s="14" t="s">
        <v>6</v>
      </c>
      <c r="W259" s="14" t="s">
        <v>5090</v>
      </c>
      <c r="X259" s="14" t="s">
        <v>60</v>
      </c>
    </row>
    <row r="260" spans="1:24" ht="15" x14ac:dyDescent="0.3">
      <c r="A260" s="3">
        <v>12</v>
      </c>
      <c r="B260" s="3" t="s">
        <v>5215</v>
      </c>
      <c r="C260" s="14" t="s">
        <v>146</v>
      </c>
      <c r="D260" s="14" t="s">
        <v>441</v>
      </c>
      <c r="E260" s="14" t="s">
        <v>5216</v>
      </c>
      <c r="F260" s="14" t="s">
        <v>442</v>
      </c>
      <c r="G260" s="14" t="s">
        <v>3</v>
      </c>
      <c r="H260" s="14" t="s">
        <v>443</v>
      </c>
      <c r="I260" s="14" t="s">
        <v>444</v>
      </c>
      <c r="J260" s="14" t="s">
        <v>60</v>
      </c>
      <c r="K260" s="14" t="s">
        <v>60</v>
      </c>
      <c r="L260" s="14" t="s">
        <v>60</v>
      </c>
      <c r="M260" s="14" t="s">
        <v>445</v>
      </c>
      <c r="N260" s="14" t="s">
        <v>60</v>
      </c>
      <c r="O260" s="14" t="s">
        <v>59</v>
      </c>
      <c r="P260" s="14" t="s">
        <v>5217</v>
      </c>
      <c r="Q260" s="14" t="s">
        <v>11</v>
      </c>
      <c r="R260" s="3" t="s">
        <v>4170</v>
      </c>
      <c r="S260" s="3">
        <f t="shared" si="12"/>
        <v>570</v>
      </c>
      <c r="T260" s="3">
        <f t="shared" si="13"/>
        <v>17670</v>
      </c>
      <c r="U260" s="3" t="s">
        <v>60</v>
      </c>
      <c r="V260" s="14" t="s">
        <v>6</v>
      </c>
      <c r="W260" s="14" t="s">
        <v>5218</v>
      </c>
      <c r="X260" s="14" t="s">
        <v>60</v>
      </c>
    </row>
    <row r="261" spans="1:24" ht="15" x14ac:dyDescent="0.3">
      <c r="A261" s="3">
        <v>13</v>
      </c>
      <c r="B261" s="3" t="s">
        <v>5219</v>
      </c>
      <c r="C261" s="14" t="s">
        <v>0</v>
      </c>
      <c r="D261" s="14" t="s">
        <v>457</v>
      </c>
      <c r="E261" s="14" t="s">
        <v>4367</v>
      </c>
      <c r="F261" s="14" t="s">
        <v>458</v>
      </c>
      <c r="G261" s="14" t="s">
        <v>3</v>
      </c>
      <c r="H261" s="14" t="s">
        <v>5220</v>
      </c>
      <c r="I261" s="14" t="s">
        <v>459</v>
      </c>
      <c r="J261" s="14" t="s">
        <v>60</v>
      </c>
      <c r="K261" s="14" t="s">
        <v>60</v>
      </c>
      <c r="L261" s="14" t="s">
        <v>60</v>
      </c>
      <c r="M261" s="14" t="s">
        <v>460</v>
      </c>
      <c r="N261" s="14" t="s">
        <v>60</v>
      </c>
      <c r="O261" s="14" t="s">
        <v>255</v>
      </c>
      <c r="P261" s="14" t="s">
        <v>5221</v>
      </c>
      <c r="Q261" s="14" t="s">
        <v>11</v>
      </c>
      <c r="R261" s="3" t="s">
        <v>5222</v>
      </c>
      <c r="S261" s="3">
        <f t="shared" si="12"/>
        <v>550</v>
      </c>
      <c r="T261" s="3">
        <f t="shared" si="13"/>
        <v>14300</v>
      </c>
      <c r="U261" s="3" t="s">
        <v>60</v>
      </c>
      <c r="V261" s="14" t="s">
        <v>4208</v>
      </c>
      <c r="W261" s="14" t="s">
        <v>5223</v>
      </c>
      <c r="X261" s="14" t="s">
        <v>60</v>
      </c>
    </row>
    <row r="262" spans="1:24" ht="15" x14ac:dyDescent="0.3">
      <c r="A262" s="3">
        <v>14</v>
      </c>
      <c r="B262" s="3" t="s">
        <v>5224</v>
      </c>
      <c r="C262" s="14" t="s">
        <v>0</v>
      </c>
      <c r="D262" s="14" t="s">
        <v>466</v>
      </c>
      <c r="E262" s="14" t="s">
        <v>5225</v>
      </c>
      <c r="F262" s="14" t="s">
        <v>467</v>
      </c>
      <c r="G262" s="14" t="s">
        <v>3</v>
      </c>
      <c r="H262" s="14" t="s">
        <v>5226</v>
      </c>
      <c r="I262" s="14" t="s">
        <v>5227</v>
      </c>
      <c r="J262" s="14" t="s">
        <v>60</v>
      </c>
      <c r="K262" s="14" t="s">
        <v>60</v>
      </c>
      <c r="L262" s="14" t="s">
        <v>60</v>
      </c>
      <c r="M262" s="14" t="s">
        <v>60</v>
      </c>
      <c r="N262" s="14" t="s">
        <v>60</v>
      </c>
      <c r="O262" s="14" t="s">
        <v>193</v>
      </c>
      <c r="P262" s="14" t="s">
        <v>5228</v>
      </c>
      <c r="Q262" s="14" t="s">
        <v>185</v>
      </c>
      <c r="R262" s="3" t="s">
        <v>4170</v>
      </c>
      <c r="S262" s="3">
        <f t="shared" si="12"/>
        <v>550</v>
      </c>
      <c r="T262" s="3">
        <f t="shared" si="13"/>
        <v>17050</v>
      </c>
      <c r="U262" s="3" t="s">
        <v>60</v>
      </c>
      <c r="V262" s="14" t="s">
        <v>6</v>
      </c>
      <c r="W262" s="14" t="s">
        <v>4287</v>
      </c>
      <c r="X262" s="14" t="s">
        <v>60</v>
      </c>
    </row>
    <row r="263" spans="1:24" ht="15" x14ac:dyDescent="0.3">
      <c r="A263" s="3">
        <v>15</v>
      </c>
      <c r="B263" s="3" t="s">
        <v>472</v>
      </c>
      <c r="C263" s="14" t="s">
        <v>146</v>
      </c>
      <c r="D263" s="14" t="s">
        <v>473</v>
      </c>
      <c r="E263" s="14" t="s">
        <v>5229</v>
      </c>
      <c r="F263" s="14" t="s">
        <v>474</v>
      </c>
      <c r="G263" s="14" t="s">
        <v>3</v>
      </c>
      <c r="H263" s="14" t="s">
        <v>475</v>
      </c>
      <c r="I263" s="14" t="s">
        <v>476</v>
      </c>
      <c r="J263" s="14" t="s">
        <v>228</v>
      </c>
      <c r="K263" s="14" t="s">
        <v>60</v>
      </c>
      <c r="L263" s="14" t="s">
        <v>60</v>
      </c>
      <c r="M263" s="14" t="s">
        <v>477</v>
      </c>
      <c r="N263" s="14" t="s">
        <v>60</v>
      </c>
      <c r="O263" s="14" t="s">
        <v>193</v>
      </c>
      <c r="P263" s="14" t="s">
        <v>5230</v>
      </c>
      <c r="Q263" s="14" t="s">
        <v>11</v>
      </c>
      <c r="R263" s="3" t="s">
        <v>4170</v>
      </c>
      <c r="S263" s="3">
        <f t="shared" si="12"/>
        <v>570</v>
      </c>
      <c r="T263" s="3">
        <f t="shared" si="13"/>
        <v>17670</v>
      </c>
      <c r="U263" s="3" t="s">
        <v>60</v>
      </c>
      <c r="V263" s="14" t="s">
        <v>6</v>
      </c>
      <c r="W263" s="14" t="s">
        <v>4287</v>
      </c>
      <c r="X263" s="14" t="s">
        <v>60</v>
      </c>
    </row>
    <row r="264" spans="1:24" ht="15" x14ac:dyDescent="0.3">
      <c r="A264" s="3">
        <v>16</v>
      </c>
      <c r="B264" s="3" t="s">
        <v>5231</v>
      </c>
      <c r="C264" s="14" t="s">
        <v>0</v>
      </c>
      <c r="D264" s="14" t="s">
        <v>478</v>
      </c>
      <c r="E264" s="14" t="s">
        <v>5232</v>
      </c>
      <c r="F264" s="14" t="s">
        <v>479</v>
      </c>
      <c r="G264" s="14" t="s">
        <v>3</v>
      </c>
      <c r="H264" s="14" t="s">
        <v>5233</v>
      </c>
      <c r="I264" s="14" t="s">
        <v>5234</v>
      </c>
      <c r="J264" s="14" t="s">
        <v>60</v>
      </c>
      <c r="K264" s="14" t="s">
        <v>60</v>
      </c>
      <c r="L264" s="14" t="s">
        <v>60</v>
      </c>
      <c r="M264" s="14" t="s">
        <v>480</v>
      </c>
      <c r="N264" s="14" t="s">
        <v>60</v>
      </c>
      <c r="O264" s="14" t="s">
        <v>179</v>
      </c>
      <c r="P264" s="14" t="s">
        <v>5235</v>
      </c>
      <c r="Q264" s="14" t="s">
        <v>213</v>
      </c>
      <c r="R264" s="3" t="s">
        <v>4170</v>
      </c>
      <c r="S264" s="3">
        <f t="shared" si="12"/>
        <v>550</v>
      </c>
      <c r="T264" s="3">
        <f t="shared" si="13"/>
        <v>17050</v>
      </c>
      <c r="U264" s="3" t="s">
        <v>60</v>
      </c>
      <c r="V264" s="14" t="s">
        <v>6</v>
      </c>
      <c r="W264" s="14" t="s">
        <v>4287</v>
      </c>
      <c r="X264" s="14" t="s">
        <v>60</v>
      </c>
    </row>
    <row r="265" spans="1:24" ht="15" x14ac:dyDescent="0.3">
      <c r="A265" s="3">
        <v>17</v>
      </c>
      <c r="B265" s="3" t="s">
        <v>5236</v>
      </c>
      <c r="C265" s="14" t="s">
        <v>0</v>
      </c>
      <c r="D265" s="14" t="s">
        <v>481</v>
      </c>
      <c r="E265" s="14" t="s">
        <v>5237</v>
      </c>
      <c r="F265" s="14" t="s">
        <v>482</v>
      </c>
      <c r="G265" s="14" t="s">
        <v>3</v>
      </c>
      <c r="H265" s="14" t="s">
        <v>5238</v>
      </c>
      <c r="I265" s="14" t="s">
        <v>483</v>
      </c>
      <c r="J265" s="14" t="s">
        <v>60</v>
      </c>
      <c r="K265" s="14" t="s">
        <v>60</v>
      </c>
      <c r="L265" s="14" t="s">
        <v>60</v>
      </c>
      <c r="M265" s="14" t="s">
        <v>484</v>
      </c>
      <c r="N265" s="14" t="s">
        <v>60</v>
      </c>
      <c r="O265" s="14" t="s">
        <v>485</v>
      </c>
      <c r="P265" s="14" t="s">
        <v>5239</v>
      </c>
      <c r="Q265" s="14" t="s">
        <v>11</v>
      </c>
      <c r="R265" s="3" t="s">
        <v>4170</v>
      </c>
      <c r="S265" s="3">
        <f t="shared" si="12"/>
        <v>550</v>
      </c>
      <c r="T265" s="3">
        <f t="shared" si="13"/>
        <v>17050</v>
      </c>
      <c r="U265" s="3" t="s">
        <v>60</v>
      </c>
      <c r="V265" s="14" t="s">
        <v>6</v>
      </c>
      <c r="W265" s="14" t="s">
        <v>5240</v>
      </c>
      <c r="X265" s="14" t="s">
        <v>60</v>
      </c>
    </row>
    <row r="266" spans="1:24" ht="15" x14ac:dyDescent="0.3">
      <c r="A266" s="3">
        <v>18</v>
      </c>
      <c r="B266" s="3" t="s">
        <v>5241</v>
      </c>
      <c r="C266" s="14" t="s">
        <v>0</v>
      </c>
      <c r="D266" s="14" t="s">
        <v>488</v>
      </c>
      <c r="E266" s="14" t="s">
        <v>4205</v>
      </c>
      <c r="F266" s="14" t="s">
        <v>489</v>
      </c>
      <c r="G266" s="14" t="s">
        <v>3</v>
      </c>
      <c r="H266" s="14" t="s">
        <v>5242</v>
      </c>
      <c r="I266" s="14" t="s">
        <v>490</v>
      </c>
      <c r="J266" s="14" t="s">
        <v>60</v>
      </c>
      <c r="K266" s="14" t="s">
        <v>60</v>
      </c>
      <c r="L266" s="14" t="s">
        <v>60</v>
      </c>
      <c r="M266" s="14" t="s">
        <v>491</v>
      </c>
      <c r="N266" s="14" t="s">
        <v>60</v>
      </c>
      <c r="O266" s="14" t="s">
        <v>487</v>
      </c>
      <c r="P266" s="14" t="s">
        <v>5243</v>
      </c>
      <c r="Q266" s="14" t="s">
        <v>11</v>
      </c>
      <c r="R266" s="3" t="s">
        <v>5244</v>
      </c>
      <c r="S266" s="3">
        <f t="shared" si="12"/>
        <v>550</v>
      </c>
      <c r="T266" s="3">
        <f t="shared" si="13"/>
        <v>14850</v>
      </c>
      <c r="U266" s="3" t="s">
        <v>60</v>
      </c>
      <c r="V266" s="14" t="s">
        <v>6</v>
      </c>
      <c r="W266" s="14" t="s">
        <v>5245</v>
      </c>
      <c r="X266" s="14" t="s">
        <v>60</v>
      </c>
    </row>
    <row r="267" spans="1:24" ht="15" x14ac:dyDescent="0.3">
      <c r="A267" s="3">
        <v>19</v>
      </c>
      <c r="B267" s="3" t="s">
        <v>5246</v>
      </c>
      <c r="C267" s="14" t="s">
        <v>0</v>
      </c>
      <c r="D267" s="14" t="s">
        <v>492</v>
      </c>
      <c r="E267" s="14" t="s">
        <v>4440</v>
      </c>
      <c r="F267" s="14" t="s">
        <v>372</v>
      </c>
      <c r="G267" s="14" t="s">
        <v>3</v>
      </c>
      <c r="H267" s="14" t="s">
        <v>493</v>
      </c>
      <c r="I267" s="14" t="s">
        <v>494</v>
      </c>
      <c r="J267" s="14" t="s">
        <v>60</v>
      </c>
      <c r="K267" s="14" t="s">
        <v>60</v>
      </c>
      <c r="L267" s="14" t="s">
        <v>60</v>
      </c>
      <c r="M267" s="14" t="s">
        <v>495</v>
      </c>
      <c r="N267" s="14" t="s">
        <v>60</v>
      </c>
      <c r="O267" s="14" t="s">
        <v>25</v>
      </c>
      <c r="P267" s="14" t="s">
        <v>5247</v>
      </c>
      <c r="Q267" s="14" t="s">
        <v>11</v>
      </c>
      <c r="R267" s="3" t="s">
        <v>4241</v>
      </c>
      <c r="S267" s="3">
        <f t="shared" si="12"/>
        <v>550</v>
      </c>
      <c r="T267" s="3">
        <f t="shared" si="13"/>
        <v>10450</v>
      </c>
      <c r="U267" s="3" t="s">
        <v>60</v>
      </c>
      <c r="V267" s="14" t="s">
        <v>6</v>
      </c>
      <c r="W267" s="14" t="s">
        <v>5248</v>
      </c>
      <c r="X267" s="30">
        <v>46283</v>
      </c>
    </row>
    <row r="268" spans="1:24" ht="15" x14ac:dyDescent="0.3">
      <c r="A268" s="3">
        <v>20</v>
      </c>
      <c r="B268" s="3" t="s">
        <v>5249</v>
      </c>
      <c r="C268" s="14" t="s">
        <v>0</v>
      </c>
      <c r="D268" s="14" t="s">
        <v>496</v>
      </c>
      <c r="E268" s="14" t="s">
        <v>5250</v>
      </c>
      <c r="F268" s="14" t="s">
        <v>497</v>
      </c>
      <c r="G268" s="14" t="s">
        <v>121</v>
      </c>
      <c r="H268" s="14" t="s">
        <v>5251</v>
      </c>
      <c r="I268" s="14" t="s">
        <v>498</v>
      </c>
      <c r="J268" s="14" t="s">
        <v>60</v>
      </c>
      <c r="K268" s="14" t="s">
        <v>60</v>
      </c>
      <c r="L268" s="14" t="s">
        <v>60</v>
      </c>
      <c r="M268" s="14" t="s">
        <v>499</v>
      </c>
      <c r="N268" s="14" t="s">
        <v>60</v>
      </c>
      <c r="O268" s="14" t="s">
        <v>25</v>
      </c>
      <c r="P268" s="14" t="s">
        <v>5252</v>
      </c>
      <c r="Q268" s="14" t="s">
        <v>500</v>
      </c>
      <c r="R268" s="3" t="s">
        <v>4170</v>
      </c>
      <c r="S268" s="3">
        <f t="shared" si="12"/>
        <v>550</v>
      </c>
      <c r="T268" s="3">
        <f t="shared" si="13"/>
        <v>17050</v>
      </c>
      <c r="U268" s="3" t="s">
        <v>5253</v>
      </c>
      <c r="V268" s="14" t="s">
        <v>6</v>
      </c>
      <c r="W268" s="14" t="s">
        <v>4985</v>
      </c>
      <c r="X268" s="14" t="s">
        <v>60</v>
      </c>
    </row>
    <row r="269" spans="1:24" ht="15" x14ac:dyDescent="0.3">
      <c r="A269" s="3">
        <v>21</v>
      </c>
      <c r="B269" s="3" t="s">
        <v>5254</v>
      </c>
      <c r="C269" s="14" t="s">
        <v>0</v>
      </c>
      <c r="D269" s="14" t="s">
        <v>501</v>
      </c>
      <c r="E269" s="14" t="s">
        <v>5008</v>
      </c>
      <c r="F269" s="14" t="s">
        <v>502</v>
      </c>
      <c r="G269" s="14" t="s">
        <v>3</v>
      </c>
      <c r="H269" s="14" t="s">
        <v>5255</v>
      </c>
      <c r="I269" s="14" t="s">
        <v>503</v>
      </c>
      <c r="J269" s="14" t="s">
        <v>60</v>
      </c>
      <c r="K269" s="14" t="s">
        <v>60</v>
      </c>
      <c r="L269" s="14" t="s">
        <v>60</v>
      </c>
      <c r="M269" s="14" t="s">
        <v>504</v>
      </c>
      <c r="N269" s="14" t="s">
        <v>60</v>
      </c>
      <c r="O269" s="14" t="s">
        <v>25</v>
      </c>
      <c r="P269" s="14" t="s">
        <v>5256</v>
      </c>
      <c r="Q269" s="14" t="s">
        <v>11</v>
      </c>
      <c r="R269" s="3" t="s">
        <v>4170</v>
      </c>
      <c r="S269" s="3">
        <f t="shared" si="12"/>
        <v>550</v>
      </c>
      <c r="T269" s="3">
        <f t="shared" si="13"/>
        <v>17050</v>
      </c>
      <c r="U269" s="3" t="s">
        <v>60</v>
      </c>
      <c r="V269" s="14" t="s">
        <v>6</v>
      </c>
      <c r="W269" s="14" t="s">
        <v>5248</v>
      </c>
      <c r="X269" s="14" t="s">
        <v>60</v>
      </c>
    </row>
    <row r="270" spans="1:24" ht="15" x14ac:dyDescent="0.3">
      <c r="A270" s="3">
        <v>22</v>
      </c>
      <c r="B270" s="3" t="s">
        <v>5257</v>
      </c>
      <c r="C270" s="14" t="s">
        <v>0</v>
      </c>
      <c r="D270" s="14" t="s">
        <v>509</v>
      </c>
      <c r="E270" s="14" t="s">
        <v>5258</v>
      </c>
      <c r="F270" s="14" t="s">
        <v>510</v>
      </c>
      <c r="G270" s="14" t="s">
        <v>3</v>
      </c>
      <c r="H270" s="14" t="s">
        <v>5259</v>
      </c>
      <c r="I270" s="14" t="s">
        <v>511</v>
      </c>
      <c r="J270" s="14" t="s">
        <v>60</v>
      </c>
      <c r="K270" s="14" t="s">
        <v>60</v>
      </c>
      <c r="L270" s="14" t="s">
        <v>60</v>
      </c>
      <c r="M270" s="14" t="s">
        <v>512</v>
      </c>
      <c r="N270" s="14" t="s">
        <v>60</v>
      </c>
      <c r="O270" s="14" t="s">
        <v>25</v>
      </c>
      <c r="P270" s="14" t="s">
        <v>5260</v>
      </c>
      <c r="Q270" s="14" t="s">
        <v>11</v>
      </c>
      <c r="R270" s="3" t="s">
        <v>4170</v>
      </c>
      <c r="S270" s="3">
        <f t="shared" si="12"/>
        <v>550</v>
      </c>
      <c r="T270" s="3">
        <f t="shared" si="13"/>
        <v>17050</v>
      </c>
      <c r="U270" s="3" t="s">
        <v>60</v>
      </c>
      <c r="V270" s="14" t="s">
        <v>6</v>
      </c>
      <c r="W270" s="14" t="s">
        <v>5248</v>
      </c>
      <c r="X270" s="14" t="s">
        <v>60</v>
      </c>
    </row>
    <row r="271" spans="1:24" ht="15" x14ac:dyDescent="0.3">
      <c r="A271" s="3">
        <v>23</v>
      </c>
      <c r="B271" s="3" t="s">
        <v>5261</v>
      </c>
      <c r="C271" s="14" t="s">
        <v>0</v>
      </c>
      <c r="D271" s="14" t="s">
        <v>514</v>
      </c>
      <c r="E271" s="14" t="s">
        <v>5262</v>
      </c>
      <c r="F271" s="14" t="s">
        <v>515</v>
      </c>
      <c r="G271" s="14" t="s">
        <v>3</v>
      </c>
      <c r="H271" s="14" t="s">
        <v>5263</v>
      </c>
      <c r="I271" s="14" t="s">
        <v>516</v>
      </c>
      <c r="J271" s="14" t="s">
        <v>60</v>
      </c>
      <c r="K271" s="14" t="s">
        <v>60</v>
      </c>
      <c r="L271" s="14" t="s">
        <v>60</v>
      </c>
      <c r="M271" s="14" t="s">
        <v>517</v>
      </c>
      <c r="N271" s="14" t="s">
        <v>60</v>
      </c>
      <c r="O271" s="14" t="s">
        <v>25</v>
      </c>
      <c r="P271" s="14" t="s">
        <v>5264</v>
      </c>
      <c r="Q271" s="14" t="s">
        <v>11</v>
      </c>
      <c r="R271" s="3" t="s">
        <v>4300</v>
      </c>
      <c r="S271" s="3">
        <f t="shared" si="12"/>
        <v>550</v>
      </c>
      <c r="T271" s="3">
        <f t="shared" si="13"/>
        <v>15950</v>
      </c>
      <c r="U271" s="3" t="s">
        <v>60</v>
      </c>
      <c r="V271" s="14" t="s">
        <v>6</v>
      </c>
      <c r="W271" s="14" t="s">
        <v>5248</v>
      </c>
      <c r="X271" s="14" t="s">
        <v>60</v>
      </c>
    </row>
    <row r="272" spans="1:24" ht="15" x14ac:dyDescent="0.3">
      <c r="A272" s="3">
        <v>24</v>
      </c>
      <c r="B272" s="3" t="s">
        <v>5265</v>
      </c>
      <c r="C272" s="14" t="s">
        <v>0</v>
      </c>
      <c r="D272" s="14" t="s">
        <v>518</v>
      </c>
      <c r="E272" s="14" t="s">
        <v>4644</v>
      </c>
      <c r="F272" s="14" t="s">
        <v>486</v>
      </c>
      <c r="G272" s="14" t="s">
        <v>3</v>
      </c>
      <c r="H272" s="14" t="s">
        <v>5266</v>
      </c>
      <c r="I272" s="14" t="s">
        <v>519</v>
      </c>
      <c r="J272" s="14" t="s">
        <v>60</v>
      </c>
      <c r="K272" s="14" t="s">
        <v>60</v>
      </c>
      <c r="L272" s="14" t="s">
        <v>60</v>
      </c>
      <c r="M272" s="14" t="s">
        <v>520</v>
      </c>
      <c r="N272" s="14" t="s">
        <v>60</v>
      </c>
      <c r="O272" s="14" t="s">
        <v>388</v>
      </c>
      <c r="P272" s="14" t="s">
        <v>5267</v>
      </c>
      <c r="Q272" s="14" t="s">
        <v>11</v>
      </c>
      <c r="R272" s="3" t="s">
        <v>4170</v>
      </c>
      <c r="S272" s="3">
        <f t="shared" si="12"/>
        <v>550</v>
      </c>
      <c r="T272" s="3">
        <f t="shared" si="13"/>
        <v>17050</v>
      </c>
      <c r="U272" s="3" t="s">
        <v>60</v>
      </c>
      <c r="V272" s="14" t="s">
        <v>6</v>
      </c>
      <c r="W272" s="14" t="s">
        <v>5268</v>
      </c>
      <c r="X272" s="14" t="s">
        <v>60</v>
      </c>
    </row>
    <row r="273" spans="1:24" ht="15" x14ac:dyDescent="0.3">
      <c r="A273" s="3">
        <v>25</v>
      </c>
      <c r="B273" s="3" t="s">
        <v>5269</v>
      </c>
      <c r="C273" s="14" t="s">
        <v>0</v>
      </c>
      <c r="D273" s="14" t="s">
        <v>521</v>
      </c>
      <c r="E273" s="14" t="s">
        <v>5270</v>
      </c>
      <c r="F273" s="14" t="s">
        <v>522</v>
      </c>
      <c r="G273" s="14" t="s">
        <v>3</v>
      </c>
      <c r="H273" s="14" t="s">
        <v>5271</v>
      </c>
      <c r="I273" s="14" t="s">
        <v>523</v>
      </c>
      <c r="J273" s="14" t="s">
        <v>60</v>
      </c>
      <c r="K273" s="14" t="s">
        <v>60</v>
      </c>
      <c r="L273" s="14" t="s">
        <v>60</v>
      </c>
      <c r="M273" s="14" t="s">
        <v>524</v>
      </c>
      <c r="N273" s="14" t="s">
        <v>60</v>
      </c>
      <c r="O273" s="14" t="s">
        <v>388</v>
      </c>
      <c r="P273" s="14" t="s">
        <v>5272</v>
      </c>
      <c r="Q273" s="14" t="s">
        <v>11</v>
      </c>
      <c r="R273" s="3" t="s">
        <v>4170</v>
      </c>
      <c r="S273" s="3">
        <f t="shared" si="12"/>
        <v>550</v>
      </c>
      <c r="T273" s="3">
        <f t="shared" si="13"/>
        <v>17050</v>
      </c>
      <c r="U273" s="3" t="s">
        <v>60</v>
      </c>
      <c r="V273" s="14" t="s">
        <v>6</v>
      </c>
      <c r="W273" s="14" t="s">
        <v>5268</v>
      </c>
      <c r="X273" s="14" t="s">
        <v>60</v>
      </c>
    </row>
    <row r="274" spans="1:24" ht="15" x14ac:dyDescent="0.3">
      <c r="A274" s="3">
        <v>26</v>
      </c>
      <c r="B274" s="3" t="s">
        <v>5273</v>
      </c>
      <c r="C274" s="14" t="s">
        <v>0</v>
      </c>
      <c r="D274" s="14" t="s">
        <v>525</v>
      </c>
      <c r="E274" s="14" t="s">
        <v>5037</v>
      </c>
      <c r="F274" s="14" t="s">
        <v>526</v>
      </c>
      <c r="G274" s="14" t="s">
        <v>3</v>
      </c>
      <c r="H274" s="14" t="s">
        <v>5274</v>
      </c>
      <c r="I274" s="14" t="s">
        <v>527</v>
      </c>
      <c r="J274" s="14" t="s">
        <v>60</v>
      </c>
      <c r="K274" s="14" t="s">
        <v>60</v>
      </c>
      <c r="L274" s="14" t="s">
        <v>60</v>
      </c>
      <c r="M274" s="14" t="s">
        <v>528</v>
      </c>
      <c r="N274" s="14" t="s">
        <v>60</v>
      </c>
      <c r="O274" s="14" t="s">
        <v>388</v>
      </c>
      <c r="P274" s="14" t="s">
        <v>5275</v>
      </c>
      <c r="Q274" s="14" t="s">
        <v>11</v>
      </c>
      <c r="R274" s="3" t="s">
        <v>4862</v>
      </c>
      <c r="S274" s="3">
        <f t="shared" si="12"/>
        <v>550</v>
      </c>
      <c r="T274" s="3">
        <f t="shared" si="13"/>
        <v>6050</v>
      </c>
      <c r="U274" s="3" t="s">
        <v>60</v>
      </c>
      <c r="V274" s="14" t="s">
        <v>6</v>
      </c>
      <c r="W274" s="14" t="s">
        <v>5268</v>
      </c>
      <c r="X274" s="14" t="s">
        <v>60</v>
      </c>
    </row>
    <row r="275" spans="1:24" ht="15" x14ac:dyDescent="0.3">
      <c r="A275" s="3">
        <v>27</v>
      </c>
      <c r="B275" s="3" t="s">
        <v>5276</v>
      </c>
      <c r="C275" s="14" t="s">
        <v>0</v>
      </c>
      <c r="D275" s="14" t="s">
        <v>529</v>
      </c>
      <c r="E275" s="14" t="s">
        <v>5277</v>
      </c>
      <c r="F275" s="14" t="s">
        <v>530</v>
      </c>
      <c r="G275" s="14" t="s">
        <v>3</v>
      </c>
      <c r="H275" s="14" t="s">
        <v>5278</v>
      </c>
      <c r="I275" s="14" t="s">
        <v>531</v>
      </c>
      <c r="J275" s="14" t="s">
        <v>60</v>
      </c>
      <c r="K275" s="14" t="s">
        <v>60</v>
      </c>
      <c r="L275" s="14" t="s">
        <v>60</v>
      </c>
      <c r="M275" s="14" t="s">
        <v>532</v>
      </c>
      <c r="N275" s="14" t="s">
        <v>60</v>
      </c>
      <c r="O275" s="14" t="s">
        <v>388</v>
      </c>
      <c r="P275" s="14" t="s">
        <v>5279</v>
      </c>
      <c r="Q275" s="14" t="s">
        <v>11</v>
      </c>
      <c r="R275" s="3" t="s">
        <v>4170</v>
      </c>
      <c r="S275" s="3">
        <f t="shared" si="12"/>
        <v>550</v>
      </c>
      <c r="T275" s="3">
        <f t="shared" si="13"/>
        <v>17050</v>
      </c>
      <c r="U275" s="3" t="s">
        <v>60</v>
      </c>
      <c r="V275" s="14" t="s">
        <v>6</v>
      </c>
      <c r="W275" s="14" t="s">
        <v>5268</v>
      </c>
      <c r="X275" s="14" t="s">
        <v>60</v>
      </c>
    </row>
    <row r="276" spans="1:24" ht="15" x14ac:dyDescent="0.3">
      <c r="A276" s="3">
        <v>28</v>
      </c>
      <c r="B276" s="3" t="s">
        <v>5280</v>
      </c>
      <c r="C276" s="14" t="s">
        <v>0</v>
      </c>
      <c r="D276" s="14" t="s">
        <v>533</v>
      </c>
      <c r="E276" s="14" t="s">
        <v>5281</v>
      </c>
      <c r="F276" s="14" t="s">
        <v>420</v>
      </c>
      <c r="G276" s="14" t="s">
        <v>3</v>
      </c>
      <c r="H276" s="14" t="s">
        <v>534</v>
      </c>
      <c r="I276" s="14" t="s">
        <v>535</v>
      </c>
      <c r="J276" s="14" t="s">
        <v>60</v>
      </c>
      <c r="K276" s="14" t="s">
        <v>60</v>
      </c>
      <c r="L276" s="14" t="s">
        <v>60</v>
      </c>
      <c r="M276" s="14" t="s">
        <v>536</v>
      </c>
      <c r="N276" s="14" t="s">
        <v>60</v>
      </c>
      <c r="O276" s="14" t="s">
        <v>255</v>
      </c>
      <c r="P276" s="14" t="s">
        <v>5282</v>
      </c>
      <c r="Q276" s="14" t="s">
        <v>11</v>
      </c>
      <c r="R276" s="3" t="s">
        <v>4862</v>
      </c>
      <c r="S276" s="3">
        <f t="shared" si="12"/>
        <v>550</v>
      </c>
      <c r="T276" s="3">
        <f t="shared" si="13"/>
        <v>6050</v>
      </c>
      <c r="U276" s="3" t="s">
        <v>60</v>
      </c>
      <c r="V276" s="14" t="s">
        <v>6</v>
      </c>
      <c r="W276" s="14" t="s">
        <v>5223</v>
      </c>
      <c r="X276" s="30">
        <v>46283</v>
      </c>
    </row>
    <row r="277" spans="1:24" ht="15" x14ac:dyDescent="0.3">
      <c r="A277" s="3">
        <v>29</v>
      </c>
      <c r="B277" s="3" t="s">
        <v>5283</v>
      </c>
      <c r="C277" s="14" t="s">
        <v>0</v>
      </c>
      <c r="D277" s="14" t="s">
        <v>537</v>
      </c>
      <c r="E277" s="14" t="s">
        <v>5284</v>
      </c>
      <c r="F277" s="14" t="s">
        <v>538</v>
      </c>
      <c r="G277" s="14" t="s">
        <v>3</v>
      </c>
      <c r="H277" s="14" t="s">
        <v>5285</v>
      </c>
      <c r="I277" s="14" t="s">
        <v>539</v>
      </c>
      <c r="J277" s="14" t="s">
        <v>60</v>
      </c>
      <c r="K277" s="14" t="s">
        <v>60</v>
      </c>
      <c r="L277" s="14" t="s">
        <v>60</v>
      </c>
      <c r="M277" s="14" t="s">
        <v>540</v>
      </c>
      <c r="N277" s="14" t="s">
        <v>60</v>
      </c>
      <c r="O277" s="14" t="s">
        <v>255</v>
      </c>
      <c r="P277" s="14" t="s">
        <v>5286</v>
      </c>
      <c r="Q277" s="14" t="s">
        <v>11</v>
      </c>
      <c r="R277" s="3" t="s">
        <v>4170</v>
      </c>
      <c r="S277" s="3">
        <f t="shared" si="12"/>
        <v>550</v>
      </c>
      <c r="T277" s="3">
        <f t="shared" si="13"/>
        <v>17050</v>
      </c>
      <c r="U277" s="3" t="s">
        <v>60</v>
      </c>
      <c r="V277" s="14" t="s">
        <v>6</v>
      </c>
      <c r="W277" s="14" t="s">
        <v>5223</v>
      </c>
      <c r="X277" s="14" t="s">
        <v>60</v>
      </c>
    </row>
    <row r="278" spans="1:24" ht="15" x14ac:dyDescent="0.3">
      <c r="A278" s="3">
        <v>30</v>
      </c>
      <c r="B278" s="3" t="s">
        <v>5287</v>
      </c>
      <c r="C278" s="14" t="s">
        <v>0</v>
      </c>
      <c r="D278" s="14" t="s">
        <v>541</v>
      </c>
      <c r="E278" s="14" t="s">
        <v>5288</v>
      </c>
      <c r="F278" s="14" t="s">
        <v>542</v>
      </c>
      <c r="G278" s="14" t="s">
        <v>3</v>
      </c>
      <c r="H278" s="14" t="s">
        <v>5289</v>
      </c>
      <c r="I278" s="14" t="s">
        <v>543</v>
      </c>
      <c r="J278" s="14" t="s">
        <v>60</v>
      </c>
      <c r="K278" s="14" t="s">
        <v>60</v>
      </c>
      <c r="L278" s="14" t="s">
        <v>60</v>
      </c>
      <c r="M278" s="14" t="s">
        <v>544</v>
      </c>
      <c r="N278" s="14" t="s">
        <v>60</v>
      </c>
      <c r="O278" s="14" t="s">
        <v>60</v>
      </c>
      <c r="P278" s="14" t="s">
        <v>5290</v>
      </c>
      <c r="Q278" s="14" t="s">
        <v>11</v>
      </c>
      <c r="R278" s="3" t="s">
        <v>4170</v>
      </c>
      <c r="S278" s="3">
        <f t="shared" si="12"/>
        <v>550</v>
      </c>
      <c r="T278" s="3">
        <f t="shared" si="13"/>
        <v>17050</v>
      </c>
      <c r="U278" s="3" t="s">
        <v>60</v>
      </c>
      <c r="V278" s="14" t="s">
        <v>6</v>
      </c>
      <c r="W278" s="14" t="s">
        <v>5291</v>
      </c>
      <c r="X278" s="14" t="s">
        <v>60</v>
      </c>
    </row>
    <row r="279" spans="1:24" ht="15" x14ac:dyDescent="0.3">
      <c r="A279" s="3">
        <v>31</v>
      </c>
      <c r="B279" s="3" t="s">
        <v>5292</v>
      </c>
      <c r="C279" s="14" t="s">
        <v>0</v>
      </c>
      <c r="D279" s="14" t="s">
        <v>545</v>
      </c>
      <c r="E279" s="14" t="s">
        <v>5008</v>
      </c>
      <c r="F279" s="14" t="s">
        <v>546</v>
      </c>
      <c r="G279" s="14" t="s">
        <v>3</v>
      </c>
      <c r="H279" s="14" t="s">
        <v>5293</v>
      </c>
      <c r="I279" s="14" t="s">
        <v>547</v>
      </c>
      <c r="J279" s="14" t="s">
        <v>60</v>
      </c>
      <c r="K279" s="14" t="s">
        <v>60</v>
      </c>
      <c r="L279" s="14" t="s">
        <v>60</v>
      </c>
      <c r="M279" s="14" t="s">
        <v>548</v>
      </c>
      <c r="N279" s="14" t="s">
        <v>60</v>
      </c>
      <c r="O279" s="14" t="s">
        <v>60</v>
      </c>
      <c r="P279" s="14" t="s">
        <v>5294</v>
      </c>
      <c r="Q279" s="14" t="s">
        <v>11</v>
      </c>
      <c r="R279" s="3" t="s">
        <v>4170</v>
      </c>
      <c r="S279" s="3">
        <f t="shared" si="12"/>
        <v>550</v>
      </c>
      <c r="T279" s="3">
        <f t="shared" si="13"/>
        <v>17050</v>
      </c>
      <c r="U279" s="3" t="s">
        <v>60</v>
      </c>
      <c r="V279" s="14" t="s">
        <v>6</v>
      </c>
      <c r="W279" s="14" t="s">
        <v>5291</v>
      </c>
      <c r="X279" s="14" t="s">
        <v>60</v>
      </c>
    </row>
    <row r="280" spans="1:24" ht="15" x14ac:dyDescent="0.3">
      <c r="A280" s="3">
        <v>32</v>
      </c>
      <c r="B280" s="3" t="s">
        <v>5295</v>
      </c>
      <c r="C280" s="14" t="s">
        <v>0</v>
      </c>
      <c r="D280" s="14" t="s">
        <v>549</v>
      </c>
      <c r="E280" s="14" t="s">
        <v>5296</v>
      </c>
      <c r="F280" s="14" t="s">
        <v>550</v>
      </c>
      <c r="G280" s="14" t="s">
        <v>3</v>
      </c>
      <c r="H280" s="14" t="s">
        <v>5297</v>
      </c>
      <c r="I280" s="14" t="s">
        <v>551</v>
      </c>
      <c r="J280" s="14" t="s">
        <v>60</v>
      </c>
      <c r="K280" s="14" t="s">
        <v>60</v>
      </c>
      <c r="L280" s="14" t="s">
        <v>60</v>
      </c>
      <c r="M280" s="14" t="s">
        <v>552</v>
      </c>
      <c r="N280" s="14" t="s">
        <v>60</v>
      </c>
      <c r="O280" s="14" t="s">
        <v>60</v>
      </c>
      <c r="P280" s="14" t="s">
        <v>5298</v>
      </c>
      <c r="Q280" s="14" t="s">
        <v>11</v>
      </c>
      <c r="R280" s="3" t="s">
        <v>4170</v>
      </c>
      <c r="S280" s="3">
        <f t="shared" si="12"/>
        <v>550</v>
      </c>
      <c r="T280" s="3">
        <f t="shared" si="13"/>
        <v>17050</v>
      </c>
      <c r="U280" s="3" t="s">
        <v>60</v>
      </c>
      <c r="V280" s="14" t="s">
        <v>6</v>
      </c>
      <c r="W280" s="14" t="s">
        <v>5291</v>
      </c>
      <c r="X280" s="14" t="s">
        <v>60</v>
      </c>
    </row>
    <row r="281" spans="1:24" ht="15" x14ac:dyDescent="0.3">
      <c r="A281" s="3">
        <v>33</v>
      </c>
      <c r="B281" s="3" t="s">
        <v>5299</v>
      </c>
      <c r="C281" s="14" t="s">
        <v>0</v>
      </c>
      <c r="D281" s="14" t="s">
        <v>766</v>
      </c>
      <c r="E281" s="14" t="s">
        <v>5300</v>
      </c>
      <c r="F281" s="14" t="s">
        <v>767</v>
      </c>
      <c r="G281" s="14" t="s">
        <v>121</v>
      </c>
      <c r="H281" s="14" t="s">
        <v>5301</v>
      </c>
      <c r="I281" s="14" t="s">
        <v>768</v>
      </c>
      <c r="J281" s="14" t="s">
        <v>60</v>
      </c>
      <c r="K281" s="14" t="s">
        <v>60</v>
      </c>
      <c r="L281" s="14" t="s">
        <v>60</v>
      </c>
      <c r="M281" s="14" t="s">
        <v>769</v>
      </c>
      <c r="N281" s="14" t="s">
        <v>60</v>
      </c>
      <c r="O281" s="14" t="s">
        <v>25</v>
      </c>
      <c r="P281" s="14" t="s">
        <v>5302</v>
      </c>
      <c r="Q281" s="14" t="s">
        <v>185</v>
      </c>
      <c r="R281" s="3" t="s">
        <v>4170</v>
      </c>
      <c r="S281" s="3">
        <f t="shared" si="12"/>
        <v>550</v>
      </c>
      <c r="T281" s="3">
        <f t="shared" si="13"/>
        <v>17050</v>
      </c>
      <c r="U281" s="3" t="s">
        <v>60</v>
      </c>
      <c r="V281" s="14" t="s">
        <v>6</v>
      </c>
      <c r="W281" s="14" t="s">
        <v>4985</v>
      </c>
      <c r="X281" s="14" t="s">
        <v>60</v>
      </c>
    </row>
    <row r="282" spans="1:24" ht="15" x14ac:dyDescent="0.3">
      <c r="A282" s="3">
        <v>34</v>
      </c>
      <c r="B282" s="3" t="s">
        <v>5303</v>
      </c>
      <c r="C282" s="14" t="s">
        <v>0</v>
      </c>
      <c r="D282" s="14" t="s">
        <v>785</v>
      </c>
      <c r="E282" s="14" t="s">
        <v>4815</v>
      </c>
      <c r="F282" s="14" t="s">
        <v>786</v>
      </c>
      <c r="G282" s="14" t="s">
        <v>3</v>
      </c>
      <c r="H282" s="14" t="s">
        <v>787</v>
      </c>
      <c r="I282" s="14" t="s">
        <v>788</v>
      </c>
      <c r="J282" s="14" t="s">
        <v>60</v>
      </c>
      <c r="K282" s="14" t="s">
        <v>60</v>
      </c>
      <c r="L282" s="14" t="s">
        <v>60</v>
      </c>
      <c r="M282" s="14" t="s">
        <v>789</v>
      </c>
      <c r="N282" s="14" t="s">
        <v>60</v>
      </c>
      <c r="O282" s="14" t="s">
        <v>25</v>
      </c>
      <c r="P282" s="14" t="s">
        <v>5304</v>
      </c>
      <c r="Q282" s="14" t="s">
        <v>11</v>
      </c>
      <c r="R282" s="3" t="s">
        <v>4862</v>
      </c>
      <c r="S282" s="3">
        <f t="shared" si="12"/>
        <v>550</v>
      </c>
      <c r="T282" s="3">
        <f t="shared" si="13"/>
        <v>6050</v>
      </c>
      <c r="U282" s="3" t="s">
        <v>60</v>
      </c>
      <c r="V282" s="14" t="s">
        <v>6</v>
      </c>
      <c r="W282" s="14" t="s">
        <v>4999</v>
      </c>
      <c r="X282" s="30">
        <v>46283</v>
      </c>
    </row>
    <row r="283" spans="1:24" ht="15" x14ac:dyDescent="0.3">
      <c r="A283" s="3">
        <v>35</v>
      </c>
      <c r="B283" s="3" t="s">
        <v>5305</v>
      </c>
      <c r="C283" s="14" t="s">
        <v>0</v>
      </c>
      <c r="D283" s="14" t="s">
        <v>790</v>
      </c>
      <c r="E283" s="14" t="s">
        <v>5306</v>
      </c>
      <c r="F283" s="14" t="s">
        <v>791</v>
      </c>
      <c r="G283" s="14" t="s">
        <v>3</v>
      </c>
      <c r="H283" s="14" t="s">
        <v>5307</v>
      </c>
      <c r="I283" s="14" t="s">
        <v>792</v>
      </c>
      <c r="J283" s="14" t="s">
        <v>60</v>
      </c>
      <c r="K283" s="14" t="s">
        <v>60</v>
      </c>
      <c r="L283" s="14" t="s">
        <v>60</v>
      </c>
      <c r="M283" s="14" t="s">
        <v>793</v>
      </c>
      <c r="N283" s="14" t="s">
        <v>60</v>
      </c>
      <c r="O283" s="14" t="s">
        <v>25</v>
      </c>
      <c r="P283" s="14" t="s">
        <v>5308</v>
      </c>
      <c r="Q283" s="14" t="s">
        <v>11</v>
      </c>
      <c r="R283" s="3" t="s">
        <v>4300</v>
      </c>
      <c r="S283" s="3">
        <f t="shared" si="12"/>
        <v>550</v>
      </c>
      <c r="T283" s="3">
        <f t="shared" si="13"/>
        <v>15950</v>
      </c>
      <c r="U283" s="3" t="s">
        <v>60</v>
      </c>
      <c r="V283" s="14" t="s">
        <v>6</v>
      </c>
      <c r="W283" s="14" t="s">
        <v>4999</v>
      </c>
      <c r="X283" s="14" t="s">
        <v>60</v>
      </c>
    </row>
    <row r="284" spans="1:24" ht="15" x14ac:dyDescent="0.3">
      <c r="A284" s="3">
        <v>36</v>
      </c>
      <c r="B284" s="3" t="s">
        <v>5309</v>
      </c>
      <c r="C284" s="14" t="s">
        <v>0</v>
      </c>
      <c r="D284" s="14" t="s">
        <v>794</v>
      </c>
      <c r="E284" s="14" t="s">
        <v>4200</v>
      </c>
      <c r="F284" s="14" t="s">
        <v>795</v>
      </c>
      <c r="G284" s="14" t="s">
        <v>3</v>
      </c>
      <c r="H284" s="14" t="s">
        <v>5310</v>
      </c>
      <c r="I284" s="14" t="s">
        <v>796</v>
      </c>
      <c r="J284" s="14" t="s">
        <v>60</v>
      </c>
      <c r="K284" s="14" t="s">
        <v>60</v>
      </c>
      <c r="L284" s="14" t="s">
        <v>60</v>
      </c>
      <c r="M284" s="14" t="s">
        <v>797</v>
      </c>
      <c r="N284" s="14" t="s">
        <v>60</v>
      </c>
      <c r="O284" s="14" t="s">
        <v>25</v>
      </c>
      <c r="P284" s="14" t="s">
        <v>5311</v>
      </c>
      <c r="Q284" s="14" t="s">
        <v>11</v>
      </c>
      <c r="R284" s="3" t="s">
        <v>4170</v>
      </c>
      <c r="S284" s="3">
        <f t="shared" si="12"/>
        <v>550</v>
      </c>
      <c r="T284" s="3">
        <f t="shared" si="13"/>
        <v>17050</v>
      </c>
      <c r="U284" s="3" t="s">
        <v>60</v>
      </c>
      <c r="V284" s="14" t="s">
        <v>6</v>
      </c>
      <c r="W284" s="14" t="s">
        <v>4999</v>
      </c>
      <c r="X284" s="14" t="s">
        <v>60</v>
      </c>
    </row>
    <row r="285" spans="1:24" ht="15" x14ac:dyDescent="0.3">
      <c r="A285" s="3">
        <v>37</v>
      </c>
      <c r="B285" s="3" t="s">
        <v>5312</v>
      </c>
      <c r="C285" s="14" t="s">
        <v>0</v>
      </c>
      <c r="D285" s="14" t="s">
        <v>696</v>
      </c>
      <c r="E285" s="14" t="s">
        <v>5313</v>
      </c>
      <c r="F285" s="14" t="s">
        <v>798</v>
      </c>
      <c r="G285" s="14" t="s">
        <v>3</v>
      </c>
      <c r="H285" s="14" t="s">
        <v>5314</v>
      </c>
      <c r="I285" s="14" t="s">
        <v>799</v>
      </c>
      <c r="J285" s="14" t="s">
        <v>60</v>
      </c>
      <c r="K285" s="14" t="s">
        <v>60</v>
      </c>
      <c r="L285" s="14" t="s">
        <v>60</v>
      </c>
      <c r="M285" s="14" t="s">
        <v>800</v>
      </c>
      <c r="N285" s="14" t="s">
        <v>60</v>
      </c>
      <c r="O285" s="14" t="s">
        <v>25</v>
      </c>
      <c r="P285" s="14" t="s">
        <v>5315</v>
      </c>
      <c r="Q285" s="14" t="s">
        <v>11</v>
      </c>
      <c r="R285" s="3" t="s">
        <v>4381</v>
      </c>
      <c r="S285" s="3">
        <f t="shared" si="12"/>
        <v>550</v>
      </c>
      <c r="T285" s="3">
        <f t="shared" si="13"/>
        <v>15400</v>
      </c>
      <c r="U285" s="3" t="s">
        <v>60</v>
      </c>
      <c r="V285" s="14" t="s">
        <v>6</v>
      </c>
      <c r="W285" s="14" t="s">
        <v>4999</v>
      </c>
      <c r="X285" s="14" t="s">
        <v>60</v>
      </c>
    </row>
    <row r="286" spans="1:24" ht="15" x14ac:dyDescent="0.3">
      <c r="A286" s="3">
        <v>38</v>
      </c>
      <c r="B286" s="3" t="s">
        <v>5316</v>
      </c>
      <c r="C286" s="14" t="s">
        <v>0</v>
      </c>
      <c r="D286" s="14" t="s">
        <v>801</v>
      </c>
      <c r="E286" s="14" t="s">
        <v>802</v>
      </c>
      <c r="F286" s="14" t="s">
        <v>803</v>
      </c>
      <c r="G286" s="14" t="s">
        <v>3</v>
      </c>
      <c r="H286" s="14" t="s">
        <v>5317</v>
      </c>
      <c r="I286" s="14" t="s">
        <v>804</v>
      </c>
      <c r="J286" s="14" t="s">
        <v>60</v>
      </c>
      <c r="K286" s="14" t="s">
        <v>60</v>
      </c>
      <c r="L286" s="14" t="s">
        <v>60</v>
      </c>
      <c r="M286" s="14" t="s">
        <v>805</v>
      </c>
      <c r="N286" s="14" t="s">
        <v>60</v>
      </c>
      <c r="O286" s="14" t="s">
        <v>25</v>
      </c>
      <c r="P286" s="14" t="s">
        <v>5318</v>
      </c>
      <c r="Q286" s="14" t="s">
        <v>11</v>
      </c>
      <c r="R286" s="3" t="s">
        <v>4170</v>
      </c>
      <c r="S286" s="3">
        <f t="shared" si="12"/>
        <v>550</v>
      </c>
      <c r="T286" s="3">
        <f t="shared" si="13"/>
        <v>17050</v>
      </c>
      <c r="U286" s="3" t="s">
        <v>60</v>
      </c>
      <c r="V286" s="14" t="s">
        <v>6</v>
      </c>
      <c r="W286" s="14" t="s">
        <v>4999</v>
      </c>
      <c r="X286" s="14" t="s">
        <v>60</v>
      </c>
    </row>
    <row r="287" spans="1:24" ht="15" x14ac:dyDescent="0.3">
      <c r="A287" s="3">
        <v>39</v>
      </c>
      <c r="B287" s="3" t="s">
        <v>5319</v>
      </c>
      <c r="C287" s="14" t="s">
        <v>0</v>
      </c>
      <c r="D287" s="14" t="s">
        <v>806</v>
      </c>
      <c r="E287" s="14" t="s">
        <v>5320</v>
      </c>
      <c r="F287" s="14" t="s">
        <v>807</v>
      </c>
      <c r="G287" s="14" t="s">
        <v>3</v>
      </c>
      <c r="H287" s="14" t="s">
        <v>5321</v>
      </c>
      <c r="I287" s="14" t="s">
        <v>808</v>
      </c>
      <c r="J287" s="14" t="s">
        <v>60</v>
      </c>
      <c r="K287" s="14" t="s">
        <v>60</v>
      </c>
      <c r="L287" s="14" t="s">
        <v>60</v>
      </c>
      <c r="M287" s="14" t="s">
        <v>809</v>
      </c>
      <c r="N287" s="14" t="s">
        <v>60</v>
      </c>
      <c r="O287" s="14" t="s">
        <v>25</v>
      </c>
      <c r="P287" s="14" t="s">
        <v>5322</v>
      </c>
      <c r="Q287" s="14" t="s">
        <v>11</v>
      </c>
      <c r="R287" s="3" t="s">
        <v>4551</v>
      </c>
      <c r="S287" s="3">
        <f t="shared" si="12"/>
        <v>550</v>
      </c>
      <c r="T287" s="3">
        <f t="shared" si="13"/>
        <v>6600</v>
      </c>
      <c r="U287" s="3" t="s">
        <v>60</v>
      </c>
      <c r="V287" s="14" t="s">
        <v>6</v>
      </c>
      <c r="W287" s="14" t="s">
        <v>4999</v>
      </c>
      <c r="X287" s="14" t="s">
        <v>60</v>
      </c>
    </row>
    <row r="288" spans="1:24" ht="15" x14ac:dyDescent="0.3">
      <c r="A288" s="3">
        <v>40</v>
      </c>
      <c r="B288" s="3" t="s">
        <v>5323</v>
      </c>
      <c r="C288" s="14" t="s">
        <v>0</v>
      </c>
      <c r="D288" s="14" t="s">
        <v>810</v>
      </c>
      <c r="E288" s="14" t="s">
        <v>4778</v>
      </c>
      <c r="F288" s="14" t="s">
        <v>811</v>
      </c>
      <c r="G288" s="14" t="s">
        <v>3</v>
      </c>
      <c r="H288" s="14" t="s">
        <v>5324</v>
      </c>
      <c r="I288" s="14" t="s">
        <v>812</v>
      </c>
      <c r="J288" s="14" t="s">
        <v>60</v>
      </c>
      <c r="K288" s="14" t="s">
        <v>60</v>
      </c>
      <c r="L288" s="14" t="s">
        <v>60</v>
      </c>
      <c r="M288" s="14" t="s">
        <v>813</v>
      </c>
      <c r="N288" s="14" t="s">
        <v>60</v>
      </c>
      <c r="O288" s="14" t="s">
        <v>25</v>
      </c>
      <c r="P288" s="14" t="s">
        <v>5325</v>
      </c>
      <c r="Q288" s="14" t="s">
        <v>11</v>
      </c>
      <c r="R288" s="3" t="s">
        <v>4170</v>
      </c>
      <c r="S288" s="3">
        <f t="shared" si="12"/>
        <v>550</v>
      </c>
      <c r="T288" s="3">
        <f t="shared" si="13"/>
        <v>17050</v>
      </c>
      <c r="U288" s="3" t="s">
        <v>5326</v>
      </c>
      <c r="V288" s="14" t="s">
        <v>6</v>
      </c>
      <c r="W288" s="14" t="s">
        <v>4999</v>
      </c>
      <c r="X288" s="14" t="s">
        <v>60</v>
      </c>
    </row>
    <row r="289" spans="1:24" ht="15" x14ac:dyDescent="0.3">
      <c r="A289" s="3">
        <v>41</v>
      </c>
      <c r="B289" s="3" t="s">
        <v>5327</v>
      </c>
      <c r="C289" s="14" t="s">
        <v>0</v>
      </c>
      <c r="D289" s="14" t="s">
        <v>814</v>
      </c>
      <c r="E289" s="14" t="s">
        <v>5328</v>
      </c>
      <c r="F289" s="14" t="s">
        <v>254</v>
      </c>
      <c r="G289" s="14" t="s">
        <v>3</v>
      </c>
      <c r="H289" s="14" t="s">
        <v>5329</v>
      </c>
      <c r="I289" s="14" t="s">
        <v>5330</v>
      </c>
      <c r="J289" s="14" t="s">
        <v>60</v>
      </c>
      <c r="K289" s="14" t="s">
        <v>60</v>
      </c>
      <c r="L289" s="14" t="s">
        <v>60</v>
      </c>
      <c r="M289" s="14" t="s">
        <v>60</v>
      </c>
      <c r="N289" s="14" t="s">
        <v>60</v>
      </c>
      <c r="O289" s="14" t="s">
        <v>25</v>
      </c>
      <c r="P289" s="14" t="s">
        <v>5331</v>
      </c>
      <c r="Q289" s="14" t="s">
        <v>11</v>
      </c>
      <c r="R289" s="3" t="s">
        <v>4170</v>
      </c>
      <c r="S289" s="3">
        <f t="shared" si="12"/>
        <v>550</v>
      </c>
      <c r="T289" s="3">
        <f t="shared" si="13"/>
        <v>17050</v>
      </c>
      <c r="U289" s="3" t="s">
        <v>60</v>
      </c>
      <c r="V289" s="14" t="s">
        <v>6</v>
      </c>
      <c r="W289" s="14" t="s">
        <v>4999</v>
      </c>
      <c r="X289" s="14" t="s">
        <v>60</v>
      </c>
    </row>
    <row r="290" spans="1:24" ht="15" x14ac:dyDescent="0.3">
      <c r="A290" s="3">
        <v>42</v>
      </c>
      <c r="B290" s="3" t="s">
        <v>657</v>
      </c>
      <c r="C290" s="14" t="s">
        <v>26</v>
      </c>
      <c r="D290" s="14" t="s">
        <v>658</v>
      </c>
      <c r="E290" s="14" t="s">
        <v>4895</v>
      </c>
      <c r="F290" s="14" t="s">
        <v>659</v>
      </c>
      <c r="G290" s="14" t="s">
        <v>3</v>
      </c>
      <c r="H290" s="14" t="s">
        <v>5332</v>
      </c>
      <c r="I290" s="14" t="s">
        <v>660</v>
      </c>
      <c r="J290" s="14" t="s">
        <v>60</v>
      </c>
      <c r="K290" s="14" t="s">
        <v>60</v>
      </c>
      <c r="L290" s="14" t="s">
        <v>60</v>
      </c>
      <c r="M290" s="14" t="s">
        <v>661</v>
      </c>
      <c r="N290" s="14" t="s">
        <v>60</v>
      </c>
      <c r="O290" s="14" t="s">
        <v>59</v>
      </c>
      <c r="P290" s="14" t="s">
        <v>5333</v>
      </c>
      <c r="Q290" s="14" t="s">
        <v>185</v>
      </c>
      <c r="R290" s="3" t="s">
        <v>4170</v>
      </c>
      <c r="S290" s="3">
        <f t="shared" si="12"/>
        <v>770</v>
      </c>
      <c r="T290" s="3">
        <f t="shared" si="13"/>
        <v>23870</v>
      </c>
      <c r="U290" s="3" t="s">
        <v>60</v>
      </c>
      <c r="V290" s="14" t="s">
        <v>6</v>
      </c>
      <c r="W290" s="14" t="s">
        <v>4287</v>
      </c>
      <c r="X290" s="14" t="s">
        <v>60</v>
      </c>
    </row>
    <row r="291" spans="1:24" ht="15" x14ac:dyDescent="0.3">
      <c r="A291" s="3">
        <v>43</v>
      </c>
      <c r="B291" s="3" t="s">
        <v>5334</v>
      </c>
      <c r="C291" s="14" t="s">
        <v>0</v>
      </c>
      <c r="D291" s="14" t="s">
        <v>580</v>
      </c>
      <c r="E291" s="14" t="s">
        <v>5335</v>
      </c>
      <c r="F291" s="14" t="s">
        <v>581</v>
      </c>
      <c r="G291" s="14" t="s">
        <v>3</v>
      </c>
      <c r="H291" s="14" t="s">
        <v>5336</v>
      </c>
      <c r="I291" s="14" t="s">
        <v>582</v>
      </c>
      <c r="J291" s="14" t="s">
        <v>60</v>
      </c>
      <c r="K291" s="14" t="s">
        <v>60</v>
      </c>
      <c r="L291" s="14" t="s">
        <v>60</v>
      </c>
      <c r="M291" s="14" t="s">
        <v>60</v>
      </c>
      <c r="N291" s="14" t="s">
        <v>60</v>
      </c>
      <c r="O291" s="14" t="s">
        <v>558</v>
      </c>
      <c r="P291" s="14" t="s">
        <v>5337</v>
      </c>
      <c r="Q291" s="14" t="s">
        <v>185</v>
      </c>
      <c r="R291" s="3" t="s">
        <v>4170</v>
      </c>
      <c r="S291" s="3">
        <f t="shared" si="12"/>
        <v>550</v>
      </c>
      <c r="T291" s="3">
        <f t="shared" si="13"/>
        <v>17050</v>
      </c>
      <c r="U291" s="3" t="s">
        <v>60</v>
      </c>
      <c r="V291" s="14" t="s">
        <v>6</v>
      </c>
      <c r="W291" s="14" t="s">
        <v>4287</v>
      </c>
      <c r="X291" s="14" t="s">
        <v>60</v>
      </c>
    </row>
    <row r="292" spans="1:24" ht="15" x14ac:dyDescent="0.3">
      <c r="A292" s="3">
        <v>44</v>
      </c>
      <c r="B292" s="3" t="s">
        <v>5338</v>
      </c>
      <c r="C292" s="14" t="s">
        <v>0</v>
      </c>
      <c r="D292" s="14" t="s">
        <v>583</v>
      </c>
      <c r="E292" s="14" t="s">
        <v>5339</v>
      </c>
      <c r="F292" s="14" t="s">
        <v>584</v>
      </c>
      <c r="G292" s="14" t="s">
        <v>121</v>
      </c>
      <c r="H292" s="14" t="s">
        <v>5340</v>
      </c>
      <c r="I292" s="14" t="s">
        <v>585</v>
      </c>
      <c r="J292" s="14" t="s">
        <v>60</v>
      </c>
      <c r="K292" s="14" t="s">
        <v>60</v>
      </c>
      <c r="L292" s="14" t="s">
        <v>60</v>
      </c>
      <c r="M292" s="14" t="s">
        <v>586</v>
      </c>
      <c r="N292" s="14" t="s">
        <v>587</v>
      </c>
      <c r="O292" s="14" t="s">
        <v>558</v>
      </c>
      <c r="P292" s="14" t="s">
        <v>5341</v>
      </c>
      <c r="Q292" s="14" t="s">
        <v>588</v>
      </c>
      <c r="R292" s="3" t="s">
        <v>4170</v>
      </c>
      <c r="S292" s="3">
        <f t="shared" si="12"/>
        <v>550</v>
      </c>
      <c r="T292" s="3">
        <f t="shared" si="13"/>
        <v>17050</v>
      </c>
      <c r="U292" s="3" t="s">
        <v>60</v>
      </c>
      <c r="V292" s="14" t="s">
        <v>6</v>
      </c>
      <c r="W292" s="14" t="s">
        <v>4287</v>
      </c>
      <c r="X292" s="14" t="s">
        <v>60</v>
      </c>
    </row>
    <row r="293" spans="1:24" ht="15" x14ac:dyDescent="0.3">
      <c r="A293" s="3">
        <v>45</v>
      </c>
      <c r="B293" s="3" t="s">
        <v>5342</v>
      </c>
      <c r="C293" s="14" t="s">
        <v>0</v>
      </c>
      <c r="D293" s="14" t="s">
        <v>606</v>
      </c>
      <c r="E293" s="14" t="s">
        <v>5343</v>
      </c>
      <c r="F293" s="14" t="s">
        <v>580</v>
      </c>
      <c r="G293" s="14" t="s">
        <v>121</v>
      </c>
      <c r="H293" s="14" t="s">
        <v>5344</v>
      </c>
      <c r="I293" s="14" t="s">
        <v>607</v>
      </c>
      <c r="J293" s="14" t="s">
        <v>60</v>
      </c>
      <c r="K293" s="14" t="s">
        <v>60</v>
      </c>
      <c r="L293" s="14" t="s">
        <v>60</v>
      </c>
      <c r="M293" s="14" t="s">
        <v>60</v>
      </c>
      <c r="N293" s="14" t="s">
        <v>60</v>
      </c>
      <c r="O293" s="14" t="s">
        <v>558</v>
      </c>
      <c r="P293" s="14" t="s">
        <v>5345</v>
      </c>
      <c r="Q293" s="14" t="s">
        <v>11</v>
      </c>
      <c r="R293" s="3" t="s">
        <v>4170</v>
      </c>
      <c r="S293" s="3">
        <f t="shared" si="12"/>
        <v>550</v>
      </c>
      <c r="T293" s="3">
        <f t="shared" si="13"/>
        <v>17050</v>
      </c>
      <c r="U293" s="3" t="s">
        <v>60</v>
      </c>
      <c r="V293" s="14" t="s">
        <v>6</v>
      </c>
      <c r="W293" s="14" t="s">
        <v>4287</v>
      </c>
      <c r="X293" s="14" t="s">
        <v>60</v>
      </c>
    </row>
    <row r="294" spans="1:24" ht="15" x14ac:dyDescent="0.3">
      <c r="A294" s="3">
        <v>46</v>
      </c>
      <c r="B294" s="3" t="s">
        <v>5346</v>
      </c>
      <c r="C294" s="14" t="s">
        <v>0</v>
      </c>
      <c r="D294" s="14" t="s">
        <v>627</v>
      </c>
      <c r="E294" s="14" t="s">
        <v>5347</v>
      </c>
      <c r="F294" s="14" t="s">
        <v>628</v>
      </c>
      <c r="G294" s="14" t="s">
        <v>3</v>
      </c>
      <c r="H294" s="14" t="s">
        <v>5348</v>
      </c>
      <c r="I294" s="14" t="s">
        <v>629</v>
      </c>
      <c r="J294" s="14" t="s">
        <v>60</v>
      </c>
      <c r="K294" s="14" t="s">
        <v>60</v>
      </c>
      <c r="L294" s="14" t="s">
        <v>60</v>
      </c>
      <c r="M294" s="14" t="s">
        <v>630</v>
      </c>
      <c r="N294" s="14" t="s">
        <v>60</v>
      </c>
      <c r="O294" s="14" t="s">
        <v>558</v>
      </c>
      <c r="P294" s="14" t="s">
        <v>5349</v>
      </c>
      <c r="Q294" s="14" t="s">
        <v>11</v>
      </c>
      <c r="R294" s="3" t="s">
        <v>4170</v>
      </c>
      <c r="S294" s="3">
        <f t="shared" si="12"/>
        <v>550</v>
      </c>
      <c r="T294" s="3">
        <f t="shared" si="13"/>
        <v>17050</v>
      </c>
      <c r="U294" s="3" t="s">
        <v>60</v>
      </c>
      <c r="V294" s="14" t="s">
        <v>6</v>
      </c>
      <c r="W294" s="14" t="s">
        <v>5350</v>
      </c>
      <c r="X294" s="14" t="s">
        <v>60</v>
      </c>
    </row>
    <row r="295" spans="1:24" ht="15" x14ac:dyDescent="0.3">
      <c r="A295" s="3">
        <v>47</v>
      </c>
      <c r="B295" s="3" t="s">
        <v>5351</v>
      </c>
      <c r="C295" s="14" t="s">
        <v>0</v>
      </c>
      <c r="D295" s="14" t="s">
        <v>644</v>
      </c>
      <c r="E295" s="14" t="s">
        <v>5352</v>
      </c>
      <c r="F295" s="14" t="s">
        <v>645</v>
      </c>
      <c r="G295" s="14" t="s">
        <v>3</v>
      </c>
      <c r="H295" s="14" t="s">
        <v>5353</v>
      </c>
      <c r="I295" s="14" t="s">
        <v>646</v>
      </c>
      <c r="J295" s="14" t="s">
        <v>60</v>
      </c>
      <c r="K295" s="14" t="s">
        <v>60</v>
      </c>
      <c r="L295" s="14" t="s">
        <v>60</v>
      </c>
      <c r="M295" s="14" t="s">
        <v>647</v>
      </c>
      <c r="N295" s="14" t="s">
        <v>60</v>
      </c>
      <c r="O295" s="14" t="s">
        <v>255</v>
      </c>
      <c r="P295" s="14" t="s">
        <v>5354</v>
      </c>
      <c r="Q295" s="14" t="s">
        <v>185</v>
      </c>
      <c r="R295" s="3" t="s">
        <v>4170</v>
      </c>
      <c r="S295" s="3">
        <f t="shared" si="12"/>
        <v>550</v>
      </c>
      <c r="T295" s="3">
        <f t="shared" si="13"/>
        <v>17050</v>
      </c>
      <c r="U295" s="3" t="s">
        <v>60</v>
      </c>
      <c r="V295" s="14" t="s">
        <v>4208</v>
      </c>
      <c r="W295" s="14" t="s">
        <v>5223</v>
      </c>
      <c r="X295" s="14" t="s">
        <v>60</v>
      </c>
    </row>
    <row r="296" spans="1:24" ht="15" x14ac:dyDescent="0.3">
      <c r="A296" s="3">
        <v>48</v>
      </c>
      <c r="B296" s="3" t="s">
        <v>5355</v>
      </c>
      <c r="C296" s="14" t="s">
        <v>0</v>
      </c>
      <c r="D296" s="14" t="s">
        <v>662</v>
      </c>
      <c r="E296" s="14" t="s">
        <v>5356</v>
      </c>
      <c r="F296" s="14" t="s">
        <v>663</v>
      </c>
      <c r="G296" s="14" t="s">
        <v>121</v>
      </c>
      <c r="H296" s="14" t="s">
        <v>5357</v>
      </c>
      <c r="I296" s="14" t="s">
        <v>664</v>
      </c>
      <c r="J296" s="14" t="s">
        <v>228</v>
      </c>
      <c r="K296" s="14" t="s">
        <v>60</v>
      </c>
      <c r="L296" s="14" t="s">
        <v>590</v>
      </c>
      <c r="M296" s="14" t="s">
        <v>665</v>
      </c>
      <c r="N296" s="14" t="s">
        <v>60</v>
      </c>
      <c r="O296" s="14" t="s">
        <v>59</v>
      </c>
      <c r="P296" s="14" t="s">
        <v>5358</v>
      </c>
      <c r="Q296" s="14" t="s">
        <v>11</v>
      </c>
      <c r="R296" s="3" t="s">
        <v>4170</v>
      </c>
      <c r="S296" s="3">
        <f t="shared" si="12"/>
        <v>550</v>
      </c>
      <c r="T296" s="3">
        <f t="shared" si="13"/>
        <v>17050</v>
      </c>
      <c r="U296" s="3" t="s">
        <v>60</v>
      </c>
      <c r="V296" s="14" t="s">
        <v>6</v>
      </c>
      <c r="W296" s="14" t="s">
        <v>4287</v>
      </c>
      <c r="X296" s="14" t="s">
        <v>60</v>
      </c>
    </row>
    <row r="297" spans="1:24" ht="15" x14ac:dyDescent="0.3">
      <c r="A297" s="3">
        <v>49</v>
      </c>
      <c r="B297" s="3" t="s">
        <v>5359</v>
      </c>
      <c r="C297" s="14" t="s">
        <v>0</v>
      </c>
      <c r="D297" s="14" t="s">
        <v>666</v>
      </c>
      <c r="E297" s="14" t="s">
        <v>5360</v>
      </c>
      <c r="F297" s="14" t="s">
        <v>667</v>
      </c>
      <c r="G297" s="14" t="s">
        <v>3</v>
      </c>
      <c r="H297" s="14" t="s">
        <v>5361</v>
      </c>
      <c r="I297" s="14" t="s">
        <v>5362</v>
      </c>
      <c r="J297" s="14" t="s">
        <v>60</v>
      </c>
      <c r="K297" s="14" t="s">
        <v>60</v>
      </c>
      <c r="L297" s="14" t="s">
        <v>60</v>
      </c>
      <c r="M297" s="14" t="s">
        <v>668</v>
      </c>
      <c r="N297" s="14" t="s">
        <v>60</v>
      </c>
      <c r="O297" s="14" t="s">
        <v>59</v>
      </c>
      <c r="P297" s="14" t="s">
        <v>5363</v>
      </c>
      <c r="Q297" s="14" t="s">
        <v>11</v>
      </c>
      <c r="R297" s="3" t="s">
        <v>5244</v>
      </c>
      <c r="S297" s="3">
        <f t="shared" si="12"/>
        <v>550</v>
      </c>
      <c r="T297" s="3">
        <f t="shared" si="13"/>
        <v>14850</v>
      </c>
      <c r="U297" s="3" t="s">
        <v>60</v>
      </c>
      <c r="V297" s="14" t="s">
        <v>6</v>
      </c>
      <c r="W297" s="14" t="s">
        <v>4287</v>
      </c>
      <c r="X297" s="14" t="s">
        <v>60</v>
      </c>
    </row>
    <row r="298" spans="1:24" ht="15" x14ac:dyDescent="0.3">
      <c r="A298" s="3">
        <v>50</v>
      </c>
      <c r="B298" s="3" t="s">
        <v>5364</v>
      </c>
      <c r="C298" s="14" t="s">
        <v>0</v>
      </c>
      <c r="D298" s="14" t="s">
        <v>672</v>
      </c>
      <c r="E298" s="14" t="s">
        <v>5365</v>
      </c>
      <c r="F298" s="14" t="s">
        <v>673</v>
      </c>
      <c r="G298" s="14" t="s">
        <v>3</v>
      </c>
      <c r="H298" s="14" t="s">
        <v>5366</v>
      </c>
      <c r="I298" s="14" t="s">
        <v>674</v>
      </c>
      <c r="J298" s="14" t="s">
        <v>60</v>
      </c>
      <c r="K298" s="14" t="s">
        <v>60</v>
      </c>
      <c r="L298" s="14" t="s">
        <v>60</v>
      </c>
      <c r="M298" s="14" t="s">
        <v>675</v>
      </c>
      <c r="N298" s="14" t="s">
        <v>60</v>
      </c>
      <c r="O298" s="14" t="s">
        <v>59</v>
      </c>
      <c r="P298" s="14" t="s">
        <v>5367</v>
      </c>
      <c r="Q298" s="14" t="s">
        <v>11</v>
      </c>
      <c r="R298" s="3" t="s">
        <v>4170</v>
      </c>
      <c r="S298" s="3">
        <f t="shared" si="12"/>
        <v>550</v>
      </c>
      <c r="T298" s="3">
        <f t="shared" si="13"/>
        <v>17050</v>
      </c>
      <c r="U298" s="3" t="s">
        <v>60</v>
      </c>
      <c r="V298" s="14" t="s">
        <v>6</v>
      </c>
      <c r="W298" s="14" t="s">
        <v>4287</v>
      </c>
      <c r="X298" s="14" t="s">
        <v>60</v>
      </c>
    </row>
    <row r="299" spans="1:24" ht="15" x14ac:dyDescent="0.3">
      <c r="A299" s="3">
        <v>51</v>
      </c>
      <c r="B299" s="3" t="s">
        <v>5368</v>
      </c>
      <c r="C299" s="14" t="s">
        <v>0</v>
      </c>
      <c r="D299" s="14" t="s">
        <v>676</v>
      </c>
      <c r="E299" s="14" t="s">
        <v>5369</v>
      </c>
      <c r="F299" s="14" t="s">
        <v>677</v>
      </c>
      <c r="G299" s="14" t="s">
        <v>3</v>
      </c>
      <c r="H299" s="14" t="s">
        <v>678</v>
      </c>
      <c r="I299" s="14" t="s">
        <v>679</v>
      </c>
      <c r="J299" s="14" t="s">
        <v>60</v>
      </c>
      <c r="K299" s="14" t="s">
        <v>60</v>
      </c>
      <c r="L299" s="14" t="s">
        <v>60</v>
      </c>
      <c r="M299" s="14" t="s">
        <v>680</v>
      </c>
      <c r="N299" s="14" t="s">
        <v>60</v>
      </c>
      <c r="O299" s="14" t="s">
        <v>59</v>
      </c>
      <c r="P299" s="14" t="s">
        <v>5370</v>
      </c>
      <c r="Q299" s="14" t="s">
        <v>185</v>
      </c>
      <c r="R299" s="3" t="s">
        <v>5222</v>
      </c>
      <c r="S299" s="3">
        <f t="shared" si="12"/>
        <v>550</v>
      </c>
      <c r="T299" s="3">
        <f t="shared" si="13"/>
        <v>14300</v>
      </c>
      <c r="U299" s="3" t="s">
        <v>60</v>
      </c>
      <c r="V299" s="14" t="s">
        <v>6</v>
      </c>
      <c r="W299" s="14" t="s">
        <v>4287</v>
      </c>
      <c r="X299" s="14" t="s">
        <v>60</v>
      </c>
    </row>
    <row r="300" spans="1:24" ht="15" x14ac:dyDescent="0.3">
      <c r="A300" s="3">
        <v>52</v>
      </c>
      <c r="B300" s="3" t="s">
        <v>5371</v>
      </c>
      <c r="C300" s="14" t="s">
        <v>0</v>
      </c>
      <c r="D300" s="14" t="s">
        <v>681</v>
      </c>
      <c r="E300" s="14" t="s">
        <v>5372</v>
      </c>
      <c r="F300" s="14" t="s">
        <v>682</v>
      </c>
      <c r="G300" s="14" t="s">
        <v>121</v>
      </c>
      <c r="H300" s="14" t="s">
        <v>5373</v>
      </c>
      <c r="I300" s="14" t="s">
        <v>5374</v>
      </c>
      <c r="J300" s="14" t="s">
        <v>60</v>
      </c>
      <c r="K300" s="14" t="s">
        <v>60</v>
      </c>
      <c r="L300" s="14" t="s">
        <v>60</v>
      </c>
      <c r="M300" s="14" t="s">
        <v>683</v>
      </c>
      <c r="N300" s="14" t="s">
        <v>60</v>
      </c>
      <c r="O300" s="14" t="s">
        <v>59</v>
      </c>
      <c r="P300" s="14" t="s">
        <v>5375</v>
      </c>
      <c r="Q300" s="14" t="s">
        <v>11</v>
      </c>
      <c r="R300" s="3" t="s">
        <v>4170</v>
      </c>
      <c r="S300" s="3">
        <f t="shared" si="12"/>
        <v>550</v>
      </c>
      <c r="T300" s="3">
        <f t="shared" si="13"/>
        <v>17050</v>
      </c>
      <c r="U300" s="3" t="s">
        <v>60</v>
      </c>
      <c r="V300" s="14" t="s">
        <v>6</v>
      </c>
      <c r="W300" s="14" t="s">
        <v>4287</v>
      </c>
      <c r="X300" s="14" t="s">
        <v>60</v>
      </c>
    </row>
    <row r="301" spans="1:24" ht="15" x14ac:dyDescent="0.3">
      <c r="A301" s="3">
        <v>53</v>
      </c>
      <c r="B301" s="3" t="s">
        <v>5376</v>
      </c>
      <c r="C301" s="14" t="s">
        <v>0</v>
      </c>
      <c r="D301" s="14" t="s">
        <v>684</v>
      </c>
      <c r="E301" s="14" t="s">
        <v>5377</v>
      </c>
      <c r="F301" s="14" t="s">
        <v>685</v>
      </c>
      <c r="G301" s="14" t="s">
        <v>121</v>
      </c>
      <c r="H301" s="14" t="s">
        <v>5378</v>
      </c>
      <c r="I301" s="14" t="s">
        <v>686</v>
      </c>
      <c r="J301" s="14" t="s">
        <v>60</v>
      </c>
      <c r="K301" s="14" t="s">
        <v>60</v>
      </c>
      <c r="L301" s="14" t="s">
        <v>60</v>
      </c>
      <c r="M301" s="14" t="s">
        <v>687</v>
      </c>
      <c r="N301" s="14" t="s">
        <v>60</v>
      </c>
      <c r="O301" s="14" t="s">
        <v>59</v>
      </c>
      <c r="P301" s="14" t="s">
        <v>5379</v>
      </c>
      <c r="Q301" s="14" t="s">
        <v>11</v>
      </c>
      <c r="R301" s="3" t="s">
        <v>4381</v>
      </c>
      <c r="S301" s="3">
        <f t="shared" si="12"/>
        <v>550</v>
      </c>
      <c r="T301" s="3">
        <f t="shared" si="13"/>
        <v>15400</v>
      </c>
      <c r="U301" s="3" t="s">
        <v>60</v>
      </c>
      <c r="V301" s="14" t="s">
        <v>6</v>
      </c>
      <c r="W301" s="14" t="s">
        <v>4287</v>
      </c>
      <c r="X301" s="14" t="s">
        <v>60</v>
      </c>
    </row>
    <row r="302" spans="1:24" ht="15" x14ac:dyDescent="0.3">
      <c r="A302" s="3">
        <v>54</v>
      </c>
      <c r="B302" s="3" t="s">
        <v>5380</v>
      </c>
      <c r="C302" s="14" t="s">
        <v>0</v>
      </c>
      <c r="D302" s="14" t="s">
        <v>688</v>
      </c>
      <c r="E302" s="14" t="s">
        <v>5381</v>
      </c>
      <c r="F302" s="14" t="s">
        <v>689</v>
      </c>
      <c r="G302" s="14" t="s">
        <v>121</v>
      </c>
      <c r="H302" s="14" t="s">
        <v>5382</v>
      </c>
      <c r="I302" s="14" t="s">
        <v>690</v>
      </c>
      <c r="J302" s="14" t="s">
        <v>60</v>
      </c>
      <c r="K302" s="14" t="s">
        <v>60</v>
      </c>
      <c r="L302" s="14" t="s">
        <v>590</v>
      </c>
      <c r="M302" s="14" t="s">
        <v>691</v>
      </c>
      <c r="N302" s="14" t="s">
        <v>60</v>
      </c>
      <c r="O302" s="14" t="s">
        <v>558</v>
      </c>
      <c r="P302" s="14" t="s">
        <v>5383</v>
      </c>
      <c r="Q302" s="14" t="s">
        <v>185</v>
      </c>
      <c r="R302" s="3" t="s">
        <v>4170</v>
      </c>
      <c r="S302" s="3">
        <f t="shared" si="12"/>
        <v>550</v>
      </c>
      <c r="T302" s="3">
        <f t="shared" si="13"/>
        <v>17050</v>
      </c>
      <c r="U302" s="3" t="s">
        <v>60</v>
      </c>
      <c r="V302" s="14" t="s">
        <v>6</v>
      </c>
      <c r="W302" s="14" t="s">
        <v>4287</v>
      </c>
      <c r="X302" s="14" t="s">
        <v>60</v>
      </c>
    </row>
    <row r="303" spans="1:24" ht="15" x14ac:dyDescent="0.3">
      <c r="A303" s="3">
        <v>55</v>
      </c>
      <c r="B303" s="3" t="s">
        <v>5384</v>
      </c>
      <c r="C303" s="14" t="s">
        <v>0</v>
      </c>
      <c r="D303" s="14" t="s">
        <v>692</v>
      </c>
      <c r="E303" s="14" t="s">
        <v>5385</v>
      </c>
      <c r="F303" s="14" t="s">
        <v>693</v>
      </c>
      <c r="G303" s="14" t="s">
        <v>121</v>
      </c>
      <c r="H303" s="14" t="s">
        <v>5386</v>
      </c>
      <c r="I303" s="14" t="s">
        <v>694</v>
      </c>
      <c r="J303" s="14" t="s">
        <v>60</v>
      </c>
      <c r="K303" s="14" t="s">
        <v>60</v>
      </c>
      <c r="L303" s="14" t="s">
        <v>60</v>
      </c>
      <c r="M303" s="14" t="s">
        <v>60</v>
      </c>
      <c r="N303" s="14" t="s">
        <v>60</v>
      </c>
      <c r="O303" s="14" t="s">
        <v>558</v>
      </c>
      <c r="P303" s="14" t="s">
        <v>5387</v>
      </c>
      <c r="Q303" s="14" t="s">
        <v>185</v>
      </c>
      <c r="R303" s="3" t="s">
        <v>4170</v>
      </c>
      <c r="S303" s="3">
        <f t="shared" si="12"/>
        <v>550</v>
      </c>
      <c r="T303" s="3">
        <f t="shared" si="13"/>
        <v>17050</v>
      </c>
      <c r="U303" s="3" t="s">
        <v>60</v>
      </c>
      <c r="V303" s="14" t="s">
        <v>6</v>
      </c>
      <c r="W303" s="14" t="s">
        <v>5388</v>
      </c>
      <c r="X303" s="14" t="s">
        <v>60</v>
      </c>
    </row>
    <row r="304" spans="1:24" ht="15" x14ac:dyDescent="0.3">
      <c r="A304" s="3">
        <v>56</v>
      </c>
      <c r="B304" s="3" t="s">
        <v>5389</v>
      </c>
      <c r="C304" s="14" t="s">
        <v>0</v>
      </c>
      <c r="D304" s="14" t="s">
        <v>723</v>
      </c>
      <c r="E304" s="14" t="s">
        <v>5390</v>
      </c>
      <c r="F304" s="14" t="s">
        <v>724</v>
      </c>
      <c r="G304" s="14" t="s">
        <v>3</v>
      </c>
      <c r="H304" s="14" t="s">
        <v>5391</v>
      </c>
      <c r="I304" s="14" t="s">
        <v>725</v>
      </c>
      <c r="J304" s="14" t="s">
        <v>60</v>
      </c>
      <c r="K304" s="14" t="s">
        <v>60</v>
      </c>
      <c r="L304" s="14" t="s">
        <v>60</v>
      </c>
      <c r="M304" s="14" t="s">
        <v>726</v>
      </c>
      <c r="N304" s="14" t="s">
        <v>60</v>
      </c>
      <c r="O304" s="14" t="s">
        <v>25</v>
      </c>
      <c r="P304" s="14" t="s">
        <v>5392</v>
      </c>
      <c r="Q304" s="14" t="s">
        <v>11</v>
      </c>
      <c r="R304" s="3" t="s">
        <v>4170</v>
      </c>
      <c r="S304" s="3">
        <f t="shared" si="12"/>
        <v>550</v>
      </c>
      <c r="T304" s="3">
        <f t="shared" si="13"/>
        <v>17050</v>
      </c>
      <c r="U304" s="3" t="s">
        <v>60</v>
      </c>
      <c r="V304" s="14" t="s">
        <v>6</v>
      </c>
      <c r="W304" s="14" t="s">
        <v>4985</v>
      </c>
      <c r="X304" s="14" t="s">
        <v>60</v>
      </c>
    </row>
    <row r="305" spans="1:24" ht="15" x14ac:dyDescent="0.3">
      <c r="A305" s="3">
        <v>57</v>
      </c>
      <c r="B305" s="3" t="s">
        <v>5393</v>
      </c>
      <c r="C305" s="14" t="s">
        <v>0</v>
      </c>
      <c r="D305" s="14" t="s">
        <v>3453</v>
      </c>
      <c r="E305" s="14" t="s">
        <v>4746</v>
      </c>
      <c r="F305" s="14" t="s">
        <v>3456</v>
      </c>
      <c r="G305" s="14" t="s">
        <v>3</v>
      </c>
      <c r="H305" s="14" t="s">
        <v>5394</v>
      </c>
      <c r="I305" s="14" t="s">
        <v>3662</v>
      </c>
      <c r="J305" s="14" t="s">
        <v>60</v>
      </c>
      <c r="K305" s="14" t="s">
        <v>60</v>
      </c>
      <c r="L305" s="14" t="s">
        <v>60</v>
      </c>
      <c r="M305" s="14" t="s">
        <v>3663</v>
      </c>
      <c r="N305" s="14" t="s">
        <v>60</v>
      </c>
      <c r="O305" s="14" t="s">
        <v>60</v>
      </c>
      <c r="P305" s="14" t="s">
        <v>5395</v>
      </c>
      <c r="Q305" s="14" t="s">
        <v>180</v>
      </c>
      <c r="R305" s="3">
        <v>30</v>
      </c>
      <c r="S305" s="3">
        <f t="shared" si="12"/>
        <v>550</v>
      </c>
      <c r="T305" s="3">
        <f t="shared" si="13"/>
        <v>16500</v>
      </c>
      <c r="U305" s="3" t="s">
        <v>60</v>
      </c>
      <c r="V305" s="14" t="s">
        <v>6</v>
      </c>
      <c r="W305" s="14" t="s">
        <v>5396</v>
      </c>
      <c r="X305" s="14" t="s">
        <v>60</v>
      </c>
    </row>
    <row r="306" spans="1:24" ht="15" x14ac:dyDescent="0.3">
      <c r="A306" s="3">
        <v>58</v>
      </c>
      <c r="B306" s="3" t="s">
        <v>5397</v>
      </c>
      <c r="C306" s="14" t="s">
        <v>0</v>
      </c>
      <c r="D306" s="14" t="s">
        <v>3454</v>
      </c>
      <c r="E306" s="14" t="s">
        <v>5398</v>
      </c>
      <c r="F306" s="14" t="s">
        <v>3457</v>
      </c>
      <c r="G306" s="14" t="s">
        <v>3</v>
      </c>
      <c r="H306" s="14" t="s">
        <v>3664</v>
      </c>
      <c r="I306" s="14" t="s">
        <v>3665</v>
      </c>
      <c r="J306" s="14" t="s">
        <v>60</v>
      </c>
      <c r="K306" s="14" t="s">
        <v>60</v>
      </c>
      <c r="L306" s="14" t="s">
        <v>60</v>
      </c>
      <c r="M306" s="14" t="s">
        <v>3666</v>
      </c>
      <c r="N306" s="14" t="s">
        <v>60</v>
      </c>
      <c r="O306" s="14" t="s">
        <v>60</v>
      </c>
      <c r="P306" s="14" t="s">
        <v>5399</v>
      </c>
      <c r="Q306" s="14" t="s">
        <v>180</v>
      </c>
      <c r="R306" s="3" t="s">
        <v>4443</v>
      </c>
      <c r="S306" s="3">
        <f t="shared" si="12"/>
        <v>550</v>
      </c>
      <c r="T306" s="3">
        <f t="shared" si="13"/>
        <v>11550</v>
      </c>
      <c r="U306" s="3" t="s">
        <v>60</v>
      </c>
      <c r="V306" s="14" t="s">
        <v>6</v>
      </c>
      <c r="W306" s="14" t="s">
        <v>5396</v>
      </c>
      <c r="X306" s="14" t="s">
        <v>60</v>
      </c>
    </row>
    <row r="307" spans="1:24" ht="15" x14ac:dyDescent="0.3">
      <c r="A307" s="3">
        <v>59</v>
      </c>
      <c r="B307" s="3" t="s">
        <v>5400</v>
      </c>
      <c r="C307" s="14" t="s">
        <v>0</v>
      </c>
      <c r="D307" s="14" t="s">
        <v>3455</v>
      </c>
      <c r="E307" s="14" t="s">
        <v>4216</v>
      </c>
      <c r="F307" s="14" t="s">
        <v>3458</v>
      </c>
      <c r="G307" s="14" t="s">
        <v>3</v>
      </c>
      <c r="H307" s="14" t="s">
        <v>5401</v>
      </c>
      <c r="I307" s="14" t="s">
        <v>3667</v>
      </c>
      <c r="J307" s="14" t="s">
        <v>60</v>
      </c>
      <c r="K307" s="14" t="s">
        <v>60</v>
      </c>
      <c r="L307" s="14" t="s">
        <v>60</v>
      </c>
      <c r="M307" s="14" t="s">
        <v>3668</v>
      </c>
      <c r="N307" s="14" t="s">
        <v>60</v>
      </c>
      <c r="O307" s="14" t="s">
        <v>60</v>
      </c>
      <c r="P307" s="14" t="s">
        <v>5402</v>
      </c>
      <c r="Q307" s="14" t="s">
        <v>11</v>
      </c>
      <c r="R307" s="3" t="s">
        <v>4170</v>
      </c>
      <c r="S307" s="3">
        <f t="shared" si="12"/>
        <v>550</v>
      </c>
      <c r="T307" s="3">
        <f t="shared" si="13"/>
        <v>17050</v>
      </c>
      <c r="U307" s="3" t="s">
        <v>60</v>
      </c>
      <c r="V307" s="14" t="s">
        <v>6</v>
      </c>
      <c r="W307" s="14" t="s">
        <v>5396</v>
      </c>
      <c r="X307" s="14" t="s">
        <v>60</v>
      </c>
    </row>
    <row r="308" spans="1:24" ht="15" x14ac:dyDescent="0.3">
      <c r="A308" s="3">
        <v>60</v>
      </c>
      <c r="B308" s="3" t="s">
        <v>5403</v>
      </c>
      <c r="C308" s="14" t="s">
        <v>0</v>
      </c>
      <c r="D308" s="14" t="s">
        <v>753</v>
      </c>
      <c r="E308" s="14" t="s">
        <v>4658</v>
      </c>
      <c r="F308" s="14" t="s">
        <v>754</v>
      </c>
      <c r="G308" s="14" t="s">
        <v>3</v>
      </c>
      <c r="H308" s="14" t="s">
        <v>5255</v>
      </c>
      <c r="I308" s="14" t="s">
        <v>755</v>
      </c>
      <c r="J308" s="14" t="s">
        <v>60</v>
      </c>
      <c r="K308" s="14" t="s">
        <v>60</v>
      </c>
      <c r="L308" s="14" t="s">
        <v>60</v>
      </c>
      <c r="M308" s="14" t="s">
        <v>756</v>
      </c>
      <c r="N308" s="14" t="s">
        <v>60</v>
      </c>
      <c r="O308" s="14" t="s">
        <v>25</v>
      </c>
      <c r="P308" s="14" t="s">
        <v>5404</v>
      </c>
      <c r="Q308" s="14" t="s">
        <v>11</v>
      </c>
      <c r="R308" s="3" t="s">
        <v>4170</v>
      </c>
      <c r="S308" s="3">
        <f t="shared" si="12"/>
        <v>550</v>
      </c>
      <c r="T308" s="3">
        <f t="shared" si="13"/>
        <v>17050</v>
      </c>
      <c r="U308" s="3" t="s">
        <v>5405</v>
      </c>
      <c r="V308" s="14" t="s">
        <v>6</v>
      </c>
      <c r="W308" s="14" t="s">
        <v>5248</v>
      </c>
      <c r="X308" s="14" t="s">
        <v>60</v>
      </c>
    </row>
    <row r="309" spans="1:24" ht="15" x14ac:dyDescent="0.3">
      <c r="A309" s="3">
        <v>61</v>
      </c>
      <c r="B309" s="3" t="s">
        <v>5406</v>
      </c>
      <c r="C309" s="14" t="s">
        <v>0</v>
      </c>
      <c r="D309" s="14" t="s">
        <v>819</v>
      </c>
      <c r="E309" s="14" t="s">
        <v>4928</v>
      </c>
      <c r="F309" s="14" t="s">
        <v>820</v>
      </c>
      <c r="G309" s="14" t="s">
        <v>3</v>
      </c>
      <c r="H309" s="14" t="s">
        <v>5407</v>
      </c>
      <c r="I309" s="14" t="s">
        <v>821</v>
      </c>
      <c r="J309" s="14" t="s">
        <v>60</v>
      </c>
      <c r="K309" s="14" t="s">
        <v>60</v>
      </c>
      <c r="L309" s="14" t="s">
        <v>60</v>
      </c>
      <c r="M309" s="14" t="s">
        <v>822</v>
      </c>
      <c r="N309" s="14" t="s">
        <v>60</v>
      </c>
      <c r="O309" s="14" t="s">
        <v>25</v>
      </c>
      <c r="P309" s="14" t="s">
        <v>5408</v>
      </c>
      <c r="Q309" s="14" t="s">
        <v>11</v>
      </c>
      <c r="R309" s="3" t="s">
        <v>4170</v>
      </c>
      <c r="S309" s="3">
        <f t="shared" si="12"/>
        <v>550</v>
      </c>
      <c r="T309" s="3">
        <f t="shared" si="13"/>
        <v>17050</v>
      </c>
      <c r="U309" s="3" t="s">
        <v>60</v>
      </c>
      <c r="V309" s="14" t="s">
        <v>6</v>
      </c>
      <c r="W309" s="14" t="s">
        <v>4999</v>
      </c>
      <c r="X309" s="14" t="s">
        <v>60</v>
      </c>
    </row>
    <row r="310" spans="1:24" ht="15" x14ac:dyDescent="0.3">
      <c r="A310" s="3">
        <v>62</v>
      </c>
      <c r="B310" s="3" t="s">
        <v>5409</v>
      </c>
      <c r="C310" s="14" t="s">
        <v>0</v>
      </c>
      <c r="D310" s="14" t="s">
        <v>835</v>
      </c>
      <c r="E310" s="14" t="s">
        <v>5410</v>
      </c>
      <c r="F310" s="14" t="s">
        <v>836</v>
      </c>
      <c r="G310" s="14" t="s">
        <v>121</v>
      </c>
      <c r="H310" s="14" t="s">
        <v>5411</v>
      </c>
      <c r="I310" s="14" t="s">
        <v>837</v>
      </c>
      <c r="J310" s="14" t="s">
        <v>60</v>
      </c>
      <c r="K310" s="14" t="s">
        <v>60</v>
      </c>
      <c r="L310" s="14" t="s">
        <v>60</v>
      </c>
      <c r="M310" s="14" t="s">
        <v>838</v>
      </c>
      <c r="N310" s="14" t="s">
        <v>60</v>
      </c>
      <c r="O310" s="14" t="s">
        <v>60</v>
      </c>
      <c r="P310" s="14" t="s">
        <v>5412</v>
      </c>
      <c r="Q310" s="14" t="s">
        <v>11</v>
      </c>
      <c r="R310" s="3" t="s">
        <v>4170</v>
      </c>
      <c r="S310" s="3">
        <f t="shared" si="12"/>
        <v>550</v>
      </c>
      <c r="T310" s="3">
        <f t="shared" si="13"/>
        <v>17050</v>
      </c>
      <c r="U310" s="3" t="s">
        <v>60</v>
      </c>
      <c r="V310" s="14" t="s">
        <v>6</v>
      </c>
      <c r="W310" s="14" t="s">
        <v>4731</v>
      </c>
      <c r="X310" s="14" t="s">
        <v>60</v>
      </c>
    </row>
    <row r="311" spans="1:24" ht="15" x14ac:dyDescent="0.3">
      <c r="A311" s="3">
        <v>63</v>
      </c>
      <c r="B311" s="3" t="s">
        <v>5413</v>
      </c>
      <c r="C311" s="14" t="s">
        <v>0</v>
      </c>
      <c r="D311" s="14" t="s">
        <v>858</v>
      </c>
      <c r="E311" s="14" t="s">
        <v>4195</v>
      </c>
      <c r="F311" s="14" t="s">
        <v>852</v>
      </c>
      <c r="G311" s="14" t="s">
        <v>3</v>
      </c>
      <c r="H311" s="14" t="s">
        <v>5414</v>
      </c>
      <c r="I311" s="14" t="s">
        <v>859</v>
      </c>
      <c r="J311" s="14" t="s">
        <v>60</v>
      </c>
      <c r="K311" s="14" t="s">
        <v>60</v>
      </c>
      <c r="L311" s="14" t="s">
        <v>60</v>
      </c>
      <c r="M311" s="14" t="s">
        <v>860</v>
      </c>
      <c r="N311" s="14" t="s">
        <v>60</v>
      </c>
      <c r="O311" s="14" t="s">
        <v>558</v>
      </c>
      <c r="P311" s="14" t="s">
        <v>5415</v>
      </c>
      <c r="Q311" s="14" t="s">
        <v>389</v>
      </c>
      <c r="R311" s="3" t="s">
        <v>4170</v>
      </c>
      <c r="S311" s="3">
        <f t="shared" si="12"/>
        <v>550</v>
      </c>
      <c r="T311" s="3">
        <f t="shared" si="13"/>
        <v>17050</v>
      </c>
      <c r="U311" s="3" t="s">
        <v>60</v>
      </c>
      <c r="V311" s="14" t="s">
        <v>6</v>
      </c>
      <c r="W311" s="14" t="s">
        <v>5416</v>
      </c>
      <c r="X311" s="14" t="s">
        <v>60</v>
      </c>
    </row>
    <row r="312" spans="1:24" ht="15" x14ac:dyDescent="0.3">
      <c r="A312" s="3">
        <v>64</v>
      </c>
      <c r="B312" s="3" t="s">
        <v>5417</v>
      </c>
      <c r="C312" s="14" t="s">
        <v>0</v>
      </c>
      <c r="D312" s="14" t="s">
        <v>854</v>
      </c>
      <c r="E312" s="14" t="s">
        <v>4778</v>
      </c>
      <c r="F312" s="14" t="s">
        <v>855</v>
      </c>
      <c r="G312" s="14" t="s">
        <v>3</v>
      </c>
      <c r="H312" s="14" t="s">
        <v>5418</v>
      </c>
      <c r="I312" s="14" t="s">
        <v>856</v>
      </c>
      <c r="J312" s="14" t="s">
        <v>60</v>
      </c>
      <c r="K312" s="14" t="s">
        <v>60</v>
      </c>
      <c r="L312" s="14" t="s">
        <v>60</v>
      </c>
      <c r="M312" s="14" t="s">
        <v>857</v>
      </c>
      <c r="N312" s="14" t="s">
        <v>60</v>
      </c>
      <c r="O312" s="14" t="s">
        <v>59</v>
      </c>
      <c r="P312" s="14" t="s">
        <v>5419</v>
      </c>
      <c r="Q312" s="14" t="s">
        <v>11</v>
      </c>
      <c r="R312" s="3" t="s">
        <v>4170</v>
      </c>
      <c r="S312" s="3">
        <f t="shared" si="12"/>
        <v>550</v>
      </c>
      <c r="T312" s="3">
        <f t="shared" si="13"/>
        <v>17050</v>
      </c>
      <c r="U312" s="3" t="s">
        <v>60</v>
      </c>
      <c r="V312" s="14" t="s">
        <v>6</v>
      </c>
      <c r="W312" s="14" t="s">
        <v>5090</v>
      </c>
      <c r="X312" s="14" t="s">
        <v>60</v>
      </c>
    </row>
    <row r="313" spans="1:24" ht="15" x14ac:dyDescent="0.3">
      <c r="A313" s="3">
        <v>65</v>
      </c>
      <c r="B313" s="3" t="s">
        <v>5420</v>
      </c>
      <c r="C313" s="14" t="s">
        <v>0</v>
      </c>
      <c r="D313" s="14" t="s">
        <v>3307</v>
      </c>
      <c r="E313" s="14" t="s">
        <v>4205</v>
      </c>
      <c r="F313" s="14" t="s">
        <v>1523</v>
      </c>
      <c r="G313" s="14" t="s">
        <v>3</v>
      </c>
      <c r="H313" s="14" t="s">
        <v>5421</v>
      </c>
      <c r="I313" s="14" t="s">
        <v>3363</v>
      </c>
      <c r="J313" s="14" t="s">
        <v>60</v>
      </c>
      <c r="K313" s="14" t="s">
        <v>60</v>
      </c>
      <c r="L313" s="14" t="s">
        <v>60</v>
      </c>
      <c r="M313" s="14" t="s">
        <v>3364</v>
      </c>
      <c r="N313" s="14" t="s">
        <v>60</v>
      </c>
      <c r="O313" s="14" t="s">
        <v>60</v>
      </c>
      <c r="P313" s="14" t="s">
        <v>5422</v>
      </c>
      <c r="Q313" s="14" t="s">
        <v>11</v>
      </c>
      <c r="R313" s="3" t="s">
        <v>4170</v>
      </c>
      <c r="S313" s="3">
        <f t="shared" ref="S313" si="14">IF(RIGHT(C313,3)="MAZ",550,IF(RIGHT(C313,4)="MATE",570,IF(RIGHT(C313,7)="SKD-III",640,IF(RIGHT(C313,6)="SKD-II",770,IF(RIGHT(C313,5)="SKD-I",900,IF(RIGHT(C313,5)="CPDVR",770,""))))))</f>
        <v>550</v>
      </c>
      <c r="T313" s="3">
        <f t="shared" ref="T313" si="15">R313*S313</f>
        <v>17050</v>
      </c>
      <c r="U313" s="3" t="s">
        <v>5423</v>
      </c>
      <c r="V313" s="14" t="s">
        <v>4208</v>
      </c>
      <c r="W313" s="14" t="s">
        <v>5424</v>
      </c>
      <c r="X313" s="14" t="s">
        <v>60</v>
      </c>
    </row>
    <row r="314" spans="1:24" ht="15.6" x14ac:dyDescent="0.3">
      <c r="A314" s="26" t="s">
        <v>60</v>
      </c>
      <c r="B314" s="26" t="s">
        <v>60</v>
      </c>
      <c r="C314" s="27" t="s">
        <v>60</v>
      </c>
      <c r="D314" s="27" t="s">
        <v>60</v>
      </c>
      <c r="E314" s="27" t="s">
        <v>60</v>
      </c>
      <c r="F314" s="27" t="s">
        <v>60</v>
      </c>
      <c r="G314" s="27" t="s">
        <v>60</v>
      </c>
      <c r="H314" s="27" t="s">
        <v>60</v>
      </c>
      <c r="I314" s="27" t="s">
        <v>60</v>
      </c>
      <c r="J314" s="27" t="s">
        <v>60</v>
      </c>
      <c r="K314" s="27" t="s">
        <v>60</v>
      </c>
      <c r="L314" s="27" t="s">
        <v>60</v>
      </c>
      <c r="M314" s="27" t="s">
        <v>60</v>
      </c>
      <c r="N314" s="27" t="s">
        <v>60</v>
      </c>
      <c r="O314" s="27" t="s">
        <v>60</v>
      </c>
      <c r="P314" s="27" t="s">
        <v>60</v>
      </c>
      <c r="Q314" s="27" t="s">
        <v>60</v>
      </c>
      <c r="R314" s="35" t="s">
        <v>2009</v>
      </c>
      <c r="S314" s="35" t="s">
        <v>60</v>
      </c>
      <c r="T314" s="26">
        <f>SUM(T248:T313)</f>
        <v>1041480</v>
      </c>
      <c r="U314" s="26" t="s">
        <v>5425</v>
      </c>
      <c r="V314" s="27" t="s">
        <v>60</v>
      </c>
      <c r="W314" s="27" t="s">
        <v>60</v>
      </c>
      <c r="X314" s="27" t="s">
        <v>60</v>
      </c>
    </row>
    <row r="315" spans="1:24" ht="15.6" x14ac:dyDescent="0.3">
      <c r="A315" s="34" t="s">
        <v>5426</v>
      </c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 spans="1:24" ht="109.2" x14ac:dyDescent="0.3">
      <c r="A316" s="23" t="s">
        <v>42</v>
      </c>
      <c r="B316" s="23" t="s">
        <v>43</v>
      </c>
      <c r="C316" s="24" t="s">
        <v>44</v>
      </c>
      <c r="D316" s="24" t="s">
        <v>4154</v>
      </c>
      <c r="E316" s="24" t="s">
        <v>4155</v>
      </c>
      <c r="F316" s="24" t="s">
        <v>4156</v>
      </c>
      <c r="G316" s="24" t="s">
        <v>45</v>
      </c>
      <c r="H316" s="24" t="s">
        <v>4157</v>
      </c>
      <c r="I316" s="24" t="s">
        <v>46</v>
      </c>
      <c r="J316" s="24" t="s">
        <v>4158</v>
      </c>
      <c r="K316" s="24" t="s">
        <v>4159</v>
      </c>
      <c r="L316" s="24" t="s">
        <v>4160</v>
      </c>
      <c r="M316" s="24" t="s">
        <v>4161</v>
      </c>
      <c r="N316" s="24" t="s">
        <v>47</v>
      </c>
      <c r="O316" s="24" t="s">
        <v>48</v>
      </c>
      <c r="P316" s="24" t="s">
        <v>49</v>
      </c>
      <c r="Q316" s="24" t="s">
        <v>50</v>
      </c>
      <c r="R316" s="23" t="s">
        <v>4162</v>
      </c>
      <c r="S316" s="23" t="s">
        <v>4163</v>
      </c>
      <c r="T316" s="23" t="s">
        <v>4164</v>
      </c>
      <c r="U316" s="23" t="s">
        <v>4165</v>
      </c>
      <c r="V316" s="24" t="s">
        <v>51</v>
      </c>
      <c r="W316" s="24" t="s">
        <v>52</v>
      </c>
      <c r="X316" s="24" t="s">
        <v>53</v>
      </c>
    </row>
    <row r="317" spans="1:24" ht="15" x14ac:dyDescent="0.3">
      <c r="A317" s="3">
        <v>1</v>
      </c>
      <c r="B317" s="3" t="s">
        <v>553</v>
      </c>
      <c r="C317" s="14" t="s">
        <v>69</v>
      </c>
      <c r="D317" s="14" t="s">
        <v>554</v>
      </c>
      <c r="E317" s="14" t="s">
        <v>5427</v>
      </c>
      <c r="F317" s="14" t="s">
        <v>555</v>
      </c>
      <c r="G317" s="14" t="s">
        <v>3</v>
      </c>
      <c r="H317" s="14" t="s">
        <v>5428</v>
      </c>
      <c r="I317" s="14" t="s">
        <v>5429</v>
      </c>
      <c r="J317" s="14" t="s">
        <v>60</v>
      </c>
      <c r="K317" s="14" t="s">
        <v>60</v>
      </c>
      <c r="L317" s="14" t="s">
        <v>60</v>
      </c>
      <c r="M317" s="14" t="s">
        <v>556</v>
      </c>
      <c r="N317" s="14" t="s">
        <v>557</v>
      </c>
      <c r="O317" s="14" t="s">
        <v>558</v>
      </c>
      <c r="P317" s="14" t="s">
        <v>5430</v>
      </c>
      <c r="Q317" s="14" t="s">
        <v>185</v>
      </c>
      <c r="R317" s="3" t="s">
        <v>4170</v>
      </c>
      <c r="S317" s="3">
        <f t="shared" ref="S317:S380" si="16">IF(RIGHT(C317,3)="MAZ",550,IF(RIGHT(C317,4)="MATE",570,IF(RIGHT(C317,7)="SKD-III",640,IF(RIGHT(C317,6)="SKD-II",770,IF(RIGHT(C317,5)="SKD-I",900,IF(RIGHT(C317,5)="CPDVR",770,""))))))</f>
        <v>570</v>
      </c>
      <c r="T317" s="3">
        <f t="shared" ref="T317:T380" si="17">R317*S317</f>
        <v>17670</v>
      </c>
      <c r="U317" s="3" t="s">
        <v>60</v>
      </c>
      <c r="V317" s="14" t="s">
        <v>6</v>
      </c>
      <c r="W317" s="14" t="s">
        <v>4287</v>
      </c>
      <c r="X317" s="14" t="s">
        <v>60</v>
      </c>
    </row>
    <row r="318" spans="1:24" ht="15" x14ac:dyDescent="0.3">
      <c r="A318" s="3">
        <v>2</v>
      </c>
      <c r="B318" s="3" t="s">
        <v>5431</v>
      </c>
      <c r="C318" s="14" t="s">
        <v>69</v>
      </c>
      <c r="D318" s="14" t="s">
        <v>740</v>
      </c>
      <c r="E318" s="14" t="s">
        <v>5258</v>
      </c>
      <c r="F318" s="14" t="s">
        <v>741</v>
      </c>
      <c r="G318" s="14" t="s">
        <v>3</v>
      </c>
      <c r="H318" s="14" t="s">
        <v>5432</v>
      </c>
      <c r="I318" s="14" t="s">
        <v>742</v>
      </c>
      <c r="J318" s="14" t="s">
        <v>60</v>
      </c>
      <c r="K318" s="14" t="s">
        <v>60</v>
      </c>
      <c r="L318" s="14" t="s">
        <v>60</v>
      </c>
      <c r="M318" s="14" t="s">
        <v>743</v>
      </c>
      <c r="N318" s="14" t="s">
        <v>60</v>
      </c>
      <c r="O318" s="14" t="s">
        <v>25</v>
      </c>
      <c r="P318" s="14" t="s">
        <v>5433</v>
      </c>
      <c r="Q318" s="14" t="s">
        <v>11</v>
      </c>
      <c r="R318" s="3" t="s">
        <v>4170</v>
      </c>
      <c r="S318" s="3">
        <f t="shared" si="16"/>
        <v>570</v>
      </c>
      <c r="T318" s="3">
        <f t="shared" si="17"/>
        <v>17670</v>
      </c>
      <c r="U318" s="3" t="s">
        <v>60</v>
      </c>
      <c r="V318" s="14" t="s">
        <v>6</v>
      </c>
      <c r="W318" s="14" t="s">
        <v>5248</v>
      </c>
      <c r="X318" s="14" t="s">
        <v>60</v>
      </c>
    </row>
    <row r="319" spans="1:24" ht="15" x14ac:dyDescent="0.3">
      <c r="A319" s="3">
        <v>3</v>
      </c>
      <c r="B319" s="3" t="s">
        <v>5434</v>
      </c>
      <c r="C319" s="14" t="s">
        <v>710</v>
      </c>
      <c r="D319" s="14" t="s">
        <v>711</v>
      </c>
      <c r="E319" s="14" t="s">
        <v>5435</v>
      </c>
      <c r="F319" s="14" t="s">
        <v>712</v>
      </c>
      <c r="G319" s="14" t="s">
        <v>3</v>
      </c>
      <c r="H319" s="14" t="s">
        <v>5436</v>
      </c>
      <c r="I319" s="14" t="s">
        <v>713</v>
      </c>
      <c r="J319" s="14" t="s">
        <v>60</v>
      </c>
      <c r="K319" s="14" t="s">
        <v>60</v>
      </c>
      <c r="L319" s="14" t="s">
        <v>60</v>
      </c>
      <c r="M319" s="14" t="s">
        <v>714</v>
      </c>
      <c r="N319" s="14" t="s">
        <v>60</v>
      </c>
      <c r="O319" s="14" t="s">
        <v>114</v>
      </c>
      <c r="P319" s="14" t="s">
        <v>5437</v>
      </c>
      <c r="Q319" s="14" t="s">
        <v>11</v>
      </c>
      <c r="R319" s="3" t="s">
        <v>4170</v>
      </c>
      <c r="S319" s="3">
        <f t="shared" si="16"/>
        <v>900</v>
      </c>
      <c r="T319" s="3">
        <f t="shared" si="17"/>
        <v>27900</v>
      </c>
      <c r="U319" s="3" t="s">
        <v>60</v>
      </c>
      <c r="V319" s="14" t="s">
        <v>6</v>
      </c>
      <c r="W319" s="14" t="s">
        <v>5438</v>
      </c>
      <c r="X319" s="14" t="s">
        <v>60</v>
      </c>
    </row>
    <row r="320" spans="1:24" ht="15" x14ac:dyDescent="0.3">
      <c r="A320" s="3">
        <v>4</v>
      </c>
      <c r="B320" s="3" t="s">
        <v>5439</v>
      </c>
      <c r="C320" s="14" t="s">
        <v>710</v>
      </c>
      <c r="D320" s="14" t="s">
        <v>715</v>
      </c>
      <c r="E320" s="14" t="s">
        <v>5440</v>
      </c>
      <c r="F320" s="14" t="s">
        <v>716</v>
      </c>
      <c r="G320" s="14" t="s">
        <v>3</v>
      </c>
      <c r="H320" s="14" t="s">
        <v>5441</v>
      </c>
      <c r="I320" s="14" t="s">
        <v>717</v>
      </c>
      <c r="J320" s="14" t="s">
        <v>60</v>
      </c>
      <c r="K320" s="14" t="s">
        <v>60</v>
      </c>
      <c r="L320" s="14" t="s">
        <v>60</v>
      </c>
      <c r="M320" s="14" t="s">
        <v>717</v>
      </c>
      <c r="N320" s="14" t="s">
        <v>60</v>
      </c>
      <c r="O320" s="14" t="s">
        <v>718</v>
      </c>
      <c r="P320" s="14" t="s">
        <v>5442</v>
      </c>
      <c r="Q320" s="14" t="s">
        <v>719</v>
      </c>
      <c r="R320" s="3" t="s">
        <v>4170</v>
      </c>
      <c r="S320" s="3">
        <f t="shared" si="16"/>
        <v>900</v>
      </c>
      <c r="T320" s="3">
        <f t="shared" si="17"/>
        <v>27900</v>
      </c>
      <c r="U320" s="3" t="s">
        <v>60</v>
      </c>
      <c r="V320" s="14" t="s">
        <v>4208</v>
      </c>
      <c r="W320" s="14" t="s">
        <v>5443</v>
      </c>
      <c r="X320" s="14" t="s">
        <v>60</v>
      </c>
    </row>
    <row r="321" spans="1:24" ht="15" x14ac:dyDescent="0.3">
      <c r="A321" s="3">
        <v>5</v>
      </c>
      <c r="B321" s="3" t="s">
        <v>5444</v>
      </c>
      <c r="C321" s="14" t="s">
        <v>26</v>
      </c>
      <c r="D321" s="14" t="s">
        <v>731</v>
      </c>
      <c r="E321" s="14" t="s">
        <v>5445</v>
      </c>
      <c r="F321" s="14" t="s">
        <v>732</v>
      </c>
      <c r="G321" s="14" t="s">
        <v>3</v>
      </c>
      <c r="H321" s="14" t="s">
        <v>5446</v>
      </c>
      <c r="I321" s="14" t="s">
        <v>733</v>
      </c>
      <c r="J321" s="14" t="s">
        <v>60</v>
      </c>
      <c r="K321" s="14" t="s">
        <v>60</v>
      </c>
      <c r="L321" s="14" t="s">
        <v>60</v>
      </c>
      <c r="M321" s="14" t="s">
        <v>60</v>
      </c>
      <c r="N321" s="14" t="s">
        <v>60</v>
      </c>
      <c r="O321" s="14" t="s">
        <v>25</v>
      </c>
      <c r="P321" s="14" t="s">
        <v>734</v>
      </c>
      <c r="Q321" s="14" t="s">
        <v>735</v>
      </c>
      <c r="R321" s="3" t="s">
        <v>4170</v>
      </c>
      <c r="S321" s="3">
        <f t="shared" si="16"/>
        <v>770</v>
      </c>
      <c r="T321" s="3">
        <f t="shared" si="17"/>
        <v>23870</v>
      </c>
      <c r="U321" s="3" t="s">
        <v>60</v>
      </c>
      <c r="V321" s="14" t="s">
        <v>6</v>
      </c>
      <c r="W321" s="14" t="s">
        <v>4985</v>
      </c>
      <c r="X321" s="14" t="s">
        <v>60</v>
      </c>
    </row>
    <row r="322" spans="1:24" ht="15" x14ac:dyDescent="0.3">
      <c r="A322" s="3">
        <v>6</v>
      </c>
      <c r="B322" s="3" t="s">
        <v>5447</v>
      </c>
      <c r="C322" s="14" t="s">
        <v>26</v>
      </c>
      <c r="D322" s="14" t="s">
        <v>736</v>
      </c>
      <c r="E322" s="14" t="s">
        <v>5448</v>
      </c>
      <c r="F322" s="14" t="s">
        <v>737</v>
      </c>
      <c r="G322" s="14" t="s">
        <v>3</v>
      </c>
      <c r="H322" s="14" t="s">
        <v>5449</v>
      </c>
      <c r="I322" s="14" t="s">
        <v>738</v>
      </c>
      <c r="J322" s="14" t="s">
        <v>60</v>
      </c>
      <c r="K322" s="14" t="s">
        <v>60</v>
      </c>
      <c r="L322" s="14" t="s">
        <v>60</v>
      </c>
      <c r="M322" s="14" t="s">
        <v>60</v>
      </c>
      <c r="N322" s="14" t="s">
        <v>60</v>
      </c>
      <c r="O322" s="14" t="s">
        <v>25</v>
      </c>
      <c r="P322" s="14" t="s">
        <v>5450</v>
      </c>
      <c r="Q322" s="14" t="s">
        <v>739</v>
      </c>
      <c r="R322" s="3" t="s">
        <v>4170</v>
      </c>
      <c r="S322" s="3">
        <f t="shared" si="16"/>
        <v>770</v>
      </c>
      <c r="T322" s="3">
        <f t="shared" si="17"/>
        <v>23870</v>
      </c>
      <c r="U322" s="3" t="s">
        <v>60</v>
      </c>
      <c r="V322" s="14" t="s">
        <v>6</v>
      </c>
      <c r="W322" s="14" t="s">
        <v>4985</v>
      </c>
      <c r="X322" s="14" t="s">
        <v>60</v>
      </c>
    </row>
    <row r="323" spans="1:24" ht="15" x14ac:dyDescent="0.3">
      <c r="A323" s="3">
        <v>7</v>
      </c>
      <c r="B323" s="3" t="s">
        <v>559</v>
      </c>
      <c r="C323" s="14" t="s">
        <v>3967</v>
      </c>
      <c r="D323" s="14" t="s">
        <v>560</v>
      </c>
      <c r="E323" s="14" t="s">
        <v>5451</v>
      </c>
      <c r="F323" s="14" t="s">
        <v>561</v>
      </c>
      <c r="G323" s="14" t="s">
        <v>3</v>
      </c>
      <c r="H323" s="14" t="s">
        <v>562</v>
      </c>
      <c r="I323" s="14" t="s">
        <v>5452</v>
      </c>
      <c r="J323" s="14" t="s">
        <v>60</v>
      </c>
      <c r="K323" s="14" t="s">
        <v>60</v>
      </c>
      <c r="L323" s="14" t="s">
        <v>60</v>
      </c>
      <c r="M323" s="14" t="s">
        <v>563</v>
      </c>
      <c r="N323" s="14" t="s">
        <v>60</v>
      </c>
      <c r="O323" s="14" t="s">
        <v>558</v>
      </c>
      <c r="P323" s="14" t="s">
        <v>5453</v>
      </c>
      <c r="Q323" s="14" t="s">
        <v>185</v>
      </c>
      <c r="R323" s="3" t="s">
        <v>4170</v>
      </c>
      <c r="S323" s="3">
        <f t="shared" si="16"/>
        <v>640</v>
      </c>
      <c r="T323" s="3">
        <f t="shared" si="17"/>
        <v>19840</v>
      </c>
      <c r="U323" s="3" t="s">
        <v>60</v>
      </c>
      <c r="V323" s="14" t="s">
        <v>6</v>
      </c>
      <c r="W323" s="14" t="s">
        <v>4287</v>
      </c>
      <c r="X323" s="14" t="s">
        <v>60</v>
      </c>
    </row>
    <row r="324" spans="1:24" ht="15" x14ac:dyDescent="0.3">
      <c r="A324" s="3">
        <v>8</v>
      </c>
      <c r="B324" s="3" t="s">
        <v>564</v>
      </c>
      <c r="C324" s="14" t="s">
        <v>14</v>
      </c>
      <c r="D324" s="14" t="s">
        <v>565</v>
      </c>
      <c r="E324" s="14" t="s">
        <v>5454</v>
      </c>
      <c r="F324" s="14" t="s">
        <v>566</v>
      </c>
      <c r="G324" s="14" t="s">
        <v>3</v>
      </c>
      <c r="H324" s="14" t="s">
        <v>5455</v>
      </c>
      <c r="I324" s="14" t="s">
        <v>567</v>
      </c>
      <c r="J324" s="14" t="s">
        <v>60</v>
      </c>
      <c r="K324" s="14" t="s">
        <v>60</v>
      </c>
      <c r="L324" s="14" t="s">
        <v>60</v>
      </c>
      <c r="M324" s="14" t="s">
        <v>568</v>
      </c>
      <c r="N324" s="14" t="s">
        <v>569</v>
      </c>
      <c r="O324" s="14" t="s">
        <v>558</v>
      </c>
      <c r="P324" s="14" t="s">
        <v>5456</v>
      </c>
      <c r="Q324" s="14" t="s">
        <v>185</v>
      </c>
      <c r="R324" s="3" t="s">
        <v>4170</v>
      </c>
      <c r="S324" s="3">
        <f t="shared" si="16"/>
        <v>640</v>
      </c>
      <c r="T324" s="3">
        <f t="shared" si="17"/>
        <v>19840</v>
      </c>
      <c r="U324" s="3" t="s">
        <v>60</v>
      </c>
      <c r="V324" s="14" t="s">
        <v>6</v>
      </c>
      <c r="W324" s="14" t="s">
        <v>4287</v>
      </c>
      <c r="X324" s="14" t="s">
        <v>60</v>
      </c>
    </row>
    <row r="325" spans="1:24" ht="15" x14ac:dyDescent="0.3">
      <c r="A325" s="3">
        <v>9</v>
      </c>
      <c r="B325" s="3" t="s">
        <v>5457</v>
      </c>
      <c r="C325" s="14" t="s">
        <v>354</v>
      </c>
      <c r="D325" s="14" t="s">
        <v>705</v>
      </c>
      <c r="E325" s="14" t="s">
        <v>4293</v>
      </c>
      <c r="F325" s="14" t="s">
        <v>706</v>
      </c>
      <c r="G325" s="14" t="s">
        <v>3</v>
      </c>
      <c r="H325" s="14" t="s">
        <v>707</v>
      </c>
      <c r="I325" s="14" t="s">
        <v>708</v>
      </c>
      <c r="J325" s="14" t="s">
        <v>60</v>
      </c>
      <c r="K325" s="14" t="s">
        <v>60</v>
      </c>
      <c r="L325" s="14" t="s">
        <v>60</v>
      </c>
      <c r="M325" s="14" t="s">
        <v>709</v>
      </c>
      <c r="N325" s="14" t="s">
        <v>60</v>
      </c>
      <c r="O325" s="14" t="s">
        <v>59</v>
      </c>
      <c r="P325" s="14" t="s">
        <v>5458</v>
      </c>
      <c r="Q325" s="14" t="s">
        <v>11</v>
      </c>
      <c r="R325" s="3" t="s">
        <v>4551</v>
      </c>
      <c r="S325" s="3">
        <f t="shared" si="16"/>
        <v>550</v>
      </c>
      <c r="T325" s="3">
        <f t="shared" si="17"/>
        <v>6600</v>
      </c>
      <c r="U325" s="3" t="s">
        <v>60</v>
      </c>
      <c r="V325" s="14" t="s">
        <v>6</v>
      </c>
      <c r="W325" s="14" t="s">
        <v>5090</v>
      </c>
      <c r="X325" s="14" t="s">
        <v>60</v>
      </c>
    </row>
    <row r="326" spans="1:24" ht="15" x14ac:dyDescent="0.3">
      <c r="A326" s="3">
        <v>10</v>
      </c>
      <c r="B326" s="3" t="s">
        <v>5459</v>
      </c>
      <c r="C326" s="14" t="s">
        <v>0</v>
      </c>
      <c r="D326" s="14" t="s">
        <v>823</v>
      </c>
      <c r="E326" s="14" t="s">
        <v>4990</v>
      </c>
      <c r="F326" s="14" t="s">
        <v>824</v>
      </c>
      <c r="G326" s="14" t="s">
        <v>3</v>
      </c>
      <c r="H326" s="14" t="s">
        <v>5460</v>
      </c>
      <c r="I326" s="14" t="s">
        <v>825</v>
      </c>
      <c r="J326" s="14" t="s">
        <v>60</v>
      </c>
      <c r="K326" s="14" t="s">
        <v>60</v>
      </c>
      <c r="L326" s="14" t="s">
        <v>60</v>
      </c>
      <c r="M326" s="14" t="s">
        <v>826</v>
      </c>
      <c r="N326" s="14" t="s">
        <v>60</v>
      </c>
      <c r="O326" s="14" t="s">
        <v>25</v>
      </c>
      <c r="P326" s="14" t="s">
        <v>5461</v>
      </c>
      <c r="Q326" s="14" t="s">
        <v>11</v>
      </c>
      <c r="R326" s="3" t="s">
        <v>4170</v>
      </c>
      <c r="S326" s="3">
        <f t="shared" si="16"/>
        <v>550</v>
      </c>
      <c r="T326" s="3">
        <f t="shared" si="17"/>
        <v>17050</v>
      </c>
      <c r="U326" s="3" t="s">
        <v>60</v>
      </c>
      <c r="V326" s="14" t="s">
        <v>6</v>
      </c>
      <c r="W326" s="14" t="s">
        <v>4999</v>
      </c>
      <c r="X326" s="14" t="s">
        <v>60</v>
      </c>
    </row>
    <row r="327" spans="1:24" ht="15" x14ac:dyDescent="0.3">
      <c r="A327" s="3">
        <v>11</v>
      </c>
      <c r="B327" s="3" t="s">
        <v>5462</v>
      </c>
      <c r="C327" s="14" t="s">
        <v>91</v>
      </c>
      <c r="D327" s="14" t="s">
        <v>576</v>
      </c>
      <c r="E327" s="14" t="s">
        <v>5463</v>
      </c>
      <c r="F327" s="14" t="s">
        <v>577</v>
      </c>
      <c r="G327" s="14" t="s">
        <v>3</v>
      </c>
      <c r="H327" s="14" t="s">
        <v>5464</v>
      </c>
      <c r="I327" s="14" t="s">
        <v>578</v>
      </c>
      <c r="J327" s="14" t="s">
        <v>60</v>
      </c>
      <c r="K327" s="14" t="s">
        <v>60</v>
      </c>
      <c r="L327" s="14" t="s">
        <v>60</v>
      </c>
      <c r="M327" s="14" t="s">
        <v>579</v>
      </c>
      <c r="N327" s="14" t="s">
        <v>60</v>
      </c>
      <c r="O327" s="14" t="s">
        <v>255</v>
      </c>
      <c r="P327" s="14" t="s">
        <v>5465</v>
      </c>
      <c r="Q327" s="14" t="s">
        <v>11</v>
      </c>
      <c r="R327" s="3" t="s">
        <v>4170</v>
      </c>
      <c r="S327" s="3">
        <f t="shared" si="16"/>
        <v>770</v>
      </c>
      <c r="T327" s="3">
        <f t="shared" si="17"/>
        <v>23870</v>
      </c>
      <c r="U327" s="3" t="s">
        <v>60</v>
      </c>
      <c r="V327" s="14" t="s">
        <v>4208</v>
      </c>
      <c r="W327" s="14" t="s">
        <v>5466</v>
      </c>
      <c r="X327" s="14" t="s">
        <v>60</v>
      </c>
    </row>
    <row r="328" spans="1:24" ht="15" x14ac:dyDescent="0.3">
      <c r="A328" s="3">
        <v>12</v>
      </c>
      <c r="B328" s="3" t="s">
        <v>652</v>
      </c>
      <c r="C328" s="14" t="s">
        <v>91</v>
      </c>
      <c r="D328" s="14" t="s">
        <v>653</v>
      </c>
      <c r="E328" s="14" t="s">
        <v>5467</v>
      </c>
      <c r="F328" s="14" t="s">
        <v>654</v>
      </c>
      <c r="G328" s="14" t="s">
        <v>3</v>
      </c>
      <c r="H328" s="14" t="s">
        <v>5468</v>
      </c>
      <c r="I328" s="14" t="s">
        <v>655</v>
      </c>
      <c r="J328" s="14" t="s">
        <v>60</v>
      </c>
      <c r="K328" s="14" t="s">
        <v>60</v>
      </c>
      <c r="L328" s="14" t="s">
        <v>60</v>
      </c>
      <c r="M328" s="14" t="s">
        <v>656</v>
      </c>
      <c r="N328" s="14" t="s">
        <v>60</v>
      </c>
      <c r="O328" s="14" t="s">
        <v>558</v>
      </c>
      <c r="P328" s="14" t="s">
        <v>5469</v>
      </c>
      <c r="Q328" s="14" t="s">
        <v>185</v>
      </c>
      <c r="R328" s="3" t="s">
        <v>4170</v>
      </c>
      <c r="S328" s="3">
        <f t="shared" si="16"/>
        <v>770</v>
      </c>
      <c r="T328" s="3">
        <f t="shared" si="17"/>
        <v>23870</v>
      </c>
      <c r="U328" s="3" t="s">
        <v>60</v>
      </c>
      <c r="V328" s="14" t="s">
        <v>6</v>
      </c>
      <c r="W328" s="14" t="s">
        <v>4287</v>
      </c>
      <c r="X328" s="14" t="s">
        <v>60</v>
      </c>
    </row>
    <row r="329" spans="1:24" ht="15" x14ac:dyDescent="0.3">
      <c r="A329" s="3">
        <v>13</v>
      </c>
      <c r="B329" s="3" t="s">
        <v>5470</v>
      </c>
      <c r="C329" s="14" t="s">
        <v>91</v>
      </c>
      <c r="D329" s="14" t="s">
        <v>757</v>
      </c>
      <c r="E329" s="14" t="s">
        <v>4746</v>
      </c>
      <c r="F329" s="14" t="s">
        <v>758</v>
      </c>
      <c r="G329" s="14" t="s">
        <v>3</v>
      </c>
      <c r="H329" s="14" t="s">
        <v>5471</v>
      </c>
      <c r="I329" s="14" t="s">
        <v>759</v>
      </c>
      <c r="J329" s="14" t="s">
        <v>60</v>
      </c>
      <c r="K329" s="14" t="s">
        <v>60</v>
      </c>
      <c r="L329" s="14" t="s">
        <v>60</v>
      </c>
      <c r="M329" s="14" t="s">
        <v>760</v>
      </c>
      <c r="N329" s="14" t="s">
        <v>60</v>
      </c>
      <c r="O329" s="14" t="s">
        <v>59</v>
      </c>
      <c r="P329" s="14" t="s">
        <v>5472</v>
      </c>
      <c r="Q329" s="14" t="s">
        <v>761</v>
      </c>
      <c r="R329" s="3" t="s">
        <v>4170</v>
      </c>
      <c r="S329" s="3">
        <f t="shared" si="16"/>
        <v>770</v>
      </c>
      <c r="T329" s="3">
        <f t="shared" si="17"/>
        <v>23870</v>
      </c>
      <c r="U329" s="3" t="s">
        <v>60</v>
      </c>
      <c r="V329" s="14" t="s">
        <v>6</v>
      </c>
      <c r="W329" s="14" t="s">
        <v>4287</v>
      </c>
      <c r="X329" s="14" t="s">
        <v>60</v>
      </c>
    </row>
    <row r="330" spans="1:24" ht="15" x14ac:dyDescent="0.3">
      <c r="A330" s="3">
        <v>14</v>
      </c>
      <c r="B330" s="3" t="s">
        <v>5473</v>
      </c>
      <c r="C330" s="14" t="s">
        <v>14</v>
      </c>
      <c r="D330" s="14" t="s">
        <v>640</v>
      </c>
      <c r="E330" s="14" t="s">
        <v>5258</v>
      </c>
      <c r="F330" s="14" t="s">
        <v>641</v>
      </c>
      <c r="G330" s="14" t="s">
        <v>3</v>
      </c>
      <c r="H330" s="14" t="s">
        <v>5474</v>
      </c>
      <c r="I330" s="14" t="s">
        <v>642</v>
      </c>
      <c r="J330" s="14" t="s">
        <v>60</v>
      </c>
      <c r="K330" s="14" t="s">
        <v>60</v>
      </c>
      <c r="L330" s="14" t="s">
        <v>60</v>
      </c>
      <c r="M330" s="14" t="s">
        <v>643</v>
      </c>
      <c r="N330" s="14" t="s">
        <v>60</v>
      </c>
      <c r="O330" s="14" t="s">
        <v>255</v>
      </c>
      <c r="P330" s="14" t="s">
        <v>5475</v>
      </c>
      <c r="Q330" s="14" t="s">
        <v>11</v>
      </c>
      <c r="R330" s="3" t="s">
        <v>4170</v>
      </c>
      <c r="S330" s="3">
        <f t="shared" si="16"/>
        <v>640</v>
      </c>
      <c r="T330" s="3">
        <f t="shared" si="17"/>
        <v>19840</v>
      </c>
      <c r="U330" s="3" t="s">
        <v>60</v>
      </c>
      <c r="V330" s="14" t="s">
        <v>4208</v>
      </c>
      <c r="W330" s="14" t="s">
        <v>5223</v>
      </c>
      <c r="X330" s="14" t="s">
        <v>60</v>
      </c>
    </row>
    <row r="331" spans="1:24" ht="15" x14ac:dyDescent="0.3">
      <c r="A331" s="3">
        <v>15</v>
      </c>
      <c r="B331" s="3" t="s">
        <v>5476</v>
      </c>
      <c r="C331" s="14" t="s">
        <v>14</v>
      </c>
      <c r="D331" s="14" t="s">
        <v>570</v>
      </c>
      <c r="E331" s="14" t="s">
        <v>5477</v>
      </c>
      <c r="F331" s="14" t="s">
        <v>571</v>
      </c>
      <c r="G331" s="14" t="s">
        <v>3</v>
      </c>
      <c r="H331" s="14" t="s">
        <v>572</v>
      </c>
      <c r="I331" s="14" t="s">
        <v>573</v>
      </c>
      <c r="J331" s="14" t="s">
        <v>60</v>
      </c>
      <c r="K331" s="14" t="s">
        <v>60</v>
      </c>
      <c r="L331" s="14" t="s">
        <v>60</v>
      </c>
      <c r="M331" s="14" t="s">
        <v>574</v>
      </c>
      <c r="N331" s="14" t="s">
        <v>60</v>
      </c>
      <c r="O331" s="14" t="s">
        <v>575</v>
      </c>
      <c r="P331" s="14" t="s">
        <v>5478</v>
      </c>
      <c r="Q331" s="14" t="s">
        <v>11</v>
      </c>
      <c r="R331" s="3" t="s">
        <v>4381</v>
      </c>
      <c r="S331" s="3">
        <f t="shared" si="16"/>
        <v>640</v>
      </c>
      <c r="T331" s="3">
        <f t="shared" si="17"/>
        <v>17920</v>
      </c>
      <c r="U331" s="3" t="s">
        <v>60</v>
      </c>
      <c r="V331" s="14" t="s">
        <v>6</v>
      </c>
      <c r="W331" s="14" t="s">
        <v>5479</v>
      </c>
      <c r="X331" s="14" t="s">
        <v>60</v>
      </c>
    </row>
    <row r="332" spans="1:24" ht="15" x14ac:dyDescent="0.3">
      <c r="A332" s="3">
        <v>16</v>
      </c>
      <c r="B332" s="3" t="s">
        <v>5480</v>
      </c>
      <c r="C332" s="14" t="s">
        <v>0</v>
      </c>
      <c r="D332" s="14" t="s">
        <v>3309</v>
      </c>
      <c r="E332" s="14" t="s">
        <v>5481</v>
      </c>
      <c r="F332" s="14" t="s">
        <v>3311</v>
      </c>
      <c r="G332" s="14" t="s">
        <v>3</v>
      </c>
      <c r="H332" s="14" t="s">
        <v>3367</v>
      </c>
      <c r="I332" s="14" t="s">
        <v>3368</v>
      </c>
      <c r="J332" s="14" t="s">
        <v>60</v>
      </c>
      <c r="K332" s="14" t="s">
        <v>60</v>
      </c>
      <c r="L332" s="14" t="s">
        <v>60</v>
      </c>
      <c r="M332" s="14" t="s">
        <v>3369</v>
      </c>
      <c r="N332" s="14" t="s">
        <v>60</v>
      </c>
      <c r="O332" s="14" t="s">
        <v>60</v>
      </c>
      <c r="P332" s="14" t="s">
        <v>5482</v>
      </c>
      <c r="Q332" s="14" t="s">
        <v>11</v>
      </c>
      <c r="R332" s="3" t="s">
        <v>4862</v>
      </c>
      <c r="S332" s="3">
        <f t="shared" si="16"/>
        <v>550</v>
      </c>
      <c r="T332" s="3">
        <f t="shared" si="17"/>
        <v>6050</v>
      </c>
      <c r="U332" s="3" t="s">
        <v>60</v>
      </c>
      <c r="V332" s="14" t="s">
        <v>3889</v>
      </c>
      <c r="W332" s="14" t="s">
        <v>5424</v>
      </c>
      <c r="X332" s="14" t="s">
        <v>5483</v>
      </c>
    </row>
    <row r="333" spans="1:24" ht="15" x14ac:dyDescent="0.3">
      <c r="A333" s="3">
        <v>17</v>
      </c>
      <c r="B333" s="3" t="s">
        <v>5484</v>
      </c>
      <c r="C333" s="14" t="s">
        <v>0</v>
      </c>
      <c r="D333" s="14" t="s">
        <v>827</v>
      </c>
      <c r="E333" s="14" t="s">
        <v>5485</v>
      </c>
      <c r="F333" s="14" t="s">
        <v>3312</v>
      </c>
      <c r="G333" s="14" t="s">
        <v>3</v>
      </c>
      <c r="H333" s="14" t="s">
        <v>5486</v>
      </c>
      <c r="I333" s="14" t="s">
        <v>3370</v>
      </c>
      <c r="J333" s="14" t="s">
        <v>60</v>
      </c>
      <c r="K333" s="14" t="s">
        <v>60</v>
      </c>
      <c r="L333" s="14" t="s">
        <v>60</v>
      </c>
      <c r="M333" s="14" t="s">
        <v>3371</v>
      </c>
      <c r="N333" s="14" t="s">
        <v>60</v>
      </c>
      <c r="O333" s="14" t="s">
        <v>60</v>
      </c>
      <c r="P333" s="14" t="s">
        <v>5487</v>
      </c>
      <c r="Q333" s="14" t="s">
        <v>11</v>
      </c>
      <c r="R333" s="3" t="s">
        <v>4300</v>
      </c>
      <c r="S333" s="3">
        <f t="shared" si="16"/>
        <v>550</v>
      </c>
      <c r="T333" s="3">
        <f t="shared" si="17"/>
        <v>15950</v>
      </c>
      <c r="U333" s="3" t="s">
        <v>60</v>
      </c>
      <c r="V333" s="14" t="s">
        <v>4208</v>
      </c>
      <c r="W333" s="14" t="s">
        <v>5424</v>
      </c>
      <c r="X333" s="14"/>
    </row>
    <row r="334" spans="1:24" ht="15" x14ac:dyDescent="0.3">
      <c r="A334" s="3">
        <v>18</v>
      </c>
      <c r="B334" s="3" t="s">
        <v>5488</v>
      </c>
      <c r="C334" s="14" t="s">
        <v>0</v>
      </c>
      <c r="D334" s="14" t="s">
        <v>3313</v>
      </c>
      <c r="E334" s="14" t="s">
        <v>5390</v>
      </c>
      <c r="F334" s="14" t="s">
        <v>1308</v>
      </c>
      <c r="G334" s="14" t="s">
        <v>3</v>
      </c>
      <c r="H334" s="14" t="s">
        <v>5489</v>
      </c>
      <c r="I334" s="14" t="s">
        <v>3372</v>
      </c>
      <c r="J334" s="14" t="s">
        <v>60</v>
      </c>
      <c r="K334" s="14" t="s">
        <v>60</v>
      </c>
      <c r="L334" s="14" t="s">
        <v>60</v>
      </c>
      <c r="M334" s="14" t="s">
        <v>60</v>
      </c>
      <c r="N334" s="14" t="s">
        <v>60</v>
      </c>
      <c r="O334" s="14" t="s">
        <v>60</v>
      </c>
      <c r="P334" s="14" t="s">
        <v>5490</v>
      </c>
      <c r="Q334" s="14" t="s">
        <v>11</v>
      </c>
      <c r="R334" s="3" t="s">
        <v>4170</v>
      </c>
      <c r="S334" s="3">
        <f t="shared" si="16"/>
        <v>550</v>
      </c>
      <c r="T334" s="3">
        <f t="shared" si="17"/>
        <v>17050</v>
      </c>
      <c r="U334" s="3" t="s">
        <v>60</v>
      </c>
      <c r="V334" s="14" t="s">
        <v>4208</v>
      </c>
      <c r="W334" s="14" t="s">
        <v>5424</v>
      </c>
      <c r="X334" s="14"/>
    </row>
    <row r="335" spans="1:24" ht="15" x14ac:dyDescent="0.3">
      <c r="A335" s="3">
        <v>19</v>
      </c>
      <c r="B335" s="3" t="s">
        <v>5491</v>
      </c>
      <c r="C335" s="14" t="s">
        <v>0</v>
      </c>
      <c r="D335" s="14" t="s">
        <v>3314</v>
      </c>
      <c r="E335" s="14" t="s">
        <v>4928</v>
      </c>
      <c r="F335" s="14" t="s">
        <v>3325</v>
      </c>
      <c r="G335" s="14" t="s">
        <v>3</v>
      </c>
      <c r="H335" s="14" t="s">
        <v>5492</v>
      </c>
      <c r="I335" s="14" t="s">
        <v>3373</v>
      </c>
      <c r="J335" s="14" t="s">
        <v>60</v>
      </c>
      <c r="K335" s="14" t="s">
        <v>60</v>
      </c>
      <c r="L335" s="14" t="s">
        <v>60</v>
      </c>
      <c r="M335" s="14" t="s">
        <v>3374</v>
      </c>
      <c r="N335" s="14" t="s">
        <v>60</v>
      </c>
      <c r="O335" s="14" t="s">
        <v>60</v>
      </c>
      <c r="P335" s="14" t="s">
        <v>5493</v>
      </c>
      <c r="Q335" s="14" t="s">
        <v>11</v>
      </c>
      <c r="R335" s="3" t="s">
        <v>4300</v>
      </c>
      <c r="S335" s="3">
        <f t="shared" si="16"/>
        <v>550</v>
      </c>
      <c r="T335" s="3">
        <f t="shared" si="17"/>
        <v>15950</v>
      </c>
      <c r="U335" s="3" t="s">
        <v>60</v>
      </c>
      <c r="V335" s="14" t="s">
        <v>4208</v>
      </c>
      <c r="W335" s="14" t="s">
        <v>5424</v>
      </c>
      <c r="X335" s="14"/>
    </row>
    <row r="336" spans="1:24" ht="15" x14ac:dyDescent="0.3">
      <c r="A336" s="3">
        <v>20</v>
      </c>
      <c r="B336" s="3" t="s">
        <v>5494</v>
      </c>
      <c r="C336" s="14" t="s">
        <v>0</v>
      </c>
      <c r="D336" s="14" t="s">
        <v>3315</v>
      </c>
      <c r="E336" s="14" t="s">
        <v>5495</v>
      </c>
      <c r="F336" s="14" t="s">
        <v>3326</v>
      </c>
      <c r="G336" s="14" t="s">
        <v>3</v>
      </c>
      <c r="H336" s="14" t="s">
        <v>5496</v>
      </c>
      <c r="I336" s="14" t="s">
        <v>3375</v>
      </c>
      <c r="J336" s="14" t="s">
        <v>60</v>
      </c>
      <c r="K336" s="14" t="s">
        <v>60</v>
      </c>
      <c r="L336" s="14" t="s">
        <v>60</v>
      </c>
      <c r="M336" s="14" t="s">
        <v>3376</v>
      </c>
      <c r="N336" s="14" t="s">
        <v>60</v>
      </c>
      <c r="O336" s="14" t="s">
        <v>60</v>
      </c>
      <c r="P336" s="14" t="s">
        <v>5497</v>
      </c>
      <c r="Q336" s="14" t="s">
        <v>180</v>
      </c>
      <c r="R336" s="3" t="s">
        <v>4170</v>
      </c>
      <c r="S336" s="3">
        <f t="shared" si="16"/>
        <v>550</v>
      </c>
      <c r="T336" s="3">
        <f t="shared" si="17"/>
        <v>17050</v>
      </c>
      <c r="U336" s="3" t="s">
        <v>5498</v>
      </c>
      <c r="V336" s="14" t="s">
        <v>4208</v>
      </c>
      <c r="W336" s="14" t="s">
        <v>5424</v>
      </c>
      <c r="X336" s="14"/>
    </row>
    <row r="337" spans="1:24" ht="15" x14ac:dyDescent="0.3">
      <c r="A337" s="3">
        <v>21</v>
      </c>
      <c r="B337" s="3" t="s">
        <v>5499</v>
      </c>
      <c r="C337" s="14" t="s">
        <v>0</v>
      </c>
      <c r="D337" s="14" t="s">
        <v>3317</v>
      </c>
      <c r="E337" s="14" t="s">
        <v>5500</v>
      </c>
      <c r="F337" s="14" t="s">
        <v>3328</v>
      </c>
      <c r="G337" s="14" t="s">
        <v>3</v>
      </c>
      <c r="H337" s="14" t="s">
        <v>5501</v>
      </c>
      <c r="I337" s="14" t="s">
        <v>3379</v>
      </c>
      <c r="J337" s="14" t="s">
        <v>60</v>
      </c>
      <c r="K337" s="14" t="s">
        <v>60</v>
      </c>
      <c r="L337" s="14" t="s">
        <v>60</v>
      </c>
      <c r="M337" s="14" t="s">
        <v>3380</v>
      </c>
      <c r="N337" s="14" t="s">
        <v>60</v>
      </c>
      <c r="O337" s="14" t="s">
        <v>60</v>
      </c>
      <c r="P337" s="14" t="s">
        <v>5502</v>
      </c>
      <c r="Q337" s="14" t="s">
        <v>11</v>
      </c>
      <c r="R337" s="3" t="s">
        <v>4170</v>
      </c>
      <c r="S337" s="3">
        <f t="shared" si="16"/>
        <v>550</v>
      </c>
      <c r="T337" s="3">
        <f t="shared" si="17"/>
        <v>17050</v>
      </c>
      <c r="U337" s="3" t="s">
        <v>60</v>
      </c>
      <c r="V337" s="14" t="s">
        <v>4208</v>
      </c>
      <c r="W337" s="14" t="s">
        <v>5503</v>
      </c>
      <c r="X337" s="14"/>
    </row>
    <row r="338" spans="1:24" ht="15" x14ac:dyDescent="0.3">
      <c r="A338" s="3">
        <v>22</v>
      </c>
      <c r="B338" s="3" t="s">
        <v>5504</v>
      </c>
      <c r="C338" s="14" t="s">
        <v>0</v>
      </c>
      <c r="D338" s="14" t="s">
        <v>3324</v>
      </c>
      <c r="E338" s="14" t="s">
        <v>5008</v>
      </c>
      <c r="F338" s="14" t="s">
        <v>3329</v>
      </c>
      <c r="G338" s="14" t="s">
        <v>3</v>
      </c>
      <c r="H338" s="14" t="s">
        <v>5505</v>
      </c>
      <c r="I338" s="14" t="s">
        <v>3381</v>
      </c>
      <c r="J338" s="14" t="s">
        <v>60</v>
      </c>
      <c r="K338" s="14" t="s">
        <v>60</v>
      </c>
      <c r="L338" s="14" t="s">
        <v>60</v>
      </c>
      <c r="M338" s="14" t="s">
        <v>3382</v>
      </c>
      <c r="N338" s="14" t="s">
        <v>60</v>
      </c>
      <c r="O338" s="14" t="s">
        <v>60</v>
      </c>
      <c r="P338" s="14" t="s">
        <v>5506</v>
      </c>
      <c r="Q338" s="14" t="s">
        <v>11</v>
      </c>
      <c r="R338" s="3" t="s">
        <v>4170</v>
      </c>
      <c r="S338" s="3">
        <f t="shared" si="16"/>
        <v>550</v>
      </c>
      <c r="T338" s="3">
        <f t="shared" si="17"/>
        <v>17050</v>
      </c>
      <c r="U338" s="3" t="s">
        <v>60</v>
      </c>
      <c r="V338" s="14" t="s">
        <v>4208</v>
      </c>
      <c r="W338" s="14" t="s">
        <v>5503</v>
      </c>
      <c r="X338" s="14"/>
    </row>
    <row r="339" spans="1:24" ht="15" x14ac:dyDescent="0.3">
      <c r="A339" s="3">
        <v>23</v>
      </c>
      <c r="B339" s="3" t="s">
        <v>5507</v>
      </c>
      <c r="C339" s="14" t="s">
        <v>0</v>
      </c>
      <c r="D339" s="14" t="s">
        <v>3318</v>
      </c>
      <c r="E339" s="14" t="s">
        <v>5508</v>
      </c>
      <c r="F339" s="14" t="s">
        <v>3338</v>
      </c>
      <c r="G339" s="14" t="s">
        <v>3</v>
      </c>
      <c r="H339" s="14" t="s">
        <v>5509</v>
      </c>
      <c r="I339" s="14" t="s">
        <v>3383</v>
      </c>
      <c r="J339" s="14" t="s">
        <v>60</v>
      </c>
      <c r="K339" s="14" t="s">
        <v>60</v>
      </c>
      <c r="L339" s="14" t="s">
        <v>60</v>
      </c>
      <c r="M339" s="14" t="s">
        <v>3384</v>
      </c>
      <c r="N339" s="14" t="s">
        <v>60</v>
      </c>
      <c r="O339" s="14" t="s">
        <v>60</v>
      </c>
      <c r="P339" s="14" t="s">
        <v>5510</v>
      </c>
      <c r="Q339" s="14" t="s">
        <v>11</v>
      </c>
      <c r="R339" s="3" t="s">
        <v>4170</v>
      </c>
      <c r="S339" s="3">
        <f t="shared" si="16"/>
        <v>550</v>
      </c>
      <c r="T339" s="3">
        <f t="shared" si="17"/>
        <v>17050</v>
      </c>
      <c r="U339" s="3" t="s">
        <v>60</v>
      </c>
      <c r="V339" s="14" t="s">
        <v>4208</v>
      </c>
      <c r="W339" s="14" t="s">
        <v>5503</v>
      </c>
      <c r="X339" s="14"/>
    </row>
    <row r="340" spans="1:24" ht="15" x14ac:dyDescent="0.3">
      <c r="A340" s="3">
        <v>24</v>
      </c>
      <c r="B340" s="3" t="s">
        <v>5511</v>
      </c>
      <c r="C340" s="14" t="s">
        <v>0</v>
      </c>
      <c r="D340" s="14" t="s">
        <v>3319</v>
      </c>
      <c r="E340" s="14" t="s">
        <v>5435</v>
      </c>
      <c r="F340" s="14" t="s">
        <v>3339</v>
      </c>
      <c r="G340" s="14" t="s">
        <v>3</v>
      </c>
      <c r="H340" s="14" t="s">
        <v>5512</v>
      </c>
      <c r="I340" s="14" t="s">
        <v>3385</v>
      </c>
      <c r="J340" s="14" t="s">
        <v>60</v>
      </c>
      <c r="K340" s="14" t="s">
        <v>60</v>
      </c>
      <c r="L340" s="14" t="s">
        <v>60</v>
      </c>
      <c r="M340" s="14" t="s">
        <v>3386</v>
      </c>
      <c r="N340" s="14" t="s">
        <v>60</v>
      </c>
      <c r="O340" s="14" t="s">
        <v>60</v>
      </c>
      <c r="P340" s="14" t="s">
        <v>5513</v>
      </c>
      <c r="Q340" s="14" t="s">
        <v>11</v>
      </c>
      <c r="R340" s="3" t="s">
        <v>4170</v>
      </c>
      <c r="S340" s="3">
        <f t="shared" si="16"/>
        <v>550</v>
      </c>
      <c r="T340" s="3">
        <f t="shared" si="17"/>
        <v>17050</v>
      </c>
      <c r="U340" s="3" t="s">
        <v>60</v>
      </c>
      <c r="V340" s="14" t="s">
        <v>4208</v>
      </c>
      <c r="W340" s="14" t="s">
        <v>5514</v>
      </c>
      <c r="X340" s="14"/>
    </row>
    <row r="341" spans="1:24" ht="15" x14ac:dyDescent="0.3">
      <c r="A341" s="3">
        <v>25</v>
      </c>
      <c r="B341" s="3" t="s">
        <v>5515</v>
      </c>
      <c r="C341" s="14" t="s">
        <v>0</v>
      </c>
      <c r="D341" s="14" t="s">
        <v>3320</v>
      </c>
      <c r="E341" s="14" t="s">
        <v>4200</v>
      </c>
      <c r="F341" s="14" t="s">
        <v>3330</v>
      </c>
      <c r="G341" s="14" t="s">
        <v>3</v>
      </c>
      <c r="H341" s="14" t="s">
        <v>5516</v>
      </c>
      <c r="I341" s="14" t="s">
        <v>3387</v>
      </c>
      <c r="J341" s="14" t="s">
        <v>60</v>
      </c>
      <c r="K341" s="14" t="s">
        <v>60</v>
      </c>
      <c r="L341" s="14" t="s">
        <v>60</v>
      </c>
      <c r="M341" s="14" t="s">
        <v>3388</v>
      </c>
      <c r="N341" s="14" t="s">
        <v>60</v>
      </c>
      <c r="O341" s="14" t="s">
        <v>60</v>
      </c>
      <c r="P341" s="14" t="s">
        <v>5517</v>
      </c>
      <c r="Q341" s="14" t="s">
        <v>11</v>
      </c>
      <c r="R341" s="3" t="s">
        <v>4170</v>
      </c>
      <c r="S341" s="3">
        <f t="shared" si="16"/>
        <v>550</v>
      </c>
      <c r="T341" s="3">
        <f t="shared" si="17"/>
        <v>17050</v>
      </c>
      <c r="U341" s="3" t="s">
        <v>60</v>
      </c>
      <c r="V341" s="14" t="s">
        <v>4208</v>
      </c>
      <c r="W341" s="14" t="s">
        <v>5514</v>
      </c>
      <c r="X341" s="14"/>
    </row>
    <row r="342" spans="1:24" ht="15" x14ac:dyDescent="0.3">
      <c r="A342" s="3">
        <v>26</v>
      </c>
      <c r="B342" s="3" t="s">
        <v>5518</v>
      </c>
      <c r="C342" s="14" t="s">
        <v>0</v>
      </c>
      <c r="D342" s="14" t="s">
        <v>3340</v>
      </c>
      <c r="E342" s="14" t="s">
        <v>4293</v>
      </c>
      <c r="F342" s="14" t="s">
        <v>3341</v>
      </c>
      <c r="G342" s="14" t="s">
        <v>3</v>
      </c>
      <c r="H342" s="14" t="s">
        <v>5519</v>
      </c>
      <c r="I342" s="14" t="s">
        <v>3389</v>
      </c>
      <c r="J342" s="14" t="s">
        <v>60</v>
      </c>
      <c r="K342" s="14" t="s">
        <v>60</v>
      </c>
      <c r="L342" s="14" t="s">
        <v>60</v>
      </c>
      <c r="M342" s="14" t="s">
        <v>3390</v>
      </c>
      <c r="N342" s="14" t="s">
        <v>60</v>
      </c>
      <c r="O342" s="14" t="s">
        <v>60</v>
      </c>
      <c r="P342" s="14" t="s">
        <v>5520</v>
      </c>
      <c r="Q342" s="14" t="s">
        <v>11</v>
      </c>
      <c r="R342" s="3" t="s">
        <v>4170</v>
      </c>
      <c r="S342" s="3">
        <f t="shared" si="16"/>
        <v>550</v>
      </c>
      <c r="T342" s="3">
        <f t="shared" si="17"/>
        <v>17050</v>
      </c>
      <c r="U342" s="3" t="s">
        <v>60</v>
      </c>
      <c r="V342" s="14" t="s">
        <v>4208</v>
      </c>
      <c r="W342" s="14" t="s">
        <v>5514</v>
      </c>
      <c r="X342" s="14"/>
    </row>
    <row r="343" spans="1:24" ht="15" x14ac:dyDescent="0.3">
      <c r="A343" s="3">
        <v>27</v>
      </c>
      <c r="B343" s="3" t="s">
        <v>5521</v>
      </c>
      <c r="C343" s="14" t="s">
        <v>0</v>
      </c>
      <c r="D343" s="14" t="s">
        <v>3321</v>
      </c>
      <c r="E343" s="14" t="s">
        <v>4216</v>
      </c>
      <c r="F343" s="14" t="s">
        <v>3331</v>
      </c>
      <c r="G343" s="14" t="s">
        <v>3</v>
      </c>
      <c r="H343" s="14" t="s">
        <v>5522</v>
      </c>
      <c r="I343" s="14" t="s">
        <v>3391</v>
      </c>
      <c r="J343" s="14" t="s">
        <v>60</v>
      </c>
      <c r="K343" s="14" t="s">
        <v>60</v>
      </c>
      <c r="L343" s="14" t="s">
        <v>60</v>
      </c>
      <c r="M343" s="14" t="s">
        <v>3392</v>
      </c>
      <c r="N343" s="14" t="s">
        <v>60</v>
      </c>
      <c r="O343" s="14" t="s">
        <v>60</v>
      </c>
      <c r="P343" s="14" t="s">
        <v>5523</v>
      </c>
      <c r="Q343" s="14" t="s">
        <v>11</v>
      </c>
      <c r="R343" s="3" t="s">
        <v>4170</v>
      </c>
      <c r="S343" s="3">
        <f t="shared" si="16"/>
        <v>550</v>
      </c>
      <c r="T343" s="3">
        <f t="shared" si="17"/>
        <v>17050</v>
      </c>
      <c r="U343" s="3" t="s">
        <v>60</v>
      </c>
      <c r="V343" s="14" t="s">
        <v>4208</v>
      </c>
      <c r="W343" s="14" t="s">
        <v>5514</v>
      </c>
      <c r="X343" s="14"/>
    </row>
    <row r="344" spans="1:24" ht="15" x14ac:dyDescent="0.3">
      <c r="A344" s="3">
        <v>28</v>
      </c>
      <c r="B344" s="3" t="s">
        <v>5524</v>
      </c>
      <c r="C344" s="14" t="s">
        <v>0</v>
      </c>
      <c r="D344" s="14" t="s">
        <v>669</v>
      </c>
      <c r="E344" s="14" t="s">
        <v>5525</v>
      </c>
      <c r="F344" s="14" t="s">
        <v>670</v>
      </c>
      <c r="G344" s="14" t="s">
        <v>3</v>
      </c>
      <c r="H344" s="14" t="s">
        <v>5526</v>
      </c>
      <c r="I344" s="14" t="s">
        <v>5527</v>
      </c>
      <c r="J344" s="14" t="s">
        <v>60</v>
      </c>
      <c r="K344" s="14" t="s">
        <v>60</v>
      </c>
      <c r="L344" s="14" t="s">
        <v>60</v>
      </c>
      <c r="M344" s="14" t="s">
        <v>671</v>
      </c>
      <c r="N344" s="14" t="s">
        <v>60</v>
      </c>
      <c r="O344" s="14" t="s">
        <v>59</v>
      </c>
      <c r="P344" s="14" t="s">
        <v>5528</v>
      </c>
      <c r="Q344" s="14" t="s">
        <v>11</v>
      </c>
      <c r="R344" s="3" t="s">
        <v>5222</v>
      </c>
      <c r="S344" s="3">
        <f t="shared" si="16"/>
        <v>550</v>
      </c>
      <c r="T344" s="3">
        <f t="shared" si="17"/>
        <v>14300</v>
      </c>
      <c r="U344" s="3" t="s">
        <v>60</v>
      </c>
      <c r="V344" s="14" t="s">
        <v>6</v>
      </c>
      <c r="W344" s="14" t="s">
        <v>4287</v>
      </c>
      <c r="X344" s="14"/>
    </row>
    <row r="345" spans="1:24" ht="15" x14ac:dyDescent="0.3">
      <c r="A345" s="3">
        <v>29</v>
      </c>
      <c r="B345" s="3" t="s">
        <v>5529</v>
      </c>
      <c r="C345" s="14" t="s">
        <v>0</v>
      </c>
      <c r="D345" s="14" t="s">
        <v>3459</v>
      </c>
      <c r="E345" s="14" t="s">
        <v>5530</v>
      </c>
      <c r="F345" s="14" t="s">
        <v>3468</v>
      </c>
      <c r="G345" s="14" t="s">
        <v>3</v>
      </c>
      <c r="H345" s="14" t="s">
        <v>5531</v>
      </c>
      <c r="I345" s="14" t="s">
        <v>3669</v>
      </c>
      <c r="J345" s="14" t="s">
        <v>60</v>
      </c>
      <c r="K345" s="14" t="s">
        <v>60</v>
      </c>
      <c r="L345" s="14" t="s">
        <v>60</v>
      </c>
      <c r="M345" s="14" t="s">
        <v>3670</v>
      </c>
      <c r="N345" s="14" t="s">
        <v>60</v>
      </c>
      <c r="O345" s="14" t="s">
        <v>60</v>
      </c>
      <c r="P345" s="14" t="s">
        <v>5532</v>
      </c>
      <c r="Q345" s="14" t="s">
        <v>11</v>
      </c>
      <c r="R345" s="3" t="s">
        <v>4170</v>
      </c>
      <c r="S345" s="3">
        <f t="shared" si="16"/>
        <v>550</v>
      </c>
      <c r="T345" s="3">
        <f t="shared" si="17"/>
        <v>17050</v>
      </c>
      <c r="U345" s="3" t="s">
        <v>60</v>
      </c>
      <c r="V345" s="14" t="s">
        <v>6</v>
      </c>
      <c r="W345" s="14" t="s">
        <v>4458</v>
      </c>
      <c r="X345" s="14"/>
    </row>
    <row r="346" spans="1:24" ht="15" x14ac:dyDescent="0.3">
      <c r="A346" s="3">
        <v>30</v>
      </c>
      <c r="B346" s="3" t="s">
        <v>5533</v>
      </c>
      <c r="C346" s="14" t="s">
        <v>0</v>
      </c>
      <c r="D346" s="14" t="s">
        <v>3460</v>
      </c>
      <c r="E346" s="14" t="s">
        <v>5534</v>
      </c>
      <c r="F346" s="14" t="s">
        <v>3469</v>
      </c>
      <c r="G346" s="14" t="s">
        <v>3</v>
      </c>
      <c r="H346" s="14" t="s">
        <v>3671</v>
      </c>
      <c r="I346" s="14" t="s">
        <v>3672</v>
      </c>
      <c r="J346" s="14" t="s">
        <v>60</v>
      </c>
      <c r="K346" s="14" t="s">
        <v>60</v>
      </c>
      <c r="L346" s="14" t="s">
        <v>60</v>
      </c>
      <c r="M346" s="14" t="s">
        <v>3673</v>
      </c>
      <c r="N346" s="14" t="s">
        <v>60</v>
      </c>
      <c r="O346" s="14" t="s">
        <v>60</v>
      </c>
      <c r="P346" s="14" t="s">
        <v>5535</v>
      </c>
      <c r="Q346" s="14" t="s">
        <v>11</v>
      </c>
      <c r="R346" s="3" t="s">
        <v>4326</v>
      </c>
      <c r="S346" s="3">
        <f t="shared" si="16"/>
        <v>550</v>
      </c>
      <c r="T346" s="3">
        <f t="shared" si="17"/>
        <v>8250</v>
      </c>
      <c r="U346" s="3" t="s">
        <v>60</v>
      </c>
      <c r="V346" s="14" t="s">
        <v>6</v>
      </c>
      <c r="W346" s="14" t="s">
        <v>4458</v>
      </c>
      <c r="X346" s="14" t="s">
        <v>5536</v>
      </c>
    </row>
    <row r="347" spans="1:24" ht="15" x14ac:dyDescent="0.3">
      <c r="A347" s="3">
        <v>31</v>
      </c>
      <c r="B347" s="3" t="s">
        <v>5537</v>
      </c>
      <c r="C347" s="14" t="s">
        <v>0</v>
      </c>
      <c r="D347" s="14" t="s">
        <v>3461</v>
      </c>
      <c r="E347" s="14" t="s">
        <v>5538</v>
      </c>
      <c r="F347" s="14" t="s">
        <v>3470</v>
      </c>
      <c r="G347" s="14" t="s">
        <v>3</v>
      </c>
      <c r="H347" s="14" t="s">
        <v>3674</v>
      </c>
      <c r="I347" s="14" t="s">
        <v>3675</v>
      </c>
      <c r="J347" s="14" t="s">
        <v>60</v>
      </c>
      <c r="K347" s="14" t="s">
        <v>60</v>
      </c>
      <c r="L347" s="14" t="s">
        <v>60</v>
      </c>
      <c r="M347" s="14" t="s">
        <v>3676</v>
      </c>
      <c r="N347" s="14" t="s">
        <v>60</v>
      </c>
      <c r="O347" s="14" t="s">
        <v>60</v>
      </c>
      <c r="P347" s="14" t="s">
        <v>5539</v>
      </c>
      <c r="Q347" s="14" t="s">
        <v>11</v>
      </c>
      <c r="R347" s="3" t="s">
        <v>4862</v>
      </c>
      <c r="S347" s="3">
        <f t="shared" si="16"/>
        <v>550</v>
      </c>
      <c r="T347" s="3">
        <f t="shared" si="17"/>
        <v>6050</v>
      </c>
      <c r="U347" s="3" t="s">
        <v>60</v>
      </c>
      <c r="V347" s="14" t="s">
        <v>6</v>
      </c>
      <c r="W347" s="14" t="s">
        <v>4458</v>
      </c>
      <c r="X347" s="14" t="s">
        <v>5536</v>
      </c>
    </row>
    <row r="348" spans="1:24" ht="15" x14ac:dyDescent="0.3">
      <c r="A348" s="3">
        <v>32</v>
      </c>
      <c r="B348" s="3" t="s">
        <v>5540</v>
      </c>
      <c r="C348" s="14" t="s">
        <v>0</v>
      </c>
      <c r="D348" s="14" t="s">
        <v>419</v>
      </c>
      <c r="E348" s="14" t="s">
        <v>4430</v>
      </c>
      <c r="F348" s="14" t="s">
        <v>420</v>
      </c>
      <c r="G348" s="14" t="s">
        <v>3</v>
      </c>
      <c r="H348" s="14" t="s">
        <v>5541</v>
      </c>
      <c r="I348" s="14" t="s">
        <v>421</v>
      </c>
      <c r="J348" s="14" t="s">
        <v>60</v>
      </c>
      <c r="K348" s="14" t="s">
        <v>60</v>
      </c>
      <c r="L348" s="14" t="s">
        <v>60</v>
      </c>
      <c r="M348" s="14" t="s">
        <v>422</v>
      </c>
      <c r="N348" s="14" t="s">
        <v>60</v>
      </c>
      <c r="O348" s="14" t="s">
        <v>60</v>
      </c>
      <c r="P348" s="14" t="s">
        <v>5542</v>
      </c>
      <c r="Q348" s="14" t="s">
        <v>11</v>
      </c>
      <c r="R348" s="3" t="s">
        <v>4170</v>
      </c>
      <c r="S348" s="3">
        <f t="shared" si="16"/>
        <v>550</v>
      </c>
      <c r="T348" s="3">
        <f t="shared" si="17"/>
        <v>17050</v>
      </c>
      <c r="U348" s="3" t="s">
        <v>60</v>
      </c>
      <c r="V348" s="14" t="s">
        <v>6</v>
      </c>
      <c r="W348" s="14" t="s">
        <v>4458</v>
      </c>
      <c r="X348" s="14" t="s">
        <v>60</v>
      </c>
    </row>
    <row r="349" spans="1:24" ht="15" x14ac:dyDescent="0.3">
      <c r="A349" s="3">
        <v>33</v>
      </c>
      <c r="B349" s="3" t="s">
        <v>5543</v>
      </c>
      <c r="C349" s="14" t="s">
        <v>0</v>
      </c>
      <c r="D349" s="14" t="s">
        <v>3462</v>
      </c>
      <c r="E349" s="14" t="s">
        <v>5544</v>
      </c>
      <c r="F349" s="14" t="s">
        <v>3471</v>
      </c>
      <c r="G349" s="14" t="s">
        <v>3</v>
      </c>
      <c r="H349" s="14" t="s">
        <v>5545</v>
      </c>
      <c r="I349" s="14" t="s">
        <v>3677</v>
      </c>
      <c r="J349" s="14" t="s">
        <v>60</v>
      </c>
      <c r="K349" s="14" t="s">
        <v>60</v>
      </c>
      <c r="L349" s="14" t="s">
        <v>60</v>
      </c>
      <c r="M349" s="14" t="s">
        <v>3678</v>
      </c>
      <c r="N349" s="14" t="s">
        <v>60</v>
      </c>
      <c r="O349" s="14" t="s">
        <v>60</v>
      </c>
      <c r="P349" s="14" t="s">
        <v>5546</v>
      </c>
      <c r="Q349" s="14" t="s">
        <v>11</v>
      </c>
      <c r="R349" s="3" t="s">
        <v>4170</v>
      </c>
      <c r="S349" s="3">
        <f t="shared" si="16"/>
        <v>550</v>
      </c>
      <c r="T349" s="3">
        <f t="shared" si="17"/>
        <v>17050</v>
      </c>
      <c r="U349" s="3" t="s">
        <v>60</v>
      </c>
      <c r="V349" s="14" t="s">
        <v>6</v>
      </c>
      <c r="W349" s="14" t="s">
        <v>4458</v>
      </c>
      <c r="X349" s="14" t="s">
        <v>60</v>
      </c>
    </row>
    <row r="350" spans="1:24" ht="15" x14ac:dyDescent="0.3">
      <c r="A350" s="3">
        <v>34</v>
      </c>
      <c r="B350" s="3" t="s">
        <v>5547</v>
      </c>
      <c r="C350" s="14" t="s">
        <v>0</v>
      </c>
      <c r="D350" s="14" t="s">
        <v>3463</v>
      </c>
      <c r="E350" s="14" t="s">
        <v>4319</v>
      </c>
      <c r="F350" s="14" t="s">
        <v>3472</v>
      </c>
      <c r="G350" s="14" t="s">
        <v>3</v>
      </c>
      <c r="H350" s="14" t="s">
        <v>3679</v>
      </c>
      <c r="I350" s="14" t="s">
        <v>3680</v>
      </c>
      <c r="J350" s="14" t="s">
        <v>60</v>
      </c>
      <c r="K350" s="14" t="s">
        <v>60</v>
      </c>
      <c r="L350" s="14" t="s">
        <v>60</v>
      </c>
      <c r="M350" s="14" t="s">
        <v>3681</v>
      </c>
      <c r="N350" s="14" t="s">
        <v>60</v>
      </c>
      <c r="O350" s="14" t="s">
        <v>60</v>
      </c>
      <c r="P350" s="14" t="s">
        <v>5548</v>
      </c>
      <c r="Q350" s="14" t="s">
        <v>11</v>
      </c>
      <c r="R350" s="3" t="s">
        <v>4862</v>
      </c>
      <c r="S350" s="3">
        <f t="shared" si="16"/>
        <v>550</v>
      </c>
      <c r="T350" s="3">
        <f t="shared" si="17"/>
        <v>6050</v>
      </c>
      <c r="U350" s="3" t="s">
        <v>60</v>
      </c>
      <c r="V350" s="14" t="s">
        <v>6</v>
      </c>
      <c r="W350" s="14" t="s">
        <v>4458</v>
      </c>
      <c r="X350" s="14" t="s">
        <v>5536</v>
      </c>
    </row>
    <row r="351" spans="1:24" ht="15" x14ac:dyDescent="0.3">
      <c r="A351" s="3">
        <v>35</v>
      </c>
      <c r="B351" s="3" t="s">
        <v>5549</v>
      </c>
      <c r="C351" s="14" t="s">
        <v>0</v>
      </c>
      <c r="D351" s="14" t="s">
        <v>3464</v>
      </c>
      <c r="E351" s="14" t="s">
        <v>5550</v>
      </c>
      <c r="F351" s="14" t="s">
        <v>3473</v>
      </c>
      <c r="G351" s="14" t="s">
        <v>3</v>
      </c>
      <c r="H351" s="14" t="s">
        <v>3682</v>
      </c>
      <c r="I351" s="14" t="s">
        <v>3683</v>
      </c>
      <c r="J351" s="14" t="s">
        <v>60</v>
      </c>
      <c r="K351" s="14" t="s">
        <v>60</v>
      </c>
      <c r="L351" s="14" t="s">
        <v>60</v>
      </c>
      <c r="M351" s="14" t="s">
        <v>3684</v>
      </c>
      <c r="N351" s="14" t="s">
        <v>60</v>
      </c>
      <c r="O351" s="14" t="s">
        <v>60</v>
      </c>
      <c r="P351" s="14" t="s">
        <v>5551</v>
      </c>
      <c r="Q351" s="14" t="s">
        <v>11</v>
      </c>
      <c r="R351" s="3" t="s">
        <v>4862</v>
      </c>
      <c r="S351" s="3">
        <f t="shared" si="16"/>
        <v>550</v>
      </c>
      <c r="T351" s="3">
        <f t="shared" si="17"/>
        <v>6050</v>
      </c>
      <c r="U351" s="3" t="s">
        <v>60</v>
      </c>
      <c r="V351" s="14" t="s">
        <v>6</v>
      </c>
      <c r="W351" s="14" t="s">
        <v>4458</v>
      </c>
      <c r="X351" s="14" t="s">
        <v>5536</v>
      </c>
    </row>
    <row r="352" spans="1:24" ht="15" x14ac:dyDescent="0.3">
      <c r="A352" s="3">
        <v>36</v>
      </c>
      <c r="B352" s="3" t="s">
        <v>5552</v>
      </c>
      <c r="C352" s="14" t="s">
        <v>0</v>
      </c>
      <c r="D352" s="14" t="s">
        <v>3465</v>
      </c>
      <c r="E352" s="14" t="s">
        <v>5553</v>
      </c>
      <c r="F352" s="14" t="s">
        <v>3474</v>
      </c>
      <c r="G352" s="14" t="s">
        <v>3</v>
      </c>
      <c r="H352" s="14" t="s">
        <v>5554</v>
      </c>
      <c r="I352" s="14" t="s">
        <v>3685</v>
      </c>
      <c r="J352" s="14" t="s">
        <v>60</v>
      </c>
      <c r="K352" s="14" t="s">
        <v>60</v>
      </c>
      <c r="L352" s="14" t="s">
        <v>60</v>
      </c>
      <c r="M352" s="14" t="s">
        <v>3686</v>
      </c>
      <c r="N352" s="14" t="s">
        <v>60</v>
      </c>
      <c r="O352" s="14" t="s">
        <v>60</v>
      </c>
      <c r="P352" s="14" t="s">
        <v>5555</v>
      </c>
      <c r="Q352" s="14" t="s">
        <v>11</v>
      </c>
      <c r="R352" s="3" t="s">
        <v>4170</v>
      </c>
      <c r="S352" s="3">
        <f t="shared" si="16"/>
        <v>550</v>
      </c>
      <c r="T352" s="3">
        <f t="shared" si="17"/>
        <v>17050</v>
      </c>
      <c r="U352" s="3" t="s">
        <v>60</v>
      </c>
      <c r="V352" s="14" t="s">
        <v>6</v>
      </c>
      <c r="W352" s="14" t="s">
        <v>4500</v>
      </c>
      <c r="X352" s="14" t="s">
        <v>60</v>
      </c>
    </row>
    <row r="353" spans="1:24" ht="15" x14ac:dyDescent="0.3">
      <c r="A353" s="3">
        <v>37</v>
      </c>
      <c r="B353" s="3" t="s">
        <v>5556</v>
      </c>
      <c r="C353" s="14" t="s">
        <v>0</v>
      </c>
      <c r="D353" s="14" t="s">
        <v>3466</v>
      </c>
      <c r="E353" s="14" t="s">
        <v>5557</v>
      </c>
      <c r="F353" s="14" t="s">
        <v>3475</v>
      </c>
      <c r="G353" s="14" t="s">
        <v>3</v>
      </c>
      <c r="H353" s="14" t="s">
        <v>5558</v>
      </c>
      <c r="I353" s="14" t="s">
        <v>3687</v>
      </c>
      <c r="J353" s="14" t="s">
        <v>60</v>
      </c>
      <c r="K353" s="14" t="s">
        <v>60</v>
      </c>
      <c r="L353" s="14" t="s">
        <v>60</v>
      </c>
      <c r="M353" s="14" t="s">
        <v>3688</v>
      </c>
      <c r="N353" s="14" t="s">
        <v>60</v>
      </c>
      <c r="O353" s="14" t="s">
        <v>60</v>
      </c>
      <c r="P353" s="14" t="s">
        <v>5559</v>
      </c>
      <c r="Q353" s="14" t="s">
        <v>11</v>
      </c>
      <c r="R353" s="3" t="s">
        <v>4170</v>
      </c>
      <c r="S353" s="3">
        <f t="shared" si="16"/>
        <v>550</v>
      </c>
      <c r="T353" s="3">
        <f t="shared" si="17"/>
        <v>17050</v>
      </c>
      <c r="U353" s="3" t="s">
        <v>60</v>
      </c>
      <c r="V353" s="14" t="s">
        <v>6</v>
      </c>
      <c r="W353" s="14" t="s">
        <v>4500</v>
      </c>
      <c r="X353" s="14" t="s">
        <v>60</v>
      </c>
    </row>
    <row r="354" spans="1:24" ht="15" x14ac:dyDescent="0.3">
      <c r="A354" s="3">
        <v>38</v>
      </c>
      <c r="B354" s="3" t="s">
        <v>5560</v>
      </c>
      <c r="C354" s="14" t="s">
        <v>0</v>
      </c>
      <c r="D354" s="14" t="s">
        <v>3477</v>
      </c>
      <c r="E354" s="14" t="s">
        <v>5561</v>
      </c>
      <c r="F354" s="14" t="s">
        <v>3492</v>
      </c>
      <c r="G354" s="14" t="s">
        <v>3</v>
      </c>
      <c r="H354" s="14" t="s">
        <v>3691</v>
      </c>
      <c r="I354" s="14" t="s">
        <v>3692</v>
      </c>
      <c r="J354" s="14" t="s">
        <v>60</v>
      </c>
      <c r="K354" s="14" t="s">
        <v>60</v>
      </c>
      <c r="L354" s="14" t="s">
        <v>60</v>
      </c>
      <c r="M354" s="14" t="s">
        <v>3693</v>
      </c>
      <c r="N354" s="14" t="s">
        <v>60</v>
      </c>
      <c r="O354" s="14" t="s">
        <v>60</v>
      </c>
      <c r="P354" s="14" t="s">
        <v>5562</v>
      </c>
      <c r="Q354" s="14" t="s">
        <v>11</v>
      </c>
      <c r="R354" s="3" t="s">
        <v>5563</v>
      </c>
      <c r="S354" s="3">
        <f t="shared" si="16"/>
        <v>550</v>
      </c>
      <c r="T354" s="3">
        <f t="shared" si="17"/>
        <v>4950</v>
      </c>
      <c r="U354" s="3" t="s">
        <v>60</v>
      </c>
      <c r="V354" s="14" t="s">
        <v>6</v>
      </c>
      <c r="W354" s="14" t="s">
        <v>4500</v>
      </c>
      <c r="X354" s="14" t="s">
        <v>5536</v>
      </c>
    </row>
    <row r="355" spans="1:24" ht="15" x14ac:dyDescent="0.3">
      <c r="A355" s="3">
        <v>39</v>
      </c>
      <c r="B355" s="3" t="s">
        <v>5564</v>
      </c>
      <c r="C355" s="14" t="s">
        <v>0</v>
      </c>
      <c r="D355" s="14" t="s">
        <v>3478</v>
      </c>
      <c r="E355" s="14" t="s">
        <v>5565</v>
      </c>
      <c r="F355" s="14" t="s">
        <v>3493</v>
      </c>
      <c r="G355" s="14" t="s">
        <v>3</v>
      </c>
      <c r="H355" s="14" t="s">
        <v>5566</v>
      </c>
      <c r="I355" s="14" t="s">
        <v>3694</v>
      </c>
      <c r="J355" s="14" t="s">
        <v>60</v>
      </c>
      <c r="K355" s="14" t="s">
        <v>60</v>
      </c>
      <c r="L355" s="14" t="s">
        <v>60</v>
      </c>
      <c r="M355" s="14" t="s">
        <v>3695</v>
      </c>
      <c r="N355" s="14" t="s">
        <v>60</v>
      </c>
      <c r="O355" s="14" t="s">
        <v>60</v>
      </c>
      <c r="P355" s="14" t="s">
        <v>5567</v>
      </c>
      <c r="Q355" s="14" t="s">
        <v>11</v>
      </c>
      <c r="R355" s="3" t="s">
        <v>4381</v>
      </c>
      <c r="S355" s="3">
        <f t="shared" si="16"/>
        <v>550</v>
      </c>
      <c r="T355" s="3">
        <f t="shared" si="17"/>
        <v>15400</v>
      </c>
      <c r="U355" s="3" t="s">
        <v>60</v>
      </c>
      <c r="V355" s="14" t="s">
        <v>6</v>
      </c>
      <c r="W355" s="14" t="s">
        <v>4500</v>
      </c>
      <c r="X355" s="14" t="s">
        <v>60</v>
      </c>
    </row>
    <row r="356" spans="1:24" ht="15" x14ac:dyDescent="0.3">
      <c r="A356" s="3">
        <v>40</v>
      </c>
      <c r="B356" s="3" t="s">
        <v>5568</v>
      </c>
      <c r="C356" s="14" t="s">
        <v>0</v>
      </c>
      <c r="D356" s="14" t="s">
        <v>3479</v>
      </c>
      <c r="E356" s="14" t="s">
        <v>4200</v>
      </c>
      <c r="F356" s="14" t="s">
        <v>283</v>
      </c>
      <c r="G356" s="14" t="s">
        <v>121</v>
      </c>
      <c r="H356" s="14" t="s">
        <v>5569</v>
      </c>
      <c r="I356" s="14" t="s">
        <v>3696</v>
      </c>
      <c r="J356" s="14" t="s">
        <v>60</v>
      </c>
      <c r="K356" s="14" t="s">
        <v>60</v>
      </c>
      <c r="L356" s="14" t="s">
        <v>60</v>
      </c>
      <c r="M356" s="14" t="s">
        <v>3697</v>
      </c>
      <c r="N356" s="14" t="s">
        <v>60</v>
      </c>
      <c r="O356" s="14" t="s">
        <v>60</v>
      </c>
      <c r="P356" s="14" t="s">
        <v>5570</v>
      </c>
      <c r="Q356" s="14" t="s">
        <v>3508</v>
      </c>
      <c r="R356" s="3" t="s">
        <v>4170</v>
      </c>
      <c r="S356" s="3">
        <f t="shared" si="16"/>
        <v>550</v>
      </c>
      <c r="T356" s="3">
        <f t="shared" si="17"/>
        <v>17050</v>
      </c>
      <c r="U356" s="3" t="s">
        <v>5571</v>
      </c>
      <c r="V356" s="14" t="s">
        <v>6</v>
      </c>
      <c r="W356" s="14" t="s">
        <v>4509</v>
      </c>
      <c r="X356" s="14" t="s">
        <v>60</v>
      </c>
    </row>
    <row r="357" spans="1:24" ht="15" x14ac:dyDescent="0.3">
      <c r="A357" s="3">
        <v>41</v>
      </c>
      <c r="B357" s="3" t="s">
        <v>5572</v>
      </c>
      <c r="C357" s="14" t="s">
        <v>0</v>
      </c>
      <c r="D357" s="14" t="s">
        <v>3480</v>
      </c>
      <c r="E357" s="14" t="s">
        <v>4308</v>
      </c>
      <c r="F357" s="14" t="s">
        <v>3494</v>
      </c>
      <c r="G357" s="14" t="s">
        <v>3</v>
      </c>
      <c r="H357" s="14" t="s">
        <v>5573</v>
      </c>
      <c r="I357" s="14" t="s">
        <v>3698</v>
      </c>
      <c r="J357" s="14" t="s">
        <v>60</v>
      </c>
      <c r="K357" s="14" t="s">
        <v>60</v>
      </c>
      <c r="L357" s="14" t="s">
        <v>60</v>
      </c>
      <c r="M357" s="14" t="s">
        <v>3699</v>
      </c>
      <c r="N357" s="14" t="s">
        <v>60</v>
      </c>
      <c r="O357" s="14" t="s">
        <v>60</v>
      </c>
      <c r="P357" s="14" t="s">
        <v>5574</v>
      </c>
      <c r="Q357" s="14" t="s">
        <v>180</v>
      </c>
      <c r="R357" s="3" t="s">
        <v>4170</v>
      </c>
      <c r="S357" s="3">
        <f t="shared" si="16"/>
        <v>550</v>
      </c>
      <c r="T357" s="3">
        <f t="shared" si="17"/>
        <v>17050</v>
      </c>
      <c r="U357" s="3" t="s">
        <v>60</v>
      </c>
      <c r="V357" s="14" t="s">
        <v>6</v>
      </c>
      <c r="W357" s="14" t="s">
        <v>5396</v>
      </c>
      <c r="X357" s="14" t="s">
        <v>60</v>
      </c>
    </row>
    <row r="358" spans="1:24" ht="15" x14ac:dyDescent="0.3">
      <c r="A358" s="3">
        <v>42</v>
      </c>
      <c r="B358" s="3" t="s">
        <v>5575</v>
      </c>
      <c r="C358" s="14" t="s">
        <v>0</v>
      </c>
      <c r="D358" s="14" t="s">
        <v>3616</v>
      </c>
      <c r="E358" s="14" t="s">
        <v>5258</v>
      </c>
      <c r="F358" s="14" t="s">
        <v>3495</v>
      </c>
      <c r="G358" s="14" t="s">
        <v>3</v>
      </c>
      <c r="H358" s="14" t="s">
        <v>5576</v>
      </c>
      <c r="I358" s="14" t="s">
        <v>3700</v>
      </c>
      <c r="J358" s="14" t="s">
        <v>60</v>
      </c>
      <c r="K358" s="14" t="s">
        <v>60</v>
      </c>
      <c r="L358" s="14" t="s">
        <v>60</v>
      </c>
      <c r="M358" s="14" t="s">
        <v>3697</v>
      </c>
      <c r="N358" s="14" t="s">
        <v>60</v>
      </c>
      <c r="O358" s="14" t="s">
        <v>60</v>
      </c>
      <c r="P358" s="14" t="s">
        <v>5577</v>
      </c>
      <c r="Q358" s="14" t="s">
        <v>180</v>
      </c>
      <c r="R358" s="3" t="s">
        <v>4170</v>
      </c>
      <c r="S358" s="3">
        <f t="shared" si="16"/>
        <v>550</v>
      </c>
      <c r="T358" s="3">
        <f t="shared" si="17"/>
        <v>17050</v>
      </c>
      <c r="U358" s="3" t="s">
        <v>60</v>
      </c>
      <c r="V358" s="14" t="s">
        <v>6</v>
      </c>
      <c r="W358" s="14" t="s">
        <v>5396</v>
      </c>
      <c r="X358" s="14" t="s">
        <v>60</v>
      </c>
    </row>
    <row r="359" spans="1:24" ht="15" x14ac:dyDescent="0.3">
      <c r="A359" s="3">
        <v>43</v>
      </c>
      <c r="B359" s="3" t="s">
        <v>5578</v>
      </c>
      <c r="C359" s="14" t="s">
        <v>0</v>
      </c>
      <c r="D359" s="14" t="s">
        <v>3481</v>
      </c>
      <c r="E359" s="14" t="s">
        <v>4195</v>
      </c>
      <c r="F359" s="14" t="s">
        <v>3496</v>
      </c>
      <c r="G359" s="14" t="s">
        <v>3</v>
      </c>
      <c r="H359" s="14" t="s">
        <v>5579</v>
      </c>
      <c r="I359" s="14" t="s">
        <v>3701</v>
      </c>
      <c r="J359" s="14" t="s">
        <v>60</v>
      </c>
      <c r="K359" s="14" t="s">
        <v>60</v>
      </c>
      <c r="L359" s="14" t="s">
        <v>60</v>
      </c>
      <c r="M359" s="14" t="s">
        <v>3702</v>
      </c>
      <c r="N359" s="14" t="s">
        <v>60</v>
      </c>
      <c r="O359" s="14" t="s">
        <v>60</v>
      </c>
      <c r="P359" s="14" t="s">
        <v>5580</v>
      </c>
      <c r="Q359" s="14" t="s">
        <v>180</v>
      </c>
      <c r="R359" s="3" t="s">
        <v>4170</v>
      </c>
      <c r="S359" s="3">
        <f t="shared" si="16"/>
        <v>550</v>
      </c>
      <c r="T359" s="3">
        <f t="shared" si="17"/>
        <v>17050</v>
      </c>
      <c r="U359" s="3" t="s">
        <v>60</v>
      </c>
      <c r="V359" s="14" t="s">
        <v>6</v>
      </c>
      <c r="W359" s="14" t="s">
        <v>5396</v>
      </c>
      <c r="X359" s="14" t="s">
        <v>60</v>
      </c>
    </row>
    <row r="360" spans="1:24" ht="15" x14ac:dyDescent="0.3">
      <c r="A360" s="3">
        <v>44</v>
      </c>
      <c r="B360" s="3" t="s">
        <v>5581</v>
      </c>
      <c r="C360" s="14" t="s">
        <v>0</v>
      </c>
      <c r="D360" s="14" t="s">
        <v>3482</v>
      </c>
      <c r="E360" s="14" t="s">
        <v>4308</v>
      </c>
      <c r="F360" s="14" t="s">
        <v>3497</v>
      </c>
      <c r="G360" s="14" t="s">
        <v>3</v>
      </c>
      <c r="H360" s="14" t="s">
        <v>5582</v>
      </c>
      <c r="I360" s="14" t="s">
        <v>3703</v>
      </c>
      <c r="J360" s="14" t="s">
        <v>60</v>
      </c>
      <c r="K360" s="14" t="s">
        <v>60</v>
      </c>
      <c r="L360" s="14" t="s">
        <v>60</v>
      </c>
      <c r="M360" s="14" t="s">
        <v>3704</v>
      </c>
      <c r="N360" s="14" t="s">
        <v>60</v>
      </c>
      <c r="O360" s="14" t="s">
        <v>60</v>
      </c>
      <c r="P360" s="14" t="s">
        <v>5583</v>
      </c>
      <c r="Q360" s="14" t="s">
        <v>11</v>
      </c>
      <c r="R360" s="3" t="s">
        <v>4170</v>
      </c>
      <c r="S360" s="3">
        <f t="shared" si="16"/>
        <v>550</v>
      </c>
      <c r="T360" s="3">
        <f t="shared" si="17"/>
        <v>17050</v>
      </c>
      <c r="U360" s="3" t="s">
        <v>60</v>
      </c>
      <c r="V360" s="14" t="s">
        <v>6</v>
      </c>
      <c r="W360" s="14" t="s">
        <v>5396</v>
      </c>
      <c r="X360" s="14" t="s">
        <v>60</v>
      </c>
    </row>
    <row r="361" spans="1:24" ht="15" x14ac:dyDescent="0.3">
      <c r="A361" s="3">
        <v>45</v>
      </c>
      <c r="B361" s="3" t="s">
        <v>5584</v>
      </c>
      <c r="C361" s="14" t="s">
        <v>0</v>
      </c>
      <c r="D361" s="14" t="s">
        <v>3490</v>
      </c>
      <c r="E361" s="14" t="s">
        <v>5585</v>
      </c>
      <c r="F361" s="14" t="s">
        <v>3505</v>
      </c>
      <c r="G361" s="14" t="s">
        <v>3</v>
      </c>
      <c r="H361" s="14" t="s">
        <v>5586</v>
      </c>
      <c r="I361" s="14" t="s">
        <v>3735</v>
      </c>
      <c r="J361" s="14" t="s">
        <v>60</v>
      </c>
      <c r="K361" s="14" t="s">
        <v>60</v>
      </c>
      <c r="L361" s="14" t="s">
        <v>60</v>
      </c>
      <c r="M361" s="14" t="s">
        <v>3736</v>
      </c>
      <c r="N361" s="14" t="s">
        <v>60</v>
      </c>
      <c r="O361" s="14" t="s">
        <v>60</v>
      </c>
      <c r="P361" s="14" t="s">
        <v>5587</v>
      </c>
      <c r="Q361" s="14" t="s">
        <v>2791</v>
      </c>
      <c r="R361" s="3" t="s">
        <v>4170</v>
      </c>
      <c r="S361" s="3">
        <f t="shared" si="16"/>
        <v>550</v>
      </c>
      <c r="T361" s="3">
        <f t="shared" si="17"/>
        <v>17050</v>
      </c>
      <c r="U361" s="3" t="s">
        <v>60</v>
      </c>
      <c r="V361" s="14" t="s">
        <v>6</v>
      </c>
      <c r="W361" s="14" t="s">
        <v>5588</v>
      </c>
      <c r="X361" s="14" t="s">
        <v>60</v>
      </c>
    </row>
    <row r="362" spans="1:24" ht="15" x14ac:dyDescent="0.3">
      <c r="A362" s="3">
        <v>46</v>
      </c>
      <c r="B362" s="3" t="s">
        <v>5589</v>
      </c>
      <c r="C362" s="14" t="s">
        <v>0</v>
      </c>
      <c r="D362" s="14" t="s">
        <v>3491</v>
      </c>
      <c r="E362" s="14" t="s">
        <v>5590</v>
      </c>
      <c r="F362" s="14" t="s">
        <v>3506</v>
      </c>
      <c r="G362" s="14" t="s">
        <v>3</v>
      </c>
      <c r="H362" s="14" t="s">
        <v>5591</v>
      </c>
      <c r="I362" s="14" t="s">
        <v>3737</v>
      </c>
      <c r="J362" s="14" t="s">
        <v>60</v>
      </c>
      <c r="K362" s="14" t="s">
        <v>60</v>
      </c>
      <c r="L362" s="14" t="s">
        <v>60</v>
      </c>
      <c r="M362" s="14" t="s">
        <v>3738</v>
      </c>
      <c r="N362" s="14" t="s">
        <v>60</v>
      </c>
      <c r="O362" s="14" t="s">
        <v>60</v>
      </c>
      <c r="P362" s="14" t="s">
        <v>5592</v>
      </c>
      <c r="Q362" s="14" t="s">
        <v>180</v>
      </c>
      <c r="R362" s="3" t="s">
        <v>4170</v>
      </c>
      <c r="S362" s="3">
        <f t="shared" si="16"/>
        <v>550</v>
      </c>
      <c r="T362" s="3">
        <f t="shared" si="17"/>
        <v>17050</v>
      </c>
      <c r="U362" s="3" t="s">
        <v>60</v>
      </c>
      <c r="V362" s="14" t="s">
        <v>6</v>
      </c>
      <c r="W362" s="14" t="s">
        <v>5588</v>
      </c>
      <c r="X362" s="14" t="s">
        <v>60</v>
      </c>
    </row>
    <row r="363" spans="1:24" ht="15" x14ac:dyDescent="0.3">
      <c r="A363" s="3">
        <v>47</v>
      </c>
      <c r="B363" s="3" t="s">
        <v>5593</v>
      </c>
      <c r="C363" s="14" t="s">
        <v>91</v>
      </c>
      <c r="D363" s="14" t="s">
        <v>2575</v>
      </c>
      <c r="E363" s="14" t="s">
        <v>5594</v>
      </c>
      <c r="F363" s="14" t="s">
        <v>3507</v>
      </c>
      <c r="G363" s="14" t="s">
        <v>3</v>
      </c>
      <c r="H363" s="14" t="s">
        <v>5595</v>
      </c>
      <c r="I363" s="14" t="s">
        <v>2576</v>
      </c>
      <c r="J363" s="14" t="s">
        <v>60</v>
      </c>
      <c r="K363" s="14" t="s">
        <v>60</v>
      </c>
      <c r="L363" s="14" t="s">
        <v>60</v>
      </c>
      <c r="M363" s="14" t="s">
        <v>2577</v>
      </c>
      <c r="N363" s="14" t="s">
        <v>60</v>
      </c>
      <c r="O363" s="14" t="s">
        <v>60</v>
      </c>
      <c r="P363" s="14" t="s">
        <v>5596</v>
      </c>
      <c r="Q363" s="14" t="s">
        <v>2922</v>
      </c>
      <c r="R363" s="3" t="s">
        <v>4170</v>
      </c>
      <c r="S363" s="3">
        <f t="shared" si="16"/>
        <v>770</v>
      </c>
      <c r="T363" s="3">
        <f t="shared" si="17"/>
        <v>23870</v>
      </c>
      <c r="U363" s="3" t="s">
        <v>60</v>
      </c>
      <c r="V363" s="14" t="s">
        <v>6</v>
      </c>
      <c r="W363" s="14" t="s">
        <v>5597</v>
      </c>
      <c r="X363" s="14" t="s">
        <v>60</v>
      </c>
    </row>
    <row r="364" spans="1:24" ht="15" x14ac:dyDescent="0.3">
      <c r="A364" s="3">
        <v>48</v>
      </c>
      <c r="B364" s="3" t="s">
        <v>5598</v>
      </c>
      <c r="C364" s="14" t="s">
        <v>0</v>
      </c>
      <c r="D364" s="14" t="s">
        <v>839</v>
      </c>
      <c r="E364" s="14" t="s">
        <v>5599</v>
      </c>
      <c r="F364" s="14" t="s">
        <v>840</v>
      </c>
      <c r="G364" s="14" t="s">
        <v>121</v>
      </c>
      <c r="H364" s="14" t="s">
        <v>841</v>
      </c>
      <c r="I364" s="14" t="s">
        <v>842</v>
      </c>
      <c r="J364" s="14" t="s">
        <v>60</v>
      </c>
      <c r="K364" s="14" t="s">
        <v>60</v>
      </c>
      <c r="L364" s="14" t="s">
        <v>60</v>
      </c>
      <c r="M364" s="14" t="s">
        <v>843</v>
      </c>
      <c r="N364" s="14" t="s">
        <v>60</v>
      </c>
      <c r="O364" s="14" t="s">
        <v>60</v>
      </c>
      <c r="P364" s="14" t="s">
        <v>5600</v>
      </c>
      <c r="Q364" s="14" t="s">
        <v>11</v>
      </c>
      <c r="R364" s="3" t="s">
        <v>4170</v>
      </c>
      <c r="S364" s="3">
        <f t="shared" si="16"/>
        <v>550</v>
      </c>
      <c r="T364" s="3">
        <f t="shared" si="17"/>
        <v>17050</v>
      </c>
      <c r="U364" s="3" t="s">
        <v>60</v>
      </c>
      <c r="V364" s="14" t="s">
        <v>6</v>
      </c>
      <c r="W364" s="14" t="s">
        <v>5601</v>
      </c>
      <c r="X364" s="14" t="s">
        <v>60</v>
      </c>
    </row>
    <row r="365" spans="1:24" ht="15" x14ac:dyDescent="0.3">
      <c r="A365" s="3">
        <v>49</v>
      </c>
      <c r="B365" s="3" t="s">
        <v>5602</v>
      </c>
      <c r="C365" s="14" t="s">
        <v>0</v>
      </c>
      <c r="D365" s="14" t="s">
        <v>844</v>
      </c>
      <c r="E365" s="14" t="s">
        <v>5603</v>
      </c>
      <c r="F365" s="14" t="s">
        <v>845</v>
      </c>
      <c r="G365" s="14" t="s">
        <v>3</v>
      </c>
      <c r="H365" s="14" t="s">
        <v>5604</v>
      </c>
      <c r="I365" s="14" t="s">
        <v>846</v>
      </c>
      <c r="J365" s="14" t="s">
        <v>60</v>
      </c>
      <c r="K365" s="14" t="s">
        <v>60</v>
      </c>
      <c r="L365" s="14" t="s">
        <v>60</v>
      </c>
      <c r="M365" s="14" t="s">
        <v>847</v>
      </c>
      <c r="N365" s="14" t="s">
        <v>60</v>
      </c>
      <c r="O365" s="14" t="s">
        <v>60</v>
      </c>
      <c r="P365" s="14" t="s">
        <v>5605</v>
      </c>
      <c r="Q365" s="14" t="s">
        <v>11</v>
      </c>
      <c r="R365" s="3" t="s">
        <v>4223</v>
      </c>
      <c r="S365" s="3">
        <f t="shared" si="16"/>
        <v>550</v>
      </c>
      <c r="T365" s="3">
        <f t="shared" si="17"/>
        <v>8800</v>
      </c>
      <c r="U365" s="3" t="s">
        <v>60</v>
      </c>
      <c r="V365" s="14" t="s">
        <v>6</v>
      </c>
      <c r="W365" s="14" t="s">
        <v>5601</v>
      </c>
      <c r="X365" s="14" t="s">
        <v>60</v>
      </c>
    </row>
    <row r="366" spans="1:24" ht="15" x14ac:dyDescent="0.3">
      <c r="A366" s="3">
        <v>50</v>
      </c>
      <c r="B366" s="3" t="s">
        <v>5606</v>
      </c>
      <c r="C366" s="14" t="s">
        <v>0</v>
      </c>
      <c r="D366" s="14" t="s">
        <v>848</v>
      </c>
      <c r="E366" s="14" t="s">
        <v>5607</v>
      </c>
      <c r="F366" s="14" t="s">
        <v>849</v>
      </c>
      <c r="G366" s="14" t="s">
        <v>121</v>
      </c>
      <c r="H366" s="14" t="s">
        <v>5608</v>
      </c>
      <c r="I366" s="14" t="s">
        <v>850</v>
      </c>
      <c r="J366" s="14" t="s">
        <v>60</v>
      </c>
      <c r="K366" s="14" t="s">
        <v>60</v>
      </c>
      <c r="L366" s="14" t="s">
        <v>60</v>
      </c>
      <c r="M366" s="14" t="s">
        <v>851</v>
      </c>
      <c r="N366" s="14" t="s">
        <v>60</v>
      </c>
      <c r="O366" s="14" t="s">
        <v>25</v>
      </c>
      <c r="P366" s="14" t="s">
        <v>5609</v>
      </c>
      <c r="Q366" s="14" t="s">
        <v>11</v>
      </c>
      <c r="R366" s="3" t="s">
        <v>4170</v>
      </c>
      <c r="S366" s="3">
        <f t="shared" si="16"/>
        <v>550</v>
      </c>
      <c r="T366" s="3">
        <f t="shared" si="17"/>
        <v>17050</v>
      </c>
      <c r="U366" s="3" t="s">
        <v>60</v>
      </c>
      <c r="V366" s="14" t="s">
        <v>6</v>
      </c>
      <c r="W366" s="14" t="s">
        <v>4985</v>
      </c>
      <c r="X366" s="14" t="s">
        <v>60</v>
      </c>
    </row>
    <row r="367" spans="1:24" ht="15" x14ac:dyDescent="0.3">
      <c r="A367" s="3">
        <v>51</v>
      </c>
      <c r="B367" s="3" t="s">
        <v>5610</v>
      </c>
      <c r="C367" s="14" t="s">
        <v>0</v>
      </c>
      <c r="D367" s="14" t="s">
        <v>3308</v>
      </c>
      <c r="E367" s="14" t="s">
        <v>4815</v>
      </c>
      <c r="F367" s="14" t="s">
        <v>3310</v>
      </c>
      <c r="G367" s="14" t="s">
        <v>3</v>
      </c>
      <c r="H367" s="14" t="s">
        <v>5611</v>
      </c>
      <c r="I367" s="14" t="s">
        <v>3365</v>
      </c>
      <c r="J367" s="14" t="s">
        <v>60</v>
      </c>
      <c r="K367" s="14" t="s">
        <v>60</v>
      </c>
      <c r="L367" s="14" t="s">
        <v>60</v>
      </c>
      <c r="M367" s="14" t="s">
        <v>3366</v>
      </c>
      <c r="N367" s="14" t="s">
        <v>60</v>
      </c>
      <c r="O367" s="14" t="s">
        <v>60</v>
      </c>
      <c r="P367" s="14" t="s">
        <v>5612</v>
      </c>
      <c r="Q367" s="14" t="s">
        <v>11</v>
      </c>
      <c r="R367" s="3" t="s">
        <v>4170</v>
      </c>
      <c r="S367" s="3">
        <f t="shared" si="16"/>
        <v>550</v>
      </c>
      <c r="T367" s="3">
        <f t="shared" si="17"/>
        <v>17050</v>
      </c>
      <c r="U367" s="3" t="s">
        <v>60</v>
      </c>
      <c r="V367" s="14" t="s">
        <v>4208</v>
      </c>
      <c r="W367" s="14" t="s">
        <v>5424</v>
      </c>
      <c r="X367" s="14" t="s">
        <v>60</v>
      </c>
    </row>
    <row r="368" spans="1:24" ht="15" x14ac:dyDescent="0.3">
      <c r="A368" s="3">
        <v>52</v>
      </c>
      <c r="B368" s="3" t="s">
        <v>5613</v>
      </c>
      <c r="C368" s="14" t="s">
        <v>0</v>
      </c>
      <c r="D368" s="14" t="s">
        <v>3509</v>
      </c>
      <c r="E368" s="14" t="s">
        <v>5614</v>
      </c>
      <c r="F368" s="14" t="s">
        <v>3510</v>
      </c>
      <c r="G368" s="14" t="s">
        <v>3</v>
      </c>
      <c r="H368" s="14" t="s">
        <v>5615</v>
      </c>
      <c r="I368" s="14" t="s">
        <v>3739</v>
      </c>
      <c r="J368" s="14" t="s">
        <v>60</v>
      </c>
      <c r="K368" s="14" t="s">
        <v>60</v>
      </c>
      <c r="L368" s="14" t="s">
        <v>60</v>
      </c>
      <c r="M368" s="14" t="s">
        <v>3740</v>
      </c>
      <c r="N368" s="14" t="s">
        <v>60</v>
      </c>
      <c r="O368" s="14" t="s">
        <v>60</v>
      </c>
      <c r="P368" s="14" t="s">
        <v>5616</v>
      </c>
      <c r="Q368" s="14" t="s">
        <v>761</v>
      </c>
      <c r="R368" s="3" t="s">
        <v>4170</v>
      </c>
      <c r="S368" s="3">
        <f t="shared" si="16"/>
        <v>550</v>
      </c>
      <c r="T368" s="3">
        <f t="shared" si="17"/>
        <v>17050</v>
      </c>
      <c r="U368" s="3" t="s">
        <v>60</v>
      </c>
      <c r="V368" s="14" t="s">
        <v>6</v>
      </c>
      <c r="W368" s="14" t="s">
        <v>5588</v>
      </c>
      <c r="X368" s="14" t="s">
        <v>60</v>
      </c>
    </row>
    <row r="369" spans="1:24" ht="15" x14ac:dyDescent="0.3">
      <c r="A369" s="3">
        <v>53</v>
      </c>
      <c r="B369" s="3" t="s">
        <v>5617</v>
      </c>
      <c r="C369" s="14" t="s">
        <v>0</v>
      </c>
      <c r="D369" s="14" t="s">
        <v>861</v>
      </c>
      <c r="E369" s="14" t="s">
        <v>5618</v>
      </c>
      <c r="F369" s="14" t="s">
        <v>862</v>
      </c>
      <c r="G369" s="14" t="s">
        <v>3</v>
      </c>
      <c r="H369" s="14" t="s">
        <v>5619</v>
      </c>
      <c r="I369" s="14" t="s">
        <v>863</v>
      </c>
      <c r="J369" s="14" t="s">
        <v>60</v>
      </c>
      <c r="K369" s="14" t="s">
        <v>60</v>
      </c>
      <c r="L369" s="14" t="s">
        <v>60</v>
      </c>
      <c r="M369" s="14" t="s">
        <v>864</v>
      </c>
      <c r="N369" s="14" t="s">
        <v>60</v>
      </c>
      <c r="O369" s="14" t="s">
        <v>60</v>
      </c>
      <c r="P369" s="14" t="s">
        <v>5620</v>
      </c>
      <c r="Q369" s="14" t="s">
        <v>11</v>
      </c>
      <c r="R369" s="3" t="s">
        <v>4170</v>
      </c>
      <c r="S369" s="3">
        <f t="shared" si="16"/>
        <v>550</v>
      </c>
      <c r="T369" s="3">
        <f t="shared" si="17"/>
        <v>17050</v>
      </c>
      <c r="U369" s="3" t="s">
        <v>60</v>
      </c>
      <c r="V369" s="14" t="s">
        <v>6</v>
      </c>
      <c r="W369" s="14" t="s">
        <v>4634</v>
      </c>
      <c r="X369" s="14" t="s">
        <v>60</v>
      </c>
    </row>
    <row r="370" spans="1:24" ht="15" x14ac:dyDescent="0.3">
      <c r="A370" s="3">
        <v>54</v>
      </c>
      <c r="B370" s="3" t="s">
        <v>5621</v>
      </c>
      <c r="C370" s="14" t="s">
        <v>0</v>
      </c>
      <c r="D370" s="14" t="s">
        <v>865</v>
      </c>
      <c r="E370" s="14" t="s">
        <v>5622</v>
      </c>
      <c r="F370" s="14" t="s">
        <v>866</v>
      </c>
      <c r="G370" s="14" t="s">
        <v>121</v>
      </c>
      <c r="H370" s="14" t="s">
        <v>5623</v>
      </c>
      <c r="I370" s="14" t="s">
        <v>867</v>
      </c>
      <c r="J370" s="14" t="s">
        <v>60</v>
      </c>
      <c r="K370" s="14" t="s">
        <v>60</v>
      </c>
      <c r="L370" s="14" t="s">
        <v>60</v>
      </c>
      <c r="M370" s="14" t="s">
        <v>868</v>
      </c>
      <c r="N370" s="14" t="s">
        <v>60</v>
      </c>
      <c r="O370" s="14" t="s">
        <v>60</v>
      </c>
      <c r="P370" s="14" t="s">
        <v>5624</v>
      </c>
      <c r="Q370" s="14" t="s">
        <v>11</v>
      </c>
      <c r="R370" s="3" t="s">
        <v>4170</v>
      </c>
      <c r="S370" s="3">
        <f t="shared" si="16"/>
        <v>550</v>
      </c>
      <c r="T370" s="3">
        <f t="shared" si="17"/>
        <v>17050</v>
      </c>
      <c r="U370" s="3" t="s">
        <v>60</v>
      </c>
      <c r="V370" s="14" t="s">
        <v>6</v>
      </c>
      <c r="W370" s="14" t="s">
        <v>4634</v>
      </c>
      <c r="X370" s="14" t="s">
        <v>60</v>
      </c>
    </row>
    <row r="371" spans="1:24" ht="15" x14ac:dyDescent="0.3">
      <c r="A371" s="3">
        <v>55</v>
      </c>
      <c r="B371" s="3" t="s">
        <v>5625</v>
      </c>
      <c r="C371" s="14" t="s">
        <v>0</v>
      </c>
      <c r="D371" s="14" t="s">
        <v>869</v>
      </c>
      <c r="E371" s="14" t="s">
        <v>5626</v>
      </c>
      <c r="F371" s="14" t="s">
        <v>870</v>
      </c>
      <c r="G371" s="14" t="s">
        <v>121</v>
      </c>
      <c r="H371" s="14" t="s">
        <v>5627</v>
      </c>
      <c r="I371" s="14" t="s">
        <v>871</v>
      </c>
      <c r="J371" s="14" t="s">
        <v>60</v>
      </c>
      <c r="K371" s="14" t="s">
        <v>60</v>
      </c>
      <c r="L371" s="14" t="s">
        <v>60</v>
      </c>
      <c r="M371" s="14" t="s">
        <v>872</v>
      </c>
      <c r="N371" s="14" t="s">
        <v>60</v>
      </c>
      <c r="O371" s="14" t="s">
        <v>60</v>
      </c>
      <c r="P371" s="14" t="s">
        <v>5628</v>
      </c>
      <c r="Q371" s="14" t="s">
        <v>180</v>
      </c>
      <c r="R371" s="3" t="s">
        <v>4170</v>
      </c>
      <c r="S371" s="3">
        <f t="shared" si="16"/>
        <v>550</v>
      </c>
      <c r="T371" s="3">
        <f t="shared" si="17"/>
        <v>17050</v>
      </c>
      <c r="U371" s="3" t="s">
        <v>60</v>
      </c>
      <c r="V371" s="14" t="s">
        <v>6</v>
      </c>
      <c r="W371" s="14" t="s">
        <v>4634</v>
      </c>
      <c r="X371" s="14" t="s">
        <v>60</v>
      </c>
    </row>
    <row r="372" spans="1:24" ht="15" x14ac:dyDescent="0.3">
      <c r="A372" s="3">
        <v>56</v>
      </c>
      <c r="B372" s="3" t="s">
        <v>5629</v>
      </c>
      <c r="C372" s="14" t="s">
        <v>0</v>
      </c>
      <c r="D372" s="14" t="s">
        <v>873</v>
      </c>
      <c r="E372" s="14" t="s">
        <v>5630</v>
      </c>
      <c r="F372" s="14" t="s">
        <v>874</v>
      </c>
      <c r="G372" s="14" t="s">
        <v>121</v>
      </c>
      <c r="H372" s="14" t="s">
        <v>5631</v>
      </c>
      <c r="I372" s="14" t="s">
        <v>875</v>
      </c>
      <c r="J372" s="14" t="s">
        <v>60</v>
      </c>
      <c r="K372" s="14" t="s">
        <v>60</v>
      </c>
      <c r="L372" s="14" t="s">
        <v>60</v>
      </c>
      <c r="M372" s="14" t="s">
        <v>876</v>
      </c>
      <c r="N372" s="14" t="s">
        <v>60</v>
      </c>
      <c r="O372" s="14" t="s">
        <v>60</v>
      </c>
      <c r="P372" s="14" t="s">
        <v>5632</v>
      </c>
      <c r="Q372" s="14" t="s">
        <v>11</v>
      </c>
      <c r="R372" s="3" t="s">
        <v>4170</v>
      </c>
      <c r="S372" s="3">
        <f t="shared" si="16"/>
        <v>550</v>
      </c>
      <c r="T372" s="3">
        <f t="shared" si="17"/>
        <v>17050</v>
      </c>
      <c r="U372" s="3" t="s">
        <v>60</v>
      </c>
      <c r="V372" s="14" t="s">
        <v>6</v>
      </c>
      <c r="W372" s="14" t="s">
        <v>4634</v>
      </c>
      <c r="X372" s="14" t="s">
        <v>60</v>
      </c>
    </row>
    <row r="373" spans="1:24" ht="15" x14ac:dyDescent="0.3">
      <c r="A373" s="3">
        <v>57</v>
      </c>
      <c r="B373" s="3" t="s">
        <v>5633</v>
      </c>
      <c r="C373" s="14" t="s">
        <v>0</v>
      </c>
      <c r="D373" s="14" t="s">
        <v>877</v>
      </c>
      <c r="E373" s="14" t="s">
        <v>4451</v>
      </c>
      <c r="F373" s="14" t="s">
        <v>878</v>
      </c>
      <c r="G373" s="14" t="s">
        <v>121</v>
      </c>
      <c r="H373" s="14" t="s">
        <v>5634</v>
      </c>
      <c r="I373" s="14" t="s">
        <v>879</v>
      </c>
      <c r="J373" s="14" t="s">
        <v>60</v>
      </c>
      <c r="K373" s="14" t="s">
        <v>60</v>
      </c>
      <c r="L373" s="14" t="s">
        <v>60</v>
      </c>
      <c r="M373" s="14" t="s">
        <v>880</v>
      </c>
      <c r="N373" s="14" t="s">
        <v>60</v>
      </c>
      <c r="O373" s="14" t="s">
        <v>60</v>
      </c>
      <c r="P373" s="14" t="s">
        <v>5635</v>
      </c>
      <c r="Q373" s="14" t="s">
        <v>11</v>
      </c>
      <c r="R373" s="3" t="s">
        <v>4170</v>
      </c>
      <c r="S373" s="3">
        <f t="shared" si="16"/>
        <v>550</v>
      </c>
      <c r="T373" s="3">
        <f t="shared" si="17"/>
        <v>17050</v>
      </c>
      <c r="U373" s="3" t="s">
        <v>60</v>
      </c>
      <c r="V373" s="14" t="s">
        <v>6</v>
      </c>
      <c r="W373" s="14" t="s">
        <v>4634</v>
      </c>
      <c r="X373" s="14" t="s">
        <v>60</v>
      </c>
    </row>
    <row r="374" spans="1:24" ht="15" x14ac:dyDescent="0.3">
      <c r="A374" s="3">
        <v>58</v>
      </c>
      <c r="B374" s="3" t="s">
        <v>5636</v>
      </c>
      <c r="C374" s="14" t="s">
        <v>0</v>
      </c>
      <c r="D374" s="14" t="s">
        <v>881</v>
      </c>
      <c r="E374" s="14" t="s">
        <v>5637</v>
      </c>
      <c r="F374" s="14" t="s">
        <v>584</v>
      </c>
      <c r="G374" s="14" t="s">
        <v>121</v>
      </c>
      <c r="H374" s="14" t="s">
        <v>5638</v>
      </c>
      <c r="I374" s="14" t="s">
        <v>882</v>
      </c>
      <c r="J374" s="14" t="s">
        <v>60</v>
      </c>
      <c r="K374" s="14" t="s">
        <v>60</v>
      </c>
      <c r="L374" s="14" t="s">
        <v>60</v>
      </c>
      <c r="M374" s="14" t="s">
        <v>883</v>
      </c>
      <c r="N374" s="14" t="s">
        <v>60</v>
      </c>
      <c r="O374" s="14" t="s">
        <v>60</v>
      </c>
      <c r="P374" s="14" t="s">
        <v>5639</v>
      </c>
      <c r="Q374" s="14" t="s">
        <v>185</v>
      </c>
      <c r="R374" s="3" t="s">
        <v>4170</v>
      </c>
      <c r="S374" s="3">
        <f t="shared" si="16"/>
        <v>550</v>
      </c>
      <c r="T374" s="3">
        <f t="shared" si="17"/>
        <v>17050</v>
      </c>
      <c r="U374" s="3" t="s">
        <v>60</v>
      </c>
      <c r="V374" s="14" t="s">
        <v>6</v>
      </c>
      <c r="W374" s="14" t="s">
        <v>4634</v>
      </c>
      <c r="X374" s="14" t="s">
        <v>60</v>
      </c>
    </row>
    <row r="375" spans="1:24" ht="15" x14ac:dyDescent="0.3">
      <c r="A375" s="3">
        <v>59</v>
      </c>
      <c r="B375" s="3" t="s">
        <v>5640</v>
      </c>
      <c r="C375" s="14" t="s">
        <v>0</v>
      </c>
      <c r="D375" s="14" t="s">
        <v>884</v>
      </c>
      <c r="E375" s="14" t="s">
        <v>5641</v>
      </c>
      <c r="F375" s="14" t="s">
        <v>598</v>
      </c>
      <c r="G375" s="14" t="s">
        <v>121</v>
      </c>
      <c r="H375" s="14" t="s">
        <v>5642</v>
      </c>
      <c r="I375" s="14" t="s">
        <v>885</v>
      </c>
      <c r="J375" s="14" t="s">
        <v>60</v>
      </c>
      <c r="K375" s="14" t="s">
        <v>60</v>
      </c>
      <c r="L375" s="14" t="s">
        <v>60</v>
      </c>
      <c r="M375" s="14" t="s">
        <v>886</v>
      </c>
      <c r="N375" s="14" t="s">
        <v>60</v>
      </c>
      <c r="O375" s="14" t="s">
        <v>60</v>
      </c>
      <c r="P375" s="14" t="s">
        <v>5643</v>
      </c>
      <c r="Q375" s="14" t="s">
        <v>180</v>
      </c>
      <c r="R375" s="3" t="s">
        <v>4170</v>
      </c>
      <c r="S375" s="3">
        <f t="shared" si="16"/>
        <v>550</v>
      </c>
      <c r="T375" s="3">
        <f t="shared" si="17"/>
        <v>17050</v>
      </c>
      <c r="U375" s="3" t="s">
        <v>60</v>
      </c>
      <c r="V375" s="14" t="s">
        <v>6</v>
      </c>
      <c r="W375" s="14" t="s">
        <v>4634</v>
      </c>
      <c r="X375" s="14" t="s">
        <v>60</v>
      </c>
    </row>
    <row r="376" spans="1:24" ht="15" x14ac:dyDescent="0.3">
      <c r="A376" s="3">
        <v>60</v>
      </c>
      <c r="B376" s="3" t="s">
        <v>5644</v>
      </c>
      <c r="C376" s="14" t="s">
        <v>0</v>
      </c>
      <c r="D376" s="14" t="s">
        <v>887</v>
      </c>
      <c r="E376" s="14" t="s">
        <v>5645</v>
      </c>
      <c r="F376" s="14" t="s">
        <v>888</v>
      </c>
      <c r="G376" s="14" t="s">
        <v>3</v>
      </c>
      <c r="H376" s="14" t="s">
        <v>5646</v>
      </c>
      <c r="I376" s="14" t="s">
        <v>889</v>
      </c>
      <c r="J376" s="14" t="s">
        <v>60</v>
      </c>
      <c r="K376" s="14" t="s">
        <v>60</v>
      </c>
      <c r="L376" s="14" t="s">
        <v>60</v>
      </c>
      <c r="M376" s="14" t="s">
        <v>890</v>
      </c>
      <c r="N376" s="14" t="s">
        <v>60</v>
      </c>
      <c r="O376" s="14" t="s">
        <v>60</v>
      </c>
      <c r="P376" s="14" t="s">
        <v>5647</v>
      </c>
      <c r="Q376" s="14" t="s">
        <v>185</v>
      </c>
      <c r="R376" s="3" t="s">
        <v>4170</v>
      </c>
      <c r="S376" s="3">
        <f t="shared" si="16"/>
        <v>550</v>
      </c>
      <c r="T376" s="3">
        <f t="shared" si="17"/>
        <v>17050</v>
      </c>
      <c r="U376" s="3" t="s">
        <v>5648</v>
      </c>
      <c r="V376" s="14" t="s">
        <v>6</v>
      </c>
      <c r="W376" s="14" t="s">
        <v>4634</v>
      </c>
      <c r="X376" s="14" t="s">
        <v>60</v>
      </c>
    </row>
    <row r="377" spans="1:24" ht="15" x14ac:dyDescent="0.3">
      <c r="A377" s="3">
        <v>61</v>
      </c>
      <c r="B377" s="3" t="s">
        <v>5649</v>
      </c>
      <c r="C377" s="14" t="s">
        <v>0</v>
      </c>
      <c r="D377" s="14" t="s">
        <v>891</v>
      </c>
      <c r="E377" s="14" t="s">
        <v>5650</v>
      </c>
      <c r="F377" s="14" t="s">
        <v>892</v>
      </c>
      <c r="G377" s="14" t="s">
        <v>3</v>
      </c>
      <c r="H377" s="14" t="s">
        <v>5651</v>
      </c>
      <c r="I377" s="14" t="s">
        <v>893</v>
      </c>
      <c r="J377" s="14" t="s">
        <v>60</v>
      </c>
      <c r="K377" s="14" t="s">
        <v>60</v>
      </c>
      <c r="L377" s="14" t="s">
        <v>60</v>
      </c>
      <c r="M377" s="14" t="s">
        <v>894</v>
      </c>
      <c r="N377" s="14" t="s">
        <v>60</v>
      </c>
      <c r="O377" s="14" t="s">
        <v>60</v>
      </c>
      <c r="P377" s="14" t="s">
        <v>5652</v>
      </c>
      <c r="Q377" s="14" t="s">
        <v>11</v>
      </c>
      <c r="R377" s="3" t="s">
        <v>4170</v>
      </c>
      <c r="S377" s="3">
        <f t="shared" si="16"/>
        <v>550</v>
      </c>
      <c r="T377" s="3">
        <f t="shared" si="17"/>
        <v>17050</v>
      </c>
      <c r="U377" s="3" t="s">
        <v>60</v>
      </c>
      <c r="V377" s="14" t="s">
        <v>6</v>
      </c>
      <c r="W377" s="14" t="s">
        <v>4634</v>
      </c>
      <c r="X377" s="14" t="s">
        <v>60</v>
      </c>
    </row>
    <row r="378" spans="1:24" ht="15" x14ac:dyDescent="0.3">
      <c r="A378" s="3">
        <v>62</v>
      </c>
      <c r="B378" s="3" t="s">
        <v>5653</v>
      </c>
      <c r="C378" s="14" t="s">
        <v>0</v>
      </c>
      <c r="D378" s="14" t="s">
        <v>895</v>
      </c>
      <c r="E378" s="14" t="s">
        <v>896</v>
      </c>
      <c r="F378" s="14" t="s">
        <v>897</v>
      </c>
      <c r="G378" s="14" t="s">
        <v>3</v>
      </c>
      <c r="H378" s="14" t="s">
        <v>5654</v>
      </c>
      <c r="I378" s="14" t="s">
        <v>898</v>
      </c>
      <c r="J378" s="14" t="s">
        <v>60</v>
      </c>
      <c r="K378" s="14" t="s">
        <v>60</v>
      </c>
      <c r="L378" s="14" t="s">
        <v>60</v>
      </c>
      <c r="M378" s="14" t="s">
        <v>899</v>
      </c>
      <c r="N378" s="14" t="s">
        <v>60</v>
      </c>
      <c r="O378" s="14" t="s">
        <v>60</v>
      </c>
      <c r="P378" s="14" t="s">
        <v>5655</v>
      </c>
      <c r="Q378" s="14" t="s">
        <v>11</v>
      </c>
      <c r="R378" s="3" t="s">
        <v>4170</v>
      </c>
      <c r="S378" s="3">
        <f t="shared" si="16"/>
        <v>550</v>
      </c>
      <c r="T378" s="3">
        <f t="shared" si="17"/>
        <v>17050</v>
      </c>
      <c r="U378" s="3" t="s">
        <v>60</v>
      </c>
      <c r="V378" s="14" t="s">
        <v>6</v>
      </c>
      <c r="W378" s="14" t="s">
        <v>4634</v>
      </c>
      <c r="X378" s="14" t="s">
        <v>60</v>
      </c>
    </row>
    <row r="379" spans="1:24" ht="15" x14ac:dyDescent="0.3">
      <c r="A379" s="3">
        <v>63</v>
      </c>
      <c r="B379" s="3" t="s">
        <v>5656</v>
      </c>
      <c r="C379" s="14" t="s">
        <v>354</v>
      </c>
      <c r="D379" s="14" t="s">
        <v>900</v>
      </c>
      <c r="E379" s="14" t="s">
        <v>4746</v>
      </c>
      <c r="F379" s="14" t="s">
        <v>901</v>
      </c>
      <c r="G379" s="14" t="s">
        <v>3</v>
      </c>
      <c r="H379" s="14" t="s">
        <v>902</v>
      </c>
      <c r="I379" s="14" t="s">
        <v>903</v>
      </c>
      <c r="J379" s="14" t="s">
        <v>60</v>
      </c>
      <c r="K379" s="14" t="s">
        <v>60</v>
      </c>
      <c r="L379" s="14" t="s">
        <v>60</v>
      </c>
      <c r="M379" s="14" t="s">
        <v>904</v>
      </c>
      <c r="N379" s="14" t="s">
        <v>60</v>
      </c>
      <c r="O379" s="14" t="s">
        <v>60</v>
      </c>
      <c r="P379" s="14" t="s">
        <v>5657</v>
      </c>
      <c r="Q379" s="14" t="s">
        <v>11</v>
      </c>
      <c r="R379" s="3" t="s">
        <v>5658</v>
      </c>
      <c r="S379" s="3">
        <f t="shared" si="16"/>
        <v>550</v>
      </c>
      <c r="T379" s="3">
        <f t="shared" si="17"/>
        <v>5500</v>
      </c>
      <c r="U379" s="3" t="s">
        <v>60</v>
      </c>
      <c r="V379" s="14" t="s">
        <v>6</v>
      </c>
      <c r="W379" s="14" t="s">
        <v>5659</v>
      </c>
      <c r="X379" s="14" t="s">
        <v>60</v>
      </c>
    </row>
    <row r="380" spans="1:24" ht="15" x14ac:dyDescent="0.3">
      <c r="A380" s="3">
        <v>64</v>
      </c>
      <c r="B380" s="3" t="s">
        <v>5660</v>
      </c>
      <c r="C380" s="14" t="s">
        <v>128</v>
      </c>
      <c r="D380" s="14" t="s">
        <v>905</v>
      </c>
      <c r="E380" s="14" t="s">
        <v>4200</v>
      </c>
      <c r="F380" s="14" t="s">
        <v>906</v>
      </c>
      <c r="G380" s="14" t="s">
        <v>3</v>
      </c>
      <c r="H380" s="14" t="s">
        <v>907</v>
      </c>
      <c r="I380" s="14" t="s">
        <v>908</v>
      </c>
      <c r="J380" s="14" t="s">
        <v>60</v>
      </c>
      <c r="K380" s="14" t="s">
        <v>60</v>
      </c>
      <c r="L380" s="14" t="s">
        <v>60</v>
      </c>
      <c r="M380" s="14" t="s">
        <v>909</v>
      </c>
      <c r="N380" s="14" t="s">
        <v>60</v>
      </c>
      <c r="O380" s="14" t="s">
        <v>60</v>
      </c>
      <c r="P380" s="14" t="s">
        <v>5661</v>
      </c>
      <c r="Q380" s="14" t="s">
        <v>11</v>
      </c>
      <c r="R380" s="3" t="s">
        <v>5658</v>
      </c>
      <c r="S380" s="3">
        <f t="shared" si="16"/>
        <v>550</v>
      </c>
      <c r="T380" s="3">
        <f t="shared" si="17"/>
        <v>5500</v>
      </c>
      <c r="U380" s="3" t="s">
        <v>60</v>
      </c>
      <c r="V380" s="14" t="s">
        <v>6</v>
      </c>
      <c r="W380" s="14" t="s">
        <v>5659</v>
      </c>
      <c r="X380" s="14" t="s">
        <v>60</v>
      </c>
    </row>
    <row r="381" spans="1:24" ht="15" x14ac:dyDescent="0.3">
      <c r="A381" s="3">
        <v>65</v>
      </c>
      <c r="B381" s="3" t="s">
        <v>5662</v>
      </c>
      <c r="C381" s="14" t="s">
        <v>0</v>
      </c>
      <c r="D381" s="14" t="s">
        <v>910</v>
      </c>
      <c r="E381" s="14" t="s">
        <v>5663</v>
      </c>
      <c r="F381" s="14" t="s">
        <v>447</v>
      </c>
      <c r="G381" s="14" t="s">
        <v>3</v>
      </c>
      <c r="H381" s="14" t="s">
        <v>5664</v>
      </c>
      <c r="I381" s="14" t="s">
        <v>911</v>
      </c>
      <c r="J381" s="14" t="s">
        <v>60</v>
      </c>
      <c r="K381" s="14" t="s">
        <v>60</v>
      </c>
      <c r="L381" s="14" t="s">
        <v>60</v>
      </c>
      <c r="M381" s="14" t="s">
        <v>912</v>
      </c>
      <c r="N381" s="14" t="s">
        <v>60</v>
      </c>
      <c r="O381" s="14" t="s">
        <v>60</v>
      </c>
      <c r="P381" s="14" t="s">
        <v>5665</v>
      </c>
      <c r="Q381" s="14" t="s">
        <v>11</v>
      </c>
      <c r="R381" s="3" t="s">
        <v>4300</v>
      </c>
      <c r="S381" s="3">
        <f t="shared" ref="S381:S413" si="18">IF(RIGHT(C381,3)="MAZ",550,IF(RIGHT(C381,4)="MATE",570,IF(RIGHT(C381,7)="SKD-III",640,IF(RIGHT(C381,6)="SKD-II",770,IF(RIGHT(C381,5)="SKD-I",900,IF(RIGHT(C381,5)="CPDVR",770,""))))))</f>
        <v>550</v>
      </c>
      <c r="T381" s="3">
        <f t="shared" ref="T381:T413" si="19">R381*S381</f>
        <v>15950</v>
      </c>
      <c r="U381" s="3" t="s">
        <v>60</v>
      </c>
      <c r="V381" s="14" t="s">
        <v>6</v>
      </c>
      <c r="W381" s="14" t="s">
        <v>5659</v>
      </c>
      <c r="X381" s="14" t="s">
        <v>60</v>
      </c>
    </row>
    <row r="382" spans="1:24" ht="15" x14ac:dyDescent="0.3">
      <c r="A382" s="3">
        <v>66</v>
      </c>
      <c r="B382" s="3" t="s">
        <v>5666</v>
      </c>
      <c r="C382" s="14" t="s">
        <v>0</v>
      </c>
      <c r="D382" s="14" t="s">
        <v>827</v>
      </c>
      <c r="E382" s="14" t="s">
        <v>4216</v>
      </c>
      <c r="F382" s="14" t="s">
        <v>828</v>
      </c>
      <c r="G382" s="14" t="s">
        <v>3</v>
      </c>
      <c r="H382" s="14" t="s">
        <v>5667</v>
      </c>
      <c r="I382" s="14" t="s">
        <v>829</v>
      </c>
      <c r="J382" s="14" t="s">
        <v>60</v>
      </c>
      <c r="K382" s="14" t="s">
        <v>60</v>
      </c>
      <c r="L382" s="14" t="s">
        <v>60</v>
      </c>
      <c r="M382" s="14" t="s">
        <v>830</v>
      </c>
      <c r="N382" s="14" t="s">
        <v>60</v>
      </c>
      <c r="O382" s="14" t="s">
        <v>25</v>
      </c>
      <c r="P382" s="14" t="s">
        <v>5668</v>
      </c>
      <c r="Q382" s="14" t="s">
        <v>11</v>
      </c>
      <c r="R382" s="3" t="s">
        <v>4170</v>
      </c>
      <c r="S382" s="3">
        <f t="shared" si="18"/>
        <v>550</v>
      </c>
      <c r="T382" s="3">
        <f t="shared" si="19"/>
        <v>17050</v>
      </c>
      <c r="U382" s="3" t="s">
        <v>60</v>
      </c>
      <c r="V382" s="14" t="s">
        <v>6</v>
      </c>
      <c r="W382" s="14" t="s">
        <v>4999</v>
      </c>
      <c r="X382" s="14" t="s">
        <v>60</v>
      </c>
    </row>
    <row r="383" spans="1:24" ht="15" x14ac:dyDescent="0.3">
      <c r="A383" s="3">
        <v>67</v>
      </c>
      <c r="B383" s="3" t="s">
        <v>5669</v>
      </c>
      <c r="C383" s="14" t="s">
        <v>0</v>
      </c>
      <c r="D383" s="14" t="s">
        <v>831</v>
      </c>
      <c r="E383" s="14" t="s">
        <v>4308</v>
      </c>
      <c r="F383" s="14" t="s">
        <v>832</v>
      </c>
      <c r="G383" s="14" t="s">
        <v>3</v>
      </c>
      <c r="H383" s="14" t="s">
        <v>5670</v>
      </c>
      <c r="I383" s="14" t="s">
        <v>833</v>
      </c>
      <c r="J383" s="14" t="s">
        <v>60</v>
      </c>
      <c r="K383" s="14" t="s">
        <v>60</v>
      </c>
      <c r="L383" s="14" t="s">
        <v>60</v>
      </c>
      <c r="M383" s="14" t="s">
        <v>834</v>
      </c>
      <c r="N383" s="14" t="s">
        <v>60</v>
      </c>
      <c r="O383" s="14" t="s">
        <v>25</v>
      </c>
      <c r="P383" s="14" t="s">
        <v>5671</v>
      </c>
      <c r="Q383" s="14" t="s">
        <v>11</v>
      </c>
      <c r="R383" s="3" t="s">
        <v>4533</v>
      </c>
      <c r="S383" s="3">
        <f t="shared" si="18"/>
        <v>550</v>
      </c>
      <c r="T383" s="3">
        <f t="shared" si="19"/>
        <v>7700</v>
      </c>
      <c r="U383" s="3" t="s">
        <v>60</v>
      </c>
      <c r="V383" s="14" t="s">
        <v>6</v>
      </c>
      <c r="W383" s="14" t="s">
        <v>4999</v>
      </c>
      <c r="X383" s="14" t="s">
        <v>60</v>
      </c>
    </row>
    <row r="384" spans="1:24" ht="15" x14ac:dyDescent="0.3">
      <c r="A384" s="3">
        <v>68</v>
      </c>
      <c r="B384" s="3" t="s">
        <v>5672</v>
      </c>
      <c r="C384" s="14" t="s">
        <v>0</v>
      </c>
      <c r="D384" s="14" t="s">
        <v>770</v>
      </c>
      <c r="E384" s="14" t="s">
        <v>5673</v>
      </c>
      <c r="F384" s="14" t="s">
        <v>771</v>
      </c>
      <c r="G384" s="14" t="s">
        <v>121</v>
      </c>
      <c r="H384" s="14" t="s">
        <v>5674</v>
      </c>
      <c r="I384" s="14" t="s">
        <v>772</v>
      </c>
      <c r="J384" s="14" t="s">
        <v>60</v>
      </c>
      <c r="K384" s="14" t="s">
        <v>60</v>
      </c>
      <c r="L384" s="14" t="s">
        <v>60</v>
      </c>
      <c r="M384" s="14" t="s">
        <v>773</v>
      </c>
      <c r="N384" s="14" t="s">
        <v>60</v>
      </c>
      <c r="O384" s="14" t="s">
        <v>25</v>
      </c>
      <c r="P384" s="14" t="s">
        <v>5675</v>
      </c>
      <c r="Q384" s="14" t="s">
        <v>11</v>
      </c>
      <c r="R384" s="3" t="s">
        <v>4170</v>
      </c>
      <c r="S384" s="3">
        <f t="shared" si="18"/>
        <v>550</v>
      </c>
      <c r="T384" s="3">
        <f t="shared" si="19"/>
        <v>17050</v>
      </c>
      <c r="U384" s="3" t="s">
        <v>60</v>
      </c>
      <c r="V384" s="14" t="s">
        <v>6</v>
      </c>
      <c r="W384" s="14" t="s">
        <v>4985</v>
      </c>
      <c r="X384" s="14" t="s">
        <v>60</v>
      </c>
    </row>
    <row r="385" spans="1:24" ht="15" x14ac:dyDescent="0.3">
      <c r="A385" s="3">
        <v>69</v>
      </c>
      <c r="B385" s="3" t="s">
        <v>5676</v>
      </c>
      <c r="C385" s="14" t="s">
        <v>0</v>
      </c>
      <c r="D385" s="14" t="s">
        <v>774</v>
      </c>
      <c r="E385" s="14" t="s">
        <v>5677</v>
      </c>
      <c r="F385" s="14" t="s">
        <v>775</v>
      </c>
      <c r="G385" s="14" t="s">
        <v>121</v>
      </c>
      <c r="H385" s="14" t="s">
        <v>5678</v>
      </c>
      <c r="I385" s="14" t="s">
        <v>776</v>
      </c>
      <c r="J385" s="14" t="s">
        <v>60</v>
      </c>
      <c r="K385" s="14" t="s">
        <v>60</v>
      </c>
      <c r="L385" s="14" t="s">
        <v>60</v>
      </c>
      <c r="M385" s="14" t="s">
        <v>777</v>
      </c>
      <c r="N385" s="14" t="s">
        <v>60</v>
      </c>
      <c r="O385" s="14" t="s">
        <v>25</v>
      </c>
      <c r="P385" s="14" t="s">
        <v>5679</v>
      </c>
      <c r="Q385" s="14" t="s">
        <v>185</v>
      </c>
      <c r="R385" s="3" t="s">
        <v>4170</v>
      </c>
      <c r="S385" s="3">
        <f t="shared" si="18"/>
        <v>550</v>
      </c>
      <c r="T385" s="3">
        <f t="shared" si="19"/>
        <v>17050</v>
      </c>
      <c r="U385" s="3" t="s">
        <v>60</v>
      </c>
      <c r="V385" s="14" t="s">
        <v>6</v>
      </c>
      <c r="W385" s="14" t="s">
        <v>4985</v>
      </c>
      <c r="X385" s="14" t="s">
        <v>60</v>
      </c>
    </row>
    <row r="386" spans="1:24" ht="15" x14ac:dyDescent="0.3">
      <c r="A386" s="3">
        <v>70</v>
      </c>
      <c r="B386" s="3" t="s">
        <v>5680</v>
      </c>
      <c r="C386" s="14" t="s">
        <v>0</v>
      </c>
      <c r="D386" s="14" t="s">
        <v>778</v>
      </c>
      <c r="E386" s="14" t="s">
        <v>4575</v>
      </c>
      <c r="F386" s="14" t="s">
        <v>565</v>
      </c>
      <c r="G386" s="14" t="s">
        <v>121</v>
      </c>
      <c r="H386" s="14" t="s">
        <v>5681</v>
      </c>
      <c r="I386" s="14" t="s">
        <v>779</v>
      </c>
      <c r="J386" s="14" t="s">
        <v>60</v>
      </c>
      <c r="K386" s="14" t="s">
        <v>60</v>
      </c>
      <c r="L386" s="14" t="s">
        <v>60</v>
      </c>
      <c r="M386" s="14" t="s">
        <v>780</v>
      </c>
      <c r="N386" s="14" t="s">
        <v>60</v>
      </c>
      <c r="O386" s="14" t="s">
        <v>25</v>
      </c>
      <c r="P386" s="14" t="s">
        <v>5682</v>
      </c>
      <c r="Q386" s="14" t="s">
        <v>11</v>
      </c>
      <c r="R386" s="3" t="s">
        <v>4170</v>
      </c>
      <c r="S386" s="3">
        <f t="shared" si="18"/>
        <v>550</v>
      </c>
      <c r="T386" s="3">
        <f t="shared" si="19"/>
        <v>17050</v>
      </c>
      <c r="U386" s="3" t="s">
        <v>60</v>
      </c>
      <c r="V386" s="14" t="s">
        <v>6</v>
      </c>
      <c r="W386" s="14" t="s">
        <v>4985</v>
      </c>
      <c r="X386" s="14" t="s">
        <v>60</v>
      </c>
    </row>
    <row r="387" spans="1:24" ht="15" x14ac:dyDescent="0.3">
      <c r="A387" s="3">
        <v>71</v>
      </c>
      <c r="B387" s="3" t="s">
        <v>5683</v>
      </c>
      <c r="C387" s="14" t="s">
        <v>0</v>
      </c>
      <c r="D387" s="14" t="s">
        <v>781</v>
      </c>
      <c r="E387" s="14" t="s">
        <v>5684</v>
      </c>
      <c r="F387" s="14" t="s">
        <v>782</v>
      </c>
      <c r="G387" s="14" t="s">
        <v>3</v>
      </c>
      <c r="H387" s="14" t="s">
        <v>5685</v>
      </c>
      <c r="I387" s="14" t="s">
        <v>783</v>
      </c>
      <c r="J387" s="14" t="s">
        <v>60</v>
      </c>
      <c r="K387" s="14" t="s">
        <v>60</v>
      </c>
      <c r="L387" s="14" t="s">
        <v>60</v>
      </c>
      <c r="M387" s="14" t="s">
        <v>784</v>
      </c>
      <c r="N387" s="14" t="s">
        <v>60</v>
      </c>
      <c r="O387" s="14" t="s">
        <v>25</v>
      </c>
      <c r="P387" s="14" t="s">
        <v>5686</v>
      </c>
      <c r="Q387" s="14" t="s">
        <v>185</v>
      </c>
      <c r="R387" s="3" t="s">
        <v>4170</v>
      </c>
      <c r="S387" s="3">
        <f t="shared" si="18"/>
        <v>550</v>
      </c>
      <c r="T387" s="3">
        <f t="shared" si="19"/>
        <v>17050</v>
      </c>
      <c r="U387" s="3" t="s">
        <v>60</v>
      </c>
      <c r="V387" s="14" t="s">
        <v>6</v>
      </c>
      <c r="W387" s="14" t="s">
        <v>4985</v>
      </c>
      <c r="X387" s="14" t="s">
        <v>60</v>
      </c>
    </row>
    <row r="388" spans="1:24" ht="15" x14ac:dyDescent="0.3">
      <c r="A388" s="3">
        <v>72</v>
      </c>
      <c r="B388" s="3" t="s">
        <v>5687</v>
      </c>
      <c r="C388" s="14" t="s">
        <v>26</v>
      </c>
      <c r="D388" s="14" t="s">
        <v>1319</v>
      </c>
      <c r="E388" s="14" t="s">
        <v>5688</v>
      </c>
      <c r="F388" s="14" t="s">
        <v>1320</v>
      </c>
      <c r="G388" s="14" t="s">
        <v>3</v>
      </c>
      <c r="H388" s="14" t="s">
        <v>3377</v>
      </c>
      <c r="I388" s="14" t="s">
        <v>1321</v>
      </c>
      <c r="J388" s="14" t="s">
        <v>60</v>
      </c>
      <c r="K388" s="14" t="s">
        <v>60</v>
      </c>
      <c r="L388" s="14" t="s">
        <v>60</v>
      </c>
      <c r="M388" s="14" t="s">
        <v>60</v>
      </c>
      <c r="N388" s="14" t="s">
        <v>60</v>
      </c>
      <c r="O388" s="14" t="s">
        <v>60</v>
      </c>
      <c r="P388" s="14" t="s">
        <v>1322</v>
      </c>
      <c r="Q388" s="14" t="s">
        <v>1323</v>
      </c>
      <c r="R388" s="3" t="s">
        <v>4170</v>
      </c>
      <c r="S388" s="3">
        <f t="shared" si="18"/>
        <v>770</v>
      </c>
      <c r="T388" s="3">
        <f t="shared" si="19"/>
        <v>23870</v>
      </c>
      <c r="U388" s="3" t="s">
        <v>60</v>
      </c>
      <c r="V388" s="14" t="s">
        <v>3889</v>
      </c>
      <c r="W388" s="14" t="s">
        <v>5424</v>
      </c>
      <c r="X388" s="14" t="s">
        <v>60</v>
      </c>
    </row>
    <row r="389" spans="1:24" ht="15" x14ac:dyDescent="0.3">
      <c r="A389" s="3">
        <v>73</v>
      </c>
      <c r="B389" s="3" t="s">
        <v>5689</v>
      </c>
      <c r="C389" s="14" t="s">
        <v>26</v>
      </c>
      <c r="D389" s="14" t="s">
        <v>1244</v>
      </c>
      <c r="E389" s="14" t="s">
        <v>5690</v>
      </c>
      <c r="F389" s="14" t="s">
        <v>1245</v>
      </c>
      <c r="G389" s="14" t="s">
        <v>3</v>
      </c>
      <c r="H389" s="14" t="s">
        <v>5691</v>
      </c>
      <c r="I389" s="14" t="s">
        <v>1246</v>
      </c>
      <c r="J389" s="14" t="s">
        <v>60</v>
      </c>
      <c r="K389" s="14" t="s">
        <v>60</v>
      </c>
      <c r="L389" s="14" t="s">
        <v>60</v>
      </c>
      <c r="M389" s="14" t="s">
        <v>60</v>
      </c>
      <c r="N389" s="14" t="s">
        <v>60</v>
      </c>
      <c r="O389" s="14" t="s">
        <v>60</v>
      </c>
      <c r="P389" s="14" t="s">
        <v>1247</v>
      </c>
      <c r="Q389" s="14" t="s">
        <v>1248</v>
      </c>
      <c r="R389" s="3" t="s">
        <v>4170</v>
      </c>
      <c r="S389" s="3">
        <f t="shared" si="18"/>
        <v>770</v>
      </c>
      <c r="T389" s="3">
        <f t="shared" si="19"/>
        <v>23870</v>
      </c>
      <c r="U389" s="3" t="s">
        <v>60</v>
      </c>
      <c r="V389" s="14" t="s">
        <v>4208</v>
      </c>
      <c r="W389" s="14" t="s">
        <v>5424</v>
      </c>
      <c r="X389" s="14" t="s">
        <v>60</v>
      </c>
    </row>
    <row r="390" spans="1:24" ht="15" x14ac:dyDescent="0.3">
      <c r="A390" s="3">
        <v>74</v>
      </c>
      <c r="B390" s="3" t="s">
        <v>5692</v>
      </c>
      <c r="C390" s="14" t="s">
        <v>0</v>
      </c>
      <c r="D390" s="14" t="s">
        <v>3342</v>
      </c>
      <c r="E390" s="14" t="s">
        <v>5693</v>
      </c>
      <c r="F390" s="14" t="s">
        <v>3332</v>
      </c>
      <c r="G390" s="14" t="s">
        <v>3</v>
      </c>
      <c r="H390" s="14" t="s">
        <v>5694</v>
      </c>
      <c r="I390" s="14" t="s">
        <v>3393</v>
      </c>
      <c r="J390" s="14" t="s">
        <v>60</v>
      </c>
      <c r="K390" s="14" t="s">
        <v>60</v>
      </c>
      <c r="L390" s="14" t="s">
        <v>60</v>
      </c>
      <c r="M390" s="14" t="s">
        <v>3394</v>
      </c>
      <c r="N390" s="14" t="s">
        <v>60</v>
      </c>
      <c r="O390" s="14" t="s">
        <v>60</v>
      </c>
      <c r="P390" s="14" t="s">
        <v>5695</v>
      </c>
      <c r="Q390" s="14" t="s">
        <v>11</v>
      </c>
      <c r="R390" s="3" t="s">
        <v>4170</v>
      </c>
      <c r="S390" s="3">
        <f t="shared" si="18"/>
        <v>550</v>
      </c>
      <c r="T390" s="3">
        <f t="shared" si="19"/>
        <v>17050</v>
      </c>
      <c r="U390" s="3" t="s">
        <v>60</v>
      </c>
      <c r="V390" s="14" t="s">
        <v>4208</v>
      </c>
      <c r="W390" s="14" t="s">
        <v>5696</v>
      </c>
      <c r="X390" s="14" t="s">
        <v>60</v>
      </c>
    </row>
    <row r="391" spans="1:24" ht="15" x14ac:dyDescent="0.3">
      <c r="A391" s="3">
        <v>75</v>
      </c>
      <c r="B391" s="3" t="s">
        <v>5697</v>
      </c>
      <c r="C391" s="14" t="s">
        <v>0</v>
      </c>
      <c r="D391" s="14" t="s">
        <v>3322</v>
      </c>
      <c r="E391" s="14" t="s">
        <v>5698</v>
      </c>
      <c r="F391" s="14" t="s">
        <v>3333</v>
      </c>
      <c r="G391" s="14" t="s">
        <v>121</v>
      </c>
      <c r="H391" s="14" t="s">
        <v>5699</v>
      </c>
      <c r="I391" s="14" t="s">
        <v>3395</v>
      </c>
      <c r="J391" s="14" t="s">
        <v>60</v>
      </c>
      <c r="K391" s="14" t="s">
        <v>60</v>
      </c>
      <c r="L391" s="14" t="s">
        <v>60</v>
      </c>
      <c r="M391" s="14" t="s">
        <v>3396</v>
      </c>
      <c r="N391" s="14" t="s">
        <v>60</v>
      </c>
      <c r="O391" s="14" t="s">
        <v>60</v>
      </c>
      <c r="P391" s="14" t="s">
        <v>5700</v>
      </c>
      <c r="Q391" s="14" t="s">
        <v>11</v>
      </c>
      <c r="R391" s="3" t="s">
        <v>4170</v>
      </c>
      <c r="S391" s="3">
        <f t="shared" si="18"/>
        <v>550</v>
      </c>
      <c r="T391" s="3">
        <f t="shared" si="19"/>
        <v>17050</v>
      </c>
      <c r="U391" s="3" t="s">
        <v>60</v>
      </c>
      <c r="V391" s="14" t="s">
        <v>4208</v>
      </c>
      <c r="W391" s="14" t="s">
        <v>5696</v>
      </c>
      <c r="X391" s="14" t="s">
        <v>60</v>
      </c>
    </row>
    <row r="392" spans="1:24" ht="15" x14ac:dyDescent="0.3">
      <c r="A392" s="3">
        <v>76</v>
      </c>
      <c r="B392" s="3" t="s">
        <v>5701</v>
      </c>
      <c r="C392" s="14" t="s">
        <v>0</v>
      </c>
      <c r="D392" s="14" t="s">
        <v>3323</v>
      </c>
      <c r="E392" s="14" t="s">
        <v>5702</v>
      </c>
      <c r="F392" s="14" t="s">
        <v>3334</v>
      </c>
      <c r="G392" s="14" t="s">
        <v>121</v>
      </c>
      <c r="H392" s="14" t="s">
        <v>5703</v>
      </c>
      <c r="I392" s="14" t="s">
        <v>3397</v>
      </c>
      <c r="J392" s="14" t="s">
        <v>60</v>
      </c>
      <c r="K392" s="14" t="s">
        <v>60</v>
      </c>
      <c r="L392" s="14" t="s">
        <v>60</v>
      </c>
      <c r="M392" s="14" t="s">
        <v>3398</v>
      </c>
      <c r="N392" s="14" t="s">
        <v>60</v>
      </c>
      <c r="O392" s="14" t="s">
        <v>60</v>
      </c>
      <c r="P392" s="14" t="s">
        <v>5704</v>
      </c>
      <c r="Q392" s="14" t="s">
        <v>11</v>
      </c>
      <c r="R392" s="3" t="s">
        <v>4170</v>
      </c>
      <c r="S392" s="3">
        <f t="shared" si="18"/>
        <v>550</v>
      </c>
      <c r="T392" s="3">
        <f t="shared" si="19"/>
        <v>17050</v>
      </c>
      <c r="U392" s="3" t="s">
        <v>60</v>
      </c>
      <c r="V392" s="14" t="s">
        <v>4208</v>
      </c>
      <c r="W392" s="14" t="s">
        <v>5696</v>
      </c>
      <c r="X392" s="14" t="s">
        <v>60</v>
      </c>
    </row>
    <row r="393" spans="1:24" ht="15" x14ac:dyDescent="0.3">
      <c r="A393" s="3">
        <v>77</v>
      </c>
      <c r="B393" s="3" t="s">
        <v>5705</v>
      </c>
      <c r="C393" s="14" t="s">
        <v>0</v>
      </c>
      <c r="D393" s="14" t="s">
        <v>3511</v>
      </c>
      <c r="E393" s="14" t="s">
        <v>5706</v>
      </c>
      <c r="F393" s="14" t="s">
        <v>3518</v>
      </c>
      <c r="G393" s="14" t="s">
        <v>121</v>
      </c>
      <c r="H393" s="14" t="s">
        <v>5707</v>
      </c>
      <c r="I393" s="14" t="s">
        <v>3742</v>
      </c>
      <c r="J393" s="14" t="s">
        <v>60</v>
      </c>
      <c r="K393" s="14" t="s">
        <v>60</v>
      </c>
      <c r="L393" s="14" t="s">
        <v>60</v>
      </c>
      <c r="M393" s="14" t="s">
        <v>3743</v>
      </c>
      <c r="N393" s="14" t="s">
        <v>60</v>
      </c>
      <c r="O393" s="14" t="s">
        <v>60</v>
      </c>
      <c r="P393" s="14" t="s">
        <v>5708</v>
      </c>
      <c r="Q393" s="14" t="s">
        <v>11</v>
      </c>
      <c r="R393" s="3" t="s">
        <v>4170</v>
      </c>
      <c r="S393" s="3">
        <f t="shared" si="18"/>
        <v>550</v>
      </c>
      <c r="T393" s="3">
        <f t="shared" si="19"/>
        <v>17050</v>
      </c>
      <c r="U393" s="3" t="s">
        <v>60</v>
      </c>
      <c r="V393" s="14" t="s">
        <v>6</v>
      </c>
      <c r="W393" s="14" t="s">
        <v>4444</v>
      </c>
      <c r="X393" s="14" t="s">
        <v>60</v>
      </c>
    </row>
    <row r="394" spans="1:24" ht="15" x14ac:dyDescent="0.3">
      <c r="A394" s="3">
        <v>78</v>
      </c>
      <c r="B394" s="3" t="s">
        <v>5709</v>
      </c>
      <c r="C394" s="14" t="s">
        <v>0</v>
      </c>
      <c r="D394" s="14" t="s">
        <v>3512</v>
      </c>
      <c r="E394" s="14" t="s">
        <v>5710</v>
      </c>
      <c r="F394" s="14" t="s">
        <v>3525</v>
      </c>
      <c r="G394" s="14" t="s">
        <v>3</v>
      </c>
      <c r="H394" s="14" t="s">
        <v>5711</v>
      </c>
      <c r="I394" s="14" t="s">
        <v>3744</v>
      </c>
      <c r="J394" s="14" t="s">
        <v>60</v>
      </c>
      <c r="K394" s="14" t="s">
        <v>60</v>
      </c>
      <c r="L394" s="14" t="s">
        <v>60</v>
      </c>
      <c r="M394" s="14" t="s">
        <v>3745</v>
      </c>
      <c r="N394" s="14" t="s">
        <v>60</v>
      </c>
      <c r="O394" s="14" t="s">
        <v>60</v>
      </c>
      <c r="P394" s="14" t="s">
        <v>5712</v>
      </c>
      <c r="Q394" s="14" t="s">
        <v>180</v>
      </c>
      <c r="R394" s="3" t="s">
        <v>4170</v>
      </c>
      <c r="S394" s="3">
        <f t="shared" si="18"/>
        <v>550</v>
      </c>
      <c r="T394" s="3">
        <f t="shared" si="19"/>
        <v>17050</v>
      </c>
      <c r="U394" s="3" t="s">
        <v>60</v>
      </c>
      <c r="V394" s="14" t="s">
        <v>6</v>
      </c>
      <c r="W394" s="14" t="s">
        <v>4444</v>
      </c>
      <c r="X394" s="14" t="s">
        <v>60</v>
      </c>
    </row>
    <row r="395" spans="1:24" ht="15" x14ac:dyDescent="0.3">
      <c r="A395" s="3">
        <v>79</v>
      </c>
      <c r="B395" s="3" t="s">
        <v>5713</v>
      </c>
      <c r="C395" s="14" t="s">
        <v>0</v>
      </c>
      <c r="D395" s="14" t="s">
        <v>849</v>
      </c>
      <c r="E395" s="14" t="s">
        <v>5714</v>
      </c>
      <c r="F395" s="14" t="s">
        <v>3519</v>
      </c>
      <c r="G395" s="14" t="s">
        <v>3</v>
      </c>
      <c r="H395" s="14" t="s">
        <v>5715</v>
      </c>
      <c r="I395" s="14" t="s">
        <v>3746</v>
      </c>
      <c r="J395" s="14" t="s">
        <v>60</v>
      </c>
      <c r="K395" s="14" t="s">
        <v>60</v>
      </c>
      <c r="L395" s="14" t="s">
        <v>60</v>
      </c>
      <c r="M395" s="14" t="s">
        <v>3747</v>
      </c>
      <c r="N395" s="14" t="s">
        <v>60</v>
      </c>
      <c r="O395" s="14" t="s">
        <v>60</v>
      </c>
      <c r="P395" s="14" t="s">
        <v>5716</v>
      </c>
      <c r="Q395" s="14" t="s">
        <v>185</v>
      </c>
      <c r="R395" s="3" t="s">
        <v>4170</v>
      </c>
      <c r="S395" s="3">
        <f t="shared" si="18"/>
        <v>550</v>
      </c>
      <c r="T395" s="3">
        <f t="shared" si="19"/>
        <v>17050</v>
      </c>
      <c r="U395" s="3" t="s">
        <v>60</v>
      </c>
      <c r="V395" s="14" t="s">
        <v>6</v>
      </c>
      <c r="W395" s="14" t="s">
        <v>4444</v>
      </c>
      <c r="X395" s="14" t="s">
        <v>60</v>
      </c>
    </row>
    <row r="396" spans="1:24" ht="15" x14ac:dyDescent="0.3">
      <c r="A396" s="3">
        <v>80</v>
      </c>
      <c r="B396" s="3" t="s">
        <v>5717</v>
      </c>
      <c r="C396" s="14" t="s">
        <v>0</v>
      </c>
      <c r="D396" s="14" t="s">
        <v>3513</v>
      </c>
      <c r="E396" s="14" t="s">
        <v>5718</v>
      </c>
      <c r="F396" s="14" t="s">
        <v>3520</v>
      </c>
      <c r="G396" s="14" t="s">
        <v>3</v>
      </c>
      <c r="H396" s="14" t="s">
        <v>3748</v>
      </c>
      <c r="I396" s="14" t="s">
        <v>3749</v>
      </c>
      <c r="J396" s="14" t="s">
        <v>60</v>
      </c>
      <c r="K396" s="14" t="s">
        <v>60</v>
      </c>
      <c r="L396" s="14" t="s">
        <v>60</v>
      </c>
      <c r="M396" s="14" t="s">
        <v>3750</v>
      </c>
      <c r="N396" s="14" t="s">
        <v>60</v>
      </c>
      <c r="O396" s="14" t="s">
        <v>60</v>
      </c>
      <c r="P396" s="14" t="s">
        <v>5719</v>
      </c>
      <c r="Q396" s="14" t="s">
        <v>11</v>
      </c>
      <c r="R396" s="3" t="s">
        <v>4170</v>
      </c>
      <c r="S396" s="3">
        <f t="shared" si="18"/>
        <v>550</v>
      </c>
      <c r="T396" s="3">
        <f t="shared" si="19"/>
        <v>17050</v>
      </c>
      <c r="U396" s="3" t="s">
        <v>5720</v>
      </c>
      <c r="V396" s="14" t="s">
        <v>6</v>
      </c>
      <c r="W396" s="14" t="s">
        <v>4444</v>
      </c>
      <c r="X396" s="14" t="s">
        <v>60</v>
      </c>
    </row>
    <row r="397" spans="1:24" ht="15" x14ac:dyDescent="0.3">
      <c r="A397" s="3">
        <v>81</v>
      </c>
      <c r="B397" s="3" t="s">
        <v>5721</v>
      </c>
      <c r="C397" s="14" t="s">
        <v>0</v>
      </c>
      <c r="D397" s="14" t="s">
        <v>5722</v>
      </c>
      <c r="E397" s="14" t="s">
        <v>5723</v>
      </c>
      <c r="F397" s="14" t="s">
        <v>3521</v>
      </c>
      <c r="G397" s="14" t="s">
        <v>121</v>
      </c>
      <c r="H397" s="14" t="s">
        <v>5724</v>
      </c>
      <c r="I397" s="14" t="s">
        <v>3751</v>
      </c>
      <c r="J397" s="14" t="s">
        <v>60</v>
      </c>
      <c r="K397" s="14" t="s">
        <v>60</v>
      </c>
      <c r="L397" s="14" t="s">
        <v>60</v>
      </c>
      <c r="M397" s="14" t="s">
        <v>3752</v>
      </c>
      <c r="N397" s="14" t="s">
        <v>60</v>
      </c>
      <c r="O397" s="14" t="s">
        <v>60</v>
      </c>
      <c r="P397" s="14" t="s">
        <v>5725</v>
      </c>
      <c r="Q397" s="14" t="s">
        <v>180</v>
      </c>
      <c r="R397" s="3" t="s">
        <v>4170</v>
      </c>
      <c r="S397" s="3">
        <f t="shared" si="18"/>
        <v>550</v>
      </c>
      <c r="T397" s="3">
        <f t="shared" si="19"/>
        <v>17050</v>
      </c>
      <c r="U397" s="3" t="s">
        <v>60</v>
      </c>
      <c r="V397" s="14" t="s">
        <v>6</v>
      </c>
      <c r="W397" s="14" t="s">
        <v>4444</v>
      </c>
      <c r="X397" s="14" t="s">
        <v>60</v>
      </c>
    </row>
    <row r="398" spans="1:24" ht="15" x14ac:dyDescent="0.3">
      <c r="A398" s="3">
        <v>82</v>
      </c>
      <c r="B398" s="3" t="s">
        <v>5726</v>
      </c>
      <c r="C398" s="14" t="s">
        <v>0</v>
      </c>
      <c r="D398" s="14" t="s">
        <v>3514</v>
      </c>
      <c r="E398" s="14" t="s">
        <v>5727</v>
      </c>
      <c r="F398" s="14" t="s">
        <v>3522</v>
      </c>
      <c r="G398" s="14" t="s">
        <v>3</v>
      </c>
      <c r="H398" s="14" t="s">
        <v>5728</v>
      </c>
      <c r="I398" s="14" t="s">
        <v>3753</v>
      </c>
      <c r="J398" s="14" t="s">
        <v>60</v>
      </c>
      <c r="K398" s="14" t="s">
        <v>60</v>
      </c>
      <c r="L398" s="14" t="s">
        <v>60</v>
      </c>
      <c r="M398" s="14" t="s">
        <v>3754</v>
      </c>
      <c r="N398" s="14" t="s">
        <v>60</v>
      </c>
      <c r="O398" s="14" t="s">
        <v>60</v>
      </c>
      <c r="P398" s="14" t="s">
        <v>5729</v>
      </c>
      <c r="Q398" s="14" t="s">
        <v>3526</v>
      </c>
      <c r="R398" s="3" t="s">
        <v>4170</v>
      </c>
      <c r="S398" s="3">
        <f t="shared" si="18"/>
        <v>550</v>
      </c>
      <c r="T398" s="3">
        <f t="shared" si="19"/>
        <v>17050</v>
      </c>
      <c r="U398" s="3" t="s">
        <v>60</v>
      </c>
      <c r="V398" s="14" t="s">
        <v>6</v>
      </c>
      <c r="W398" s="14" t="s">
        <v>4444</v>
      </c>
      <c r="X398" s="14" t="s">
        <v>60</v>
      </c>
    </row>
    <row r="399" spans="1:24" ht="15" x14ac:dyDescent="0.3">
      <c r="A399" s="3">
        <v>83</v>
      </c>
      <c r="B399" s="3" t="s">
        <v>5730</v>
      </c>
      <c r="C399" s="14" t="s">
        <v>0</v>
      </c>
      <c r="D399" s="14" t="s">
        <v>3515</v>
      </c>
      <c r="E399" s="14" t="s">
        <v>5731</v>
      </c>
      <c r="F399" s="14" t="s">
        <v>3522</v>
      </c>
      <c r="G399" s="14" t="s">
        <v>3</v>
      </c>
      <c r="H399" s="14" t="s">
        <v>3755</v>
      </c>
      <c r="I399" s="14" t="s">
        <v>3756</v>
      </c>
      <c r="J399" s="14" t="s">
        <v>60</v>
      </c>
      <c r="K399" s="14" t="s">
        <v>60</v>
      </c>
      <c r="L399" s="14" t="s">
        <v>60</v>
      </c>
      <c r="M399" s="14" t="s">
        <v>3757</v>
      </c>
      <c r="N399" s="14" t="s">
        <v>60</v>
      </c>
      <c r="O399" s="14" t="s">
        <v>60</v>
      </c>
      <c r="P399" s="14" t="s">
        <v>5732</v>
      </c>
      <c r="Q399" s="14" t="s">
        <v>3526</v>
      </c>
      <c r="R399" s="3" t="s">
        <v>4170</v>
      </c>
      <c r="S399" s="3">
        <f t="shared" si="18"/>
        <v>550</v>
      </c>
      <c r="T399" s="3">
        <f t="shared" si="19"/>
        <v>17050</v>
      </c>
      <c r="U399" s="3" t="s">
        <v>60</v>
      </c>
      <c r="V399" s="14" t="s">
        <v>6</v>
      </c>
      <c r="W399" s="14" t="s">
        <v>4444</v>
      </c>
      <c r="X399" s="14" t="s">
        <v>60</v>
      </c>
    </row>
    <row r="400" spans="1:24" ht="15" x14ac:dyDescent="0.3">
      <c r="A400" s="3">
        <v>84</v>
      </c>
      <c r="B400" s="3" t="s">
        <v>5733</v>
      </c>
      <c r="C400" s="14" t="s">
        <v>0</v>
      </c>
      <c r="D400" s="14" t="s">
        <v>767</v>
      </c>
      <c r="E400" s="14" t="s">
        <v>5435</v>
      </c>
      <c r="F400" s="14" t="s">
        <v>3523</v>
      </c>
      <c r="G400" s="14" t="s">
        <v>3</v>
      </c>
      <c r="H400" s="14" t="s">
        <v>5734</v>
      </c>
      <c r="I400" s="14" t="s">
        <v>3758</v>
      </c>
      <c r="J400" s="14" t="s">
        <v>60</v>
      </c>
      <c r="K400" s="14" t="s">
        <v>60</v>
      </c>
      <c r="L400" s="14" t="s">
        <v>60</v>
      </c>
      <c r="M400" s="14" t="s">
        <v>3759</v>
      </c>
      <c r="N400" s="14" t="s">
        <v>60</v>
      </c>
      <c r="O400" s="14" t="s">
        <v>60</v>
      </c>
      <c r="P400" s="14" t="s">
        <v>5735</v>
      </c>
      <c r="Q400" s="14" t="s">
        <v>3526</v>
      </c>
      <c r="R400" s="3" t="s">
        <v>4170</v>
      </c>
      <c r="S400" s="3">
        <f t="shared" si="18"/>
        <v>550</v>
      </c>
      <c r="T400" s="3">
        <f t="shared" si="19"/>
        <v>17050</v>
      </c>
      <c r="U400" s="3" t="s">
        <v>60</v>
      </c>
      <c r="V400" s="14" t="s">
        <v>6</v>
      </c>
      <c r="W400" s="14" t="s">
        <v>4444</v>
      </c>
      <c r="X400" s="14" t="s">
        <v>60</v>
      </c>
    </row>
    <row r="401" spans="1:24" ht="15" x14ac:dyDescent="0.3">
      <c r="A401" s="3">
        <v>85</v>
      </c>
      <c r="B401" s="3" t="s">
        <v>5736</v>
      </c>
      <c r="C401" s="14" t="s">
        <v>0</v>
      </c>
      <c r="D401" s="14" t="s">
        <v>3516</v>
      </c>
      <c r="E401" s="14" t="s">
        <v>5737</v>
      </c>
      <c r="F401" s="14" t="s">
        <v>3515</v>
      </c>
      <c r="G401" s="14" t="s">
        <v>121</v>
      </c>
      <c r="H401" s="14" t="s">
        <v>5738</v>
      </c>
      <c r="I401" s="14" t="s">
        <v>3760</v>
      </c>
      <c r="J401" s="14" t="s">
        <v>60</v>
      </c>
      <c r="K401" s="14" t="s">
        <v>60</v>
      </c>
      <c r="L401" s="14" t="s">
        <v>60</v>
      </c>
      <c r="M401" s="14" t="s">
        <v>3761</v>
      </c>
      <c r="N401" s="14" t="s">
        <v>60</v>
      </c>
      <c r="O401" s="14" t="s">
        <v>60</v>
      </c>
      <c r="P401" s="14" t="s">
        <v>5739</v>
      </c>
      <c r="Q401" s="14" t="s">
        <v>3526</v>
      </c>
      <c r="R401" s="3" t="s">
        <v>4170</v>
      </c>
      <c r="S401" s="3">
        <f t="shared" si="18"/>
        <v>550</v>
      </c>
      <c r="T401" s="3">
        <f t="shared" si="19"/>
        <v>17050</v>
      </c>
      <c r="U401" s="3" t="s">
        <v>60</v>
      </c>
      <c r="V401" s="14" t="s">
        <v>6</v>
      </c>
      <c r="W401" s="14" t="s">
        <v>4444</v>
      </c>
      <c r="X401" s="14" t="s">
        <v>60</v>
      </c>
    </row>
    <row r="402" spans="1:24" ht="15" x14ac:dyDescent="0.3">
      <c r="A402" s="3">
        <v>86</v>
      </c>
      <c r="B402" s="3" t="s">
        <v>5740</v>
      </c>
      <c r="C402" s="14" t="s">
        <v>0</v>
      </c>
      <c r="D402" s="14" t="s">
        <v>3517</v>
      </c>
      <c r="E402" s="14" t="s">
        <v>5741</v>
      </c>
      <c r="F402" s="14" t="s">
        <v>3524</v>
      </c>
      <c r="G402" s="14" t="s">
        <v>121</v>
      </c>
      <c r="H402" s="14" t="s">
        <v>5742</v>
      </c>
      <c r="I402" s="14" t="s">
        <v>3762</v>
      </c>
      <c r="J402" s="14" t="s">
        <v>60</v>
      </c>
      <c r="K402" s="14" t="s">
        <v>60</v>
      </c>
      <c r="L402" s="14" t="s">
        <v>60</v>
      </c>
      <c r="M402" s="14" t="s">
        <v>3763</v>
      </c>
      <c r="N402" s="14" t="s">
        <v>60</v>
      </c>
      <c r="O402" s="14" t="s">
        <v>60</v>
      </c>
      <c r="P402" s="14" t="s">
        <v>5743</v>
      </c>
      <c r="Q402" s="14" t="s">
        <v>3526</v>
      </c>
      <c r="R402" s="3" t="s">
        <v>4170</v>
      </c>
      <c r="S402" s="3">
        <f t="shared" si="18"/>
        <v>550</v>
      </c>
      <c r="T402" s="3">
        <f t="shared" si="19"/>
        <v>17050</v>
      </c>
      <c r="U402" s="3" t="s">
        <v>60</v>
      </c>
      <c r="V402" s="14" t="s">
        <v>6</v>
      </c>
      <c r="W402" s="14" t="s">
        <v>4444</v>
      </c>
      <c r="X402" s="14" t="s">
        <v>60</v>
      </c>
    </row>
    <row r="403" spans="1:24" ht="15" x14ac:dyDescent="0.3">
      <c r="A403" s="3">
        <v>87</v>
      </c>
      <c r="B403" s="3" t="s">
        <v>446</v>
      </c>
      <c r="C403" s="14" t="s">
        <v>0</v>
      </c>
      <c r="D403" s="14" t="s">
        <v>447</v>
      </c>
      <c r="E403" s="14" t="s">
        <v>5744</v>
      </c>
      <c r="F403" s="14" t="s">
        <v>448</v>
      </c>
      <c r="G403" s="14" t="s">
        <v>3</v>
      </c>
      <c r="H403" s="14" t="s">
        <v>5745</v>
      </c>
      <c r="I403" s="14" t="s">
        <v>5746</v>
      </c>
      <c r="J403" s="14" t="s">
        <v>60</v>
      </c>
      <c r="K403" s="14" t="s">
        <v>60</v>
      </c>
      <c r="L403" s="14" t="s">
        <v>60</v>
      </c>
      <c r="M403" s="14" t="s">
        <v>449</v>
      </c>
      <c r="N403" s="14" t="s">
        <v>60</v>
      </c>
      <c r="O403" s="14" t="s">
        <v>59</v>
      </c>
      <c r="P403" s="14" t="s">
        <v>5747</v>
      </c>
      <c r="Q403" s="14" t="s">
        <v>185</v>
      </c>
      <c r="R403" s="3" t="s">
        <v>4170</v>
      </c>
      <c r="S403" s="3">
        <f t="shared" si="18"/>
        <v>550</v>
      </c>
      <c r="T403" s="3">
        <f t="shared" si="19"/>
        <v>17050</v>
      </c>
      <c r="U403" s="3" t="s">
        <v>60</v>
      </c>
      <c r="V403" s="14" t="s">
        <v>6</v>
      </c>
      <c r="W403" s="14" t="s">
        <v>4287</v>
      </c>
      <c r="X403" s="14" t="s">
        <v>60</v>
      </c>
    </row>
    <row r="404" spans="1:24" ht="15" x14ac:dyDescent="0.3">
      <c r="A404" s="3">
        <v>88</v>
      </c>
      <c r="B404" s="3" t="s">
        <v>5748</v>
      </c>
      <c r="C404" s="14" t="s">
        <v>0</v>
      </c>
      <c r="D404" s="14" t="s">
        <v>595</v>
      </c>
      <c r="E404" s="14" t="s">
        <v>5749</v>
      </c>
      <c r="F404" s="14" t="s">
        <v>596</v>
      </c>
      <c r="G404" s="14" t="s">
        <v>121</v>
      </c>
      <c r="H404" s="14" t="s">
        <v>5750</v>
      </c>
      <c r="I404" s="14" t="s">
        <v>597</v>
      </c>
      <c r="J404" s="14" t="s">
        <v>60</v>
      </c>
      <c r="K404" s="14" t="s">
        <v>60</v>
      </c>
      <c r="L404" s="14" t="s">
        <v>60</v>
      </c>
      <c r="M404" s="14" t="s">
        <v>60</v>
      </c>
      <c r="N404" s="14" t="s">
        <v>60</v>
      </c>
      <c r="O404" s="14" t="s">
        <v>558</v>
      </c>
      <c r="P404" s="14" t="s">
        <v>5751</v>
      </c>
      <c r="Q404" s="14" t="s">
        <v>11</v>
      </c>
      <c r="R404" s="3" t="s">
        <v>4300</v>
      </c>
      <c r="S404" s="3">
        <f t="shared" si="18"/>
        <v>550</v>
      </c>
      <c r="T404" s="3">
        <f t="shared" si="19"/>
        <v>15950</v>
      </c>
      <c r="U404" s="3" t="s">
        <v>60</v>
      </c>
      <c r="V404" s="14" t="s">
        <v>6</v>
      </c>
      <c r="W404" s="14" t="s">
        <v>4287</v>
      </c>
      <c r="X404" s="14" t="s">
        <v>60</v>
      </c>
    </row>
    <row r="405" spans="1:24" ht="15" x14ac:dyDescent="0.3">
      <c r="A405" s="3">
        <v>89</v>
      </c>
      <c r="B405" s="3" t="s">
        <v>5752</v>
      </c>
      <c r="C405" s="14" t="s">
        <v>146</v>
      </c>
      <c r="D405" s="14" t="s">
        <v>3907</v>
      </c>
      <c r="E405" s="14" t="s">
        <v>5753</v>
      </c>
      <c r="F405" s="14" t="s">
        <v>3908</v>
      </c>
      <c r="G405" s="14" t="s">
        <v>3</v>
      </c>
      <c r="H405" s="14" t="s">
        <v>3916</v>
      </c>
      <c r="I405" s="14" t="s">
        <v>3917</v>
      </c>
      <c r="J405" s="14" t="s">
        <v>60</v>
      </c>
      <c r="K405" s="14" t="s">
        <v>60</v>
      </c>
      <c r="L405" s="14" t="s">
        <v>60</v>
      </c>
      <c r="M405" s="14" t="s">
        <v>3909</v>
      </c>
      <c r="N405" s="14" t="s">
        <v>60</v>
      </c>
      <c r="O405" s="14" t="s">
        <v>3910</v>
      </c>
      <c r="P405" s="14" t="s">
        <v>5754</v>
      </c>
      <c r="Q405" s="14" t="s">
        <v>185</v>
      </c>
      <c r="R405" s="3" t="s">
        <v>4170</v>
      </c>
      <c r="S405" s="3">
        <f t="shared" si="18"/>
        <v>570</v>
      </c>
      <c r="T405" s="3">
        <f t="shared" si="19"/>
        <v>17670</v>
      </c>
      <c r="U405" s="3" t="s">
        <v>60</v>
      </c>
      <c r="V405" s="14" t="s">
        <v>6</v>
      </c>
      <c r="W405" s="14" t="s">
        <v>5755</v>
      </c>
      <c r="X405" s="14" t="s">
        <v>60</v>
      </c>
    </row>
    <row r="406" spans="1:24" ht="15" x14ac:dyDescent="0.3">
      <c r="A406" s="3">
        <v>90</v>
      </c>
      <c r="B406" s="3" t="s">
        <v>5756</v>
      </c>
      <c r="C406" s="14" t="s">
        <v>0</v>
      </c>
      <c r="D406" s="14" t="s">
        <v>423</v>
      </c>
      <c r="E406" s="14" t="s">
        <v>5757</v>
      </c>
      <c r="F406" s="14" t="s">
        <v>424</v>
      </c>
      <c r="G406" s="14" t="s">
        <v>3</v>
      </c>
      <c r="H406" s="14" t="s">
        <v>5758</v>
      </c>
      <c r="I406" s="14" t="s">
        <v>5759</v>
      </c>
      <c r="J406" s="14" t="s">
        <v>60</v>
      </c>
      <c r="K406" s="14" t="s">
        <v>60</v>
      </c>
      <c r="L406" s="14" t="s">
        <v>60</v>
      </c>
      <c r="M406" s="14" t="s">
        <v>425</v>
      </c>
      <c r="N406" s="14" t="s">
        <v>60</v>
      </c>
      <c r="O406" s="14" t="s">
        <v>59</v>
      </c>
      <c r="P406" s="14" t="s">
        <v>5760</v>
      </c>
      <c r="Q406" s="14" t="s">
        <v>426</v>
      </c>
      <c r="R406" s="3" t="s">
        <v>68</v>
      </c>
      <c r="S406" s="3">
        <f t="shared" si="18"/>
        <v>550</v>
      </c>
      <c r="T406" s="3">
        <f t="shared" si="19"/>
        <v>0</v>
      </c>
      <c r="U406" s="3" t="s">
        <v>60</v>
      </c>
      <c r="V406" s="14" t="s">
        <v>6</v>
      </c>
      <c r="W406" s="14" t="s">
        <v>4287</v>
      </c>
      <c r="X406" s="14" t="s">
        <v>60</v>
      </c>
    </row>
    <row r="407" spans="1:24" ht="15" x14ac:dyDescent="0.3">
      <c r="A407" s="3">
        <v>91</v>
      </c>
      <c r="B407" s="3" t="s">
        <v>5761</v>
      </c>
      <c r="C407" s="14" t="s">
        <v>0</v>
      </c>
      <c r="D407" s="14" t="s">
        <v>505</v>
      </c>
      <c r="E407" s="14" t="s">
        <v>5762</v>
      </c>
      <c r="F407" s="14" t="s">
        <v>506</v>
      </c>
      <c r="G407" s="14" t="s">
        <v>3</v>
      </c>
      <c r="H407" s="14" t="s">
        <v>5763</v>
      </c>
      <c r="I407" s="14" t="s">
        <v>507</v>
      </c>
      <c r="J407" s="14" t="s">
        <v>60</v>
      </c>
      <c r="K407" s="14" t="s">
        <v>60</v>
      </c>
      <c r="L407" s="14" t="s">
        <v>60</v>
      </c>
      <c r="M407" s="14" t="s">
        <v>508</v>
      </c>
      <c r="N407" s="14" t="s">
        <v>60</v>
      </c>
      <c r="O407" s="14" t="s">
        <v>25</v>
      </c>
      <c r="P407" s="14" t="s">
        <v>5764</v>
      </c>
      <c r="Q407" s="14" t="s">
        <v>11</v>
      </c>
      <c r="R407" s="3" t="s">
        <v>4443</v>
      </c>
      <c r="S407" s="3">
        <f t="shared" si="18"/>
        <v>550</v>
      </c>
      <c r="T407" s="3">
        <f t="shared" si="19"/>
        <v>11550</v>
      </c>
      <c r="U407" s="3" t="s">
        <v>60</v>
      </c>
      <c r="V407" s="14" t="s">
        <v>6</v>
      </c>
      <c r="W407" s="14" t="s">
        <v>5248</v>
      </c>
      <c r="X407" s="14" t="s">
        <v>60</v>
      </c>
    </row>
    <row r="408" spans="1:24" ht="15" x14ac:dyDescent="0.3">
      <c r="A408" s="3">
        <v>92</v>
      </c>
      <c r="B408" s="3" t="s">
        <v>5765</v>
      </c>
      <c r="C408" s="14" t="s">
        <v>0</v>
      </c>
      <c r="D408" s="14" t="s">
        <v>727</v>
      </c>
      <c r="E408" s="14" t="s">
        <v>4746</v>
      </c>
      <c r="F408" s="14" t="s">
        <v>728</v>
      </c>
      <c r="G408" s="14" t="s">
        <v>3</v>
      </c>
      <c r="H408" s="14" t="s">
        <v>5766</v>
      </c>
      <c r="I408" s="14" t="s">
        <v>729</v>
      </c>
      <c r="J408" s="14" t="s">
        <v>60</v>
      </c>
      <c r="K408" s="14" t="s">
        <v>60</v>
      </c>
      <c r="L408" s="14" t="s">
        <v>60</v>
      </c>
      <c r="M408" s="14" t="s">
        <v>730</v>
      </c>
      <c r="N408" s="14" t="s">
        <v>60</v>
      </c>
      <c r="O408" s="14" t="s">
        <v>25</v>
      </c>
      <c r="P408" s="14" t="s">
        <v>5767</v>
      </c>
      <c r="Q408" s="14" t="s">
        <v>11</v>
      </c>
      <c r="R408" s="3" t="s">
        <v>4170</v>
      </c>
      <c r="S408" s="3">
        <f t="shared" si="18"/>
        <v>550</v>
      </c>
      <c r="T408" s="3">
        <f t="shared" si="19"/>
        <v>17050</v>
      </c>
      <c r="U408" s="3" t="s">
        <v>60</v>
      </c>
      <c r="V408" s="14" t="s">
        <v>6</v>
      </c>
      <c r="W408" s="14" t="s">
        <v>4985</v>
      </c>
      <c r="X408" s="14" t="s">
        <v>60</v>
      </c>
    </row>
    <row r="409" spans="1:24" ht="15" x14ac:dyDescent="0.3">
      <c r="A409" s="3">
        <v>93</v>
      </c>
      <c r="B409" s="3" t="s">
        <v>5768</v>
      </c>
      <c r="C409" s="14" t="s">
        <v>0</v>
      </c>
      <c r="D409" s="14" t="s">
        <v>744</v>
      </c>
      <c r="E409" s="14" t="s">
        <v>4778</v>
      </c>
      <c r="F409" s="14" t="s">
        <v>745</v>
      </c>
      <c r="G409" s="14" t="s">
        <v>3</v>
      </c>
      <c r="H409" s="14" t="s">
        <v>5769</v>
      </c>
      <c r="I409" s="14" t="s">
        <v>746</v>
      </c>
      <c r="J409" s="14" t="s">
        <v>60</v>
      </c>
      <c r="K409" s="14" t="s">
        <v>60</v>
      </c>
      <c r="L409" s="14" t="s">
        <v>60</v>
      </c>
      <c r="M409" s="14" t="s">
        <v>747</v>
      </c>
      <c r="N409" s="14" t="s">
        <v>60</v>
      </c>
      <c r="O409" s="14" t="s">
        <v>25</v>
      </c>
      <c r="P409" s="14" t="s">
        <v>5770</v>
      </c>
      <c r="Q409" s="14" t="s">
        <v>11</v>
      </c>
      <c r="R409" s="3" t="s">
        <v>4300</v>
      </c>
      <c r="S409" s="3">
        <f t="shared" si="18"/>
        <v>550</v>
      </c>
      <c r="T409" s="3">
        <f t="shared" si="19"/>
        <v>15950</v>
      </c>
      <c r="U409" s="3" t="s">
        <v>60</v>
      </c>
      <c r="V409" s="14" t="s">
        <v>6</v>
      </c>
      <c r="W409" s="14" t="s">
        <v>5248</v>
      </c>
      <c r="X409" s="14" t="s">
        <v>60</v>
      </c>
    </row>
    <row r="410" spans="1:24" ht="15" x14ac:dyDescent="0.3">
      <c r="A410" s="3">
        <v>94</v>
      </c>
      <c r="B410" s="3" t="s">
        <v>5771</v>
      </c>
      <c r="C410" s="14" t="s">
        <v>0</v>
      </c>
      <c r="D410" s="14" t="s">
        <v>748</v>
      </c>
      <c r="E410" s="14" t="s">
        <v>4195</v>
      </c>
      <c r="F410" s="14" t="s">
        <v>749</v>
      </c>
      <c r="G410" s="14" t="s">
        <v>3</v>
      </c>
      <c r="H410" s="14" t="s">
        <v>750</v>
      </c>
      <c r="I410" s="14" t="s">
        <v>751</v>
      </c>
      <c r="J410" s="14" t="s">
        <v>60</v>
      </c>
      <c r="K410" s="14" t="s">
        <v>60</v>
      </c>
      <c r="L410" s="14" t="s">
        <v>60</v>
      </c>
      <c r="M410" s="14" t="s">
        <v>752</v>
      </c>
      <c r="N410" s="14" t="s">
        <v>60</v>
      </c>
      <c r="O410" s="14" t="s">
        <v>25</v>
      </c>
      <c r="P410" s="14" t="s">
        <v>5772</v>
      </c>
      <c r="Q410" s="14" t="s">
        <v>11</v>
      </c>
      <c r="R410" s="3" t="s">
        <v>4170</v>
      </c>
      <c r="S410" s="3">
        <f t="shared" si="18"/>
        <v>550</v>
      </c>
      <c r="T410" s="3">
        <f t="shared" si="19"/>
        <v>17050</v>
      </c>
      <c r="U410" s="3" t="s">
        <v>60</v>
      </c>
      <c r="V410" s="14" t="s">
        <v>6</v>
      </c>
      <c r="W410" s="14" t="s">
        <v>5248</v>
      </c>
      <c r="X410" s="14" t="s">
        <v>60</v>
      </c>
    </row>
    <row r="411" spans="1:24" ht="15" x14ac:dyDescent="0.3">
      <c r="A411" s="3">
        <v>95</v>
      </c>
      <c r="B411" s="3" t="s">
        <v>5773</v>
      </c>
      <c r="C411" s="14" t="s">
        <v>0</v>
      </c>
      <c r="D411" s="14" t="s">
        <v>3467</v>
      </c>
      <c r="E411" s="14" t="s">
        <v>5258</v>
      </c>
      <c r="F411" s="14" t="s">
        <v>3476</v>
      </c>
      <c r="G411" s="14" t="s">
        <v>3</v>
      </c>
      <c r="H411" s="14" t="s">
        <v>5774</v>
      </c>
      <c r="I411" s="14" t="s">
        <v>3689</v>
      </c>
      <c r="J411" s="14" t="s">
        <v>60</v>
      </c>
      <c r="K411" s="14" t="s">
        <v>60</v>
      </c>
      <c r="L411" s="14" t="s">
        <v>60</v>
      </c>
      <c r="M411" s="14" t="s">
        <v>3690</v>
      </c>
      <c r="N411" s="14" t="s">
        <v>60</v>
      </c>
      <c r="O411" s="14" t="s">
        <v>60</v>
      </c>
      <c r="P411" s="14" t="s">
        <v>5775</v>
      </c>
      <c r="Q411" s="14" t="s">
        <v>11</v>
      </c>
      <c r="R411" s="3" t="s">
        <v>4170</v>
      </c>
      <c r="S411" s="3">
        <f t="shared" si="18"/>
        <v>550</v>
      </c>
      <c r="T411" s="3">
        <f t="shared" si="19"/>
        <v>17050</v>
      </c>
      <c r="U411" s="3" t="s">
        <v>60</v>
      </c>
      <c r="V411" s="14" t="s">
        <v>6</v>
      </c>
      <c r="W411" s="14" t="s">
        <v>4500</v>
      </c>
      <c r="X411" s="14" t="s">
        <v>60</v>
      </c>
    </row>
    <row r="412" spans="1:24" ht="15.6" x14ac:dyDescent="0.3">
      <c r="A412" s="3">
        <v>96</v>
      </c>
      <c r="B412" s="25" t="s">
        <v>5776</v>
      </c>
      <c r="C412" s="14" t="s">
        <v>0</v>
      </c>
      <c r="D412" s="14" t="s">
        <v>4108</v>
      </c>
      <c r="E412" s="14" t="s">
        <v>5777</v>
      </c>
      <c r="F412" s="14" t="s">
        <v>4109</v>
      </c>
      <c r="G412" s="14" t="s">
        <v>3</v>
      </c>
      <c r="H412" s="14" t="s">
        <v>5778</v>
      </c>
      <c r="I412" s="14" t="s">
        <v>5779</v>
      </c>
      <c r="J412" s="14" t="s">
        <v>60</v>
      </c>
      <c r="K412" s="14" t="s">
        <v>60</v>
      </c>
      <c r="L412" s="14" t="s">
        <v>60</v>
      </c>
      <c r="M412" s="14" t="s">
        <v>5780</v>
      </c>
      <c r="N412" s="14" t="s">
        <v>60</v>
      </c>
      <c r="O412" s="14" t="s">
        <v>60</v>
      </c>
      <c r="P412" s="14" t="s">
        <v>5781</v>
      </c>
      <c r="Q412" s="14" t="s">
        <v>739</v>
      </c>
      <c r="R412" s="3" t="s">
        <v>4311</v>
      </c>
      <c r="S412" s="3">
        <f t="shared" si="18"/>
        <v>550</v>
      </c>
      <c r="T412" s="3">
        <f t="shared" si="19"/>
        <v>16500</v>
      </c>
      <c r="U412" s="3" t="s">
        <v>60</v>
      </c>
      <c r="V412" s="14" t="s">
        <v>6</v>
      </c>
      <c r="W412" s="14" t="s">
        <v>4495</v>
      </c>
      <c r="X412" s="14" t="s">
        <v>60</v>
      </c>
    </row>
    <row r="413" spans="1:24" ht="15.6" x14ac:dyDescent="0.3">
      <c r="A413" s="3">
        <v>97</v>
      </c>
      <c r="B413" s="25" t="s">
        <v>5782</v>
      </c>
      <c r="C413" s="14" t="s">
        <v>0</v>
      </c>
      <c r="D413" s="14" t="s">
        <v>4110</v>
      </c>
      <c r="E413" s="14" t="s">
        <v>5783</v>
      </c>
      <c r="F413" s="14" t="s">
        <v>4111</v>
      </c>
      <c r="G413" s="14" t="s">
        <v>3</v>
      </c>
      <c r="H413" s="14" t="s">
        <v>5784</v>
      </c>
      <c r="I413" s="14" t="s">
        <v>5785</v>
      </c>
      <c r="J413" s="14" t="s">
        <v>60</v>
      </c>
      <c r="K413" s="14" t="s">
        <v>60</v>
      </c>
      <c r="L413" s="14" t="s">
        <v>60</v>
      </c>
      <c r="M413" s="14" t="s">
        <v>5786</v>
      </c>
      <c r="N413" s="14" t="s">
        <v>60</v>
      </c>
      <c r="O413" s="14"/>
      <c r="P413" s="14" t="s">
        <v>5787</v>
      </c>
      <c r="Q413" s="14" t="s">
        <v>4112</v>
      </c>
      <c r="R413" s="3" t="s">
        <v>4311</v>
      </c>
      <c r="S413" s="3">
        <f t="shared" si="18"/>
        <v>550</v>
      </c>
      <c r="T413" s="3">
        <f t="shared" si="19"/>
        <v>16500</v>
      </c>
      <c r="U413" s="3" t="s">
        <v>5788</v>
      </c>
      <c r="V413" s="14" t="s">
        <v>6</v>
      </c>
      <c r="W413" s="14" t="s">
        <v>4495</v>
      </c>
      <c r="X413" s="14" t="s">
        <v>60</v>
      </c>
    </row>
    <row r="414" spans="1:24" ht="15.6" x14ac:dyDescent="0.3">
      <c r="A414" s="26" t="s">
        <v>60</v>
      </c>
      <c r="B414" s="26" t="s">
        <v>60</v>
      </c>
      <c r="C414" s="27" t="s">
        <v>60</v>
      </c>
      <c r="D414" s="27" t="s">
        <v>60</v>
      </c>
      <c r="E414" s="27" t="s">
        <v>60</v>
      </c>
      <c r="F414" s="27" t="s">
        <v>60</v>
      </c>
      <c r="G414" s="27" t="s">
        <v>60</v>
      </c>
      <c r="H414" s="27" t="s">
        <v>60</v>
      </c>
      <c r="I414" s="27" t="s">
        <v>60</v>
      </c>
      <c r="J414" s="27" t="s">
        <v>60</v>
      </c>
      <c r="K414" s="27" t="s">
        <v>60</v>
      </c>
      <c r="L414" s="27" t="s">
        <v>60</v>
      </c>
      <c r="M414" s="27" t="s">
        <v>60</v>
      </c>
      <c r="N414" s="27" t="s">
        <v>60</v>
      </c>
      <c r="O414" s="27" t="s">
        <v>60</v>
      </c>
      <c r="P414" s="27" t="s">
        <v>60</v>
      </c>
      <c r="Q414" s="27" t="s">
        <v>60</v>
      </c>
      <c r="R414" s="35" t="s">
        <v>2009</v>
      </c>
      <c r="S414" s="35" t="s">
        <v>60</v>
      </c>
      <c r="T414" s="26">
        <f>SUM(T316:T413)</f>
        <v>1591610</v>
      </c>
      <c r="U414" s="26" t="s">
        <v>5789</v>
      </c>
      <c r="V414" s="27" t="s">
        <v>60</v>
      </c>
      <c r="W414" s="27" t="s">
        <v>60</v>
      </c>
      <c r="X414" s="27" t="s">
        <v>60</v>
      </c>
    </row>
    <row r="415" spans="1:24" ht="15.6" x14ac:dyDescent="0.3">
      <c r="A415" s="34" t="s">
        <v>5790</v>
      </c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 spans="1:24" ht="109.2" x14ac:dyDescent="0.3">
      <c r="A416" s="23" t="s">
        <v>42</v>
      </c>
      <c r="B416" s="23" t="s">
        <v>43</v>
      </c>
      <c r="C416" s="24" t="s">
        <v>44</v>
      </c>
      <c r="D416" s="24" t="s">
        <v>4154</v>
      </c>
      <c r="E416" s="24" t="s">
        <v>4155</v>
      </c>
      <c r="F416" s="24" t="s">
        <v>4156</v>
      </c>
      <c r="G416" s="24" t="s">
        <v>45</v>
      </c>
      <c r="H416" s="24" t="s">
        <v>4157</v>
      </c>
      <c r="I416" s="24" t="s">
        <v>46</v>
      </c>
      <c r="J416" s="24" t="s">
        <v>4158</v>
      </c>
      <c r="K416" s="24" t="s">
        <v>4159</v>
      </c>
      <c r="L416" s="24" t="s">
        <v>4160</v>
      </c>
      <c r="M416" s="24" t="s">
        <v>4161</v>
      </c>
      <c r="N416" s="24" t="s">
        <v>47</v>
      </c>
      <c r="O416" s="24" t="s">
        <v>48</v>
      </c>
      <c r="P416" s="24" t="s">
        <v>49</v>
      </c>
      <c r="Q416" s="24" t="s">
        <v>50</v>
      </c>
      <c r="R416" s="23" t="s">
        <v>4162</v>
      </c>
      <c r="S416" s="23" t="s">
        <v>4163</v>
      </c>
      <c r="T416" s="23" t="s">
        <v>4164</v>
      </c>
      <c r="U416" s="23" t="s">
        <v>4165</v>
      </c>
      <c r="V416" s="24" t="s">
        <v>51</v>
      </c>
      <c r="W416" s="24" t="s">
        <v>52</v>
      </c>
      <c r="X416" s="24" t="s">
        <v>53</v>
      </c>
    </row>
    <row r="417" spans="1:24" ht="15" x14ac:dyDescent="0.3">
      <c r="A417" s="3">
        <v>1</v>
      </c>
      <c r="B417" s="3" t="s">
        <v>5791</v>
      </c>
      <c r="C417" s="14" t="s">
        <v>69</v>
      </c>
      <c r="D417" s="14" t="s">
        <v>598</v>
      </c>
      <c r="E417" s="14" t="s">
        <v>5792</v>
      </c>
      <c r="F417" s="14" t="s">
        <v>599</v>
      </c>
      <c r="G417" s="14" t="s">
        <v>3</v>
      </c>
      <c r="H417" s="14" t="s">
        <v>5793</v>
      </c>
      <c r="I417" s="14" t="s">
        <v>600</v>
      </c>
      <c r="J417" s="14" t="s">
        <v>60</v>
      </c>
      <c r="K417" s="14" t="s">
        <v>60</v>
      </c>
      <c r="L417" s="14" t="s">
        <v>60</v>
      </c>
      <c r="M417" s="14" t="s">
        <v>601</v>
      </c>
      <c r="N417" s="14" t="s">
        <v>60</v>
      </c>
      <c r="O417" s="14" t="s">
        <v>558</v>
      </c>
      <c r="P417" s="14" t="s">
        <v>5794</v>
      </c>
      <c r="Q417" s="14" t="s">
        <v>185</v>
      </c>
      <c r="R417" s="3" t="s">
        <v>4170</v>
      </c>
      <c r="S417" s="3">
        <f t="shared" ref="S417:S428" si="20">IF(RIGHT(C417,3)="MAZ",550,IF(RIGHT(C417,4)="MATE",570,IF(RIGHT(C417,7)="SKD-III",640,IF(RIGHT(C417,6)="SKD-II",770,IF(RIGHT(C417,5)="SKD-I",900,IF(RIGHT(C417,5)="CPDVR",770,""))))))</f>
        <v>570</v>
      </c>
      <c r="T417" s="3">
        <f t="shared" ref="T417:T428" si="21">R417*S417</f>
        <v>17670</v>
      </c>
      <c r="U417" s="3" t="s">
        <v>60</v>
      </c>
      <c r="V417" s="14" t="s">
        <v>6</v>
      </c>
      <c r="W417" s="14" t="s">
        <v>4287</v>
      </c>
      <c r="X417" s="14" t="s">
        <v>60</v>
      </c>
    </row>
    <row r="418" spans="1:24" ht="15" x14ac:dyDescent="0.3">
      <c r="A418" s="3">
        <v>2</v>
      </c>
      <c r="B418" s="3" t="s">
        <v>700</v>
      </c>
      <c r="C418" s="14" t="s">
        <v>14</v>
      </c>
      <c r="D418" s="14" t="s">
        <v>701</v>
      </c>
      <c r="E418" s="14" t="s">
        <v>5792</v>
      </c>
      <c r="F418" s="14" t="s">
        <v>702</v>
      </c>
      <c r="G418" s="14" t="s">
        <v>3</v>
      </c>
      <c r="H418" s="14" t="s">
        <v>5795</v>
      </c>
      <c r="I418" s="14" t="s">
        <v>703</v>
      </c>
      <c r="J418" s="14" t="s">
        <v>60</v>
      </c>
      <c r="K418" s="14" t="s">
        <v>60</v>
      </c>
      <c r="L418" s="14" t="s">
        <v>60</v>
      </c>
      <c r="M418" s="14" t="s">
        <v>704</v>
      </c>
      <c r="N418" s="14" t="s">
        <v>60</v>
      </c>
      <c r="O418" s="14" t="s">
        <v>179</v>
      </c>
      <c r="P418" s="14" t="s">
        <v>5796</v>
      </c>
      <c r="Q418" s="14" t="s">
        <v>185</v>
      </c>
      <c r="R418" s="3" t="s">
        <v>4170</v>
      </c>
      <c r="S418" s="3">
        <f t="shared" si="20"/>
        <v>640</v>
      </c>
      <c r="T418" s="3">
        <f t="shared" si="21"/>
        <v>19840</v>
      </c>
      <c r="U418" s="3" t="s">
        <v>60</v>
      </c>
      <c r="V418" s="14" t="s">
        <v>6</v>
      </c>
      <c r="W418" s="14" t="s">
        <v>4287</v>
      </c>
      <c r="X418" s="14" t="s">
        <v>60</v>
      </c>
    </row>
    <row r="419" spans="1:24" ht="15" x14ac:dyDescent="0.3">
      <c r="A419" s="3">
        <v>3</v>
      </c>
      <c r="B419" s="3" t="s">
        <v>5797</v>
      </c>
      <c r="C419" s="14" t="s">
        <v>0</v>
      </c>
      <c r="D419" s="14" t="s">
        <v>589</v>
      </c>
      <c r="E419" s="14" t="s">
        <v>5798</v>
      </c>
      <c r="F419" s="14" t="s">
        <v>584</v>
      </c>
      <c r="G419" s="14" t="s">
        <v>3</v>
      </c>
      <c r="H419" s="14" t="s">
        <v>5799</v>
      </c>
      <c r="I419" s="14" t="s">
        <v>5800</v>
      </c>
      <c r="J419" s="14" t="s">
        <v>60</v>
      </c>
      <c r="K419" s="14" t="s">
        <v>60</v>
      </c>
      <c r="L419" s="14" t="s">
        <v>590</v>
      </c>
      <c r="M419" s="14" t="s">
        <v>591</v>
      </c>
      <c r="N419" s="14" t="s">
        <v>60</v>
      </c>
      <c r="O419" s="14" t="s">
        <v>558</v>
      </c>
      <c r="P419" s="14" t="s">
        <v>5801</v>
      </c>
      <c r="Q419" s="14" t="s">
        <v>185</v>
      </c>
      <c r="R419" s="3" t="s">
        <v>4170</v>
      </c>
      <c r="S419" s="3">
        <f t="shared" si="20"/>
        <v>550</v>
      </c>
      <c r="T419" s="3">
        <f t="shared" si="21"/>
        <v>17050</v>
      </c>
      <c r="U419" s="3" t="s">
        <v>60</v>
      </c>
      <c r="V419" s="14" t="s">
        <v>6</v>
      </c>
      <c r="W419" s="14" t="s">
        <v>4287</v>
      </c>
      <c r="X419" s="14" t="s">
        <v>60</v>
      </c>
    </row>
    <row r="420" spans="1:24" ht="15" x14ac:dyDescent="0.3">
      <c r="A420" s="3">
        <v>4</v>
      </c>
      <c r="B420" s="3" t="s">
        <v>5802</v>
      </c>
      <c r="C420" s="14" t="s">
        <v>0</v>
      </c>
      <c r="D420" s="14" t="s">
        <v>592</v>
      </c>
      <c r="E420" s="14" t="s">
        <v>5544</v>
      </c>
      <c r="F420" s="14" t="s">
        <v>593</v>
      </c>
      <c r="G420" s="14" t="s">
        <v>3</v>
      </c>
      <c r="H420" s="14" t="s">
        <v>5803</v>
      </c>
      <c r="I420" s="14" t="s">
        <v>594</v>
      </c>
      <c r="J420" s="14" t="s">
        <v>60</v>
      </c>
      <c r="K420" s="14" t="s">
        <v>60</v>
      </c>
      <c r="L420" s="14" t="s">
        <v>60</v>
      </c>
      <c r="M420" s="14" t="s">
        <v>60</v>
      </c>
      <c r="N420" s="14" t="s">
        <v>60</v>
      </c>
      <c r="O420" s="14" t="s">
        <v>5804</v>
      </c>
      <c r="P420" s="14" t="s">
        <v>5805</v>
      </c>
      <c r="Q420" s="14" t="s">
        <v>180</v>
      </c>
      <c r="R420" s="3" t="s">
        <v>5244</v>
      </c>
      <c r="S420" s="3">
        <f t="shared" si="20"/>
        <v>550</v>
      </c>
      <c r="T420" s="3">
        <f t="shared" si="21"/>
        <v>14850</v>
      </c>
      <c r="U420" s="3" t="s">
        <v>60</v>
      </c>
      <c r="V420" s="14" t="s">
        <v>6</v>
      </c>
      <c r="W420" s="14" t="s">
        <v>4287</v>
      </c>
      <c r="X420" s="14" t="s">
        <v>60</v>
      </c>
    </row>
    <row r="421" spans="1:24" ht="15" x14ac:dyDescent="0.3">
      <c r="A421" s="3">
        <v>5</v>
      </c>
      <c r="B421" s="3" t="s">
        <v>5806</v>
      </c>
      <c r="C421" s="14" t="s">
        <v>0</v>
      </c>
      <c r="D421" s="14" t="s">
        <v>608</v>
      </c>
      <c r="E421" s="14" t="s">
        <v>5807</v>
      </c>
      <c r="F421" s="14" t="s">
        <v>609</v>
      </c>
      <c r="G421" s="14" t="s">
        <v>121</v>
      </c>
      <c r="H421" s="14" t="s">
        <v>5808</v>
      </c>
      <c r="I421" s="14" t="s">
        <v>610</v>
      </c>
      <c r="J421" s="14" t="s">
        <v>60</v>
      </c>
      <c r="K421" s="14" t="s">
        <v>60</v>
      </c>
      <c r="L421" s="14" t="s">
        <v>590</v>
      </c>
      <c r="M421" s="14" t="s">
        <v>611</v>
      </c>
      <c r="N421" s="14" t="s">
        <v>612</v>
      </c>
      <c r="O421" s="14" t="s">
        <v>558</v>
      </c>
      <c r="P421" s="14" t="s">
        <v>5809</v>
      </c>
      <c r="Q421" s="14" t="s">
        <v>185</v>
      </c>
      <c r="R421" s="3" t="s">
        <v>4443</v>
      </c>
      <c r="S421" s="3">
        <f t="shared" si="20"/>
        <v>550</v>
      </c>
      <c r="T421" s="3">
        <f t="shared" si="21"/>
        <v>11550</v>
      </c>
      <c r="U421" s="3" t="s">
        <v>60</v>
      </c>
      <c r="V421" s="14" t="s">
        <v>6</v>
      </c>
      <c r="W421" s="14" t="s">
        <v>4287</v>
      </c>
      <c r="X421" s="14" t="s">
        <v>60</v>
      </c>
    </row>
    <row r="422" spans="1:24" ht="15" x14ac:dyDescent="0.3">
      <c r="A422" s="3">
        <v>6</v>
      </c>
      <c r="B422" s="3" t="s">
        <v>5810</v>
      </c>
      <c r="C422" s="14" t="s">
        <v>0</v>
      </c>
      <c r="D422" s="14" t="s">
        <v>613</v>
      </c>
      <c r="E422" s="14" t="s">
        <v>5811</v>
      </c>
      <c r="F422" s="14" t="s">
        <v>614</v>
      </c>
      <c r="G422" s="14" t="s">
        <v>121</v>
      </c>
      <c r="H422" s="14" t="s">
        <v>5812</v>
      </c>
      <c r="I422" s="14" t="s">
        <v>5813</v>
      </c>
      <c r="J422" s="14" t="s">
        <v>228</v>
      </c>
      <c r="K422" s="14" t="s">
        <v>60</v>
      </c>
      <c r="L422" s="14" t="s">
        <v>590</v>
      </c>
      <c r="M422" s="14" t="s">
        <v>615</v>
      </c>
      <c r="N422" s="14" t="s">
        <v>616</v>
      </c>
      <c r="O422" s="14" t="s">
        <v>558</v>
      </c>
      <c r="P422" s="14" t="s">
        <v>5814</v>
      </c>
      <c r="Q422" s="14" t="s">
        <v>11</v>
      </c>
      <c r="R422" s="3" t="s">
        <v>4300</v>
      </c>
      <c r="S422" s="3">
        <f t="shared" si="20"/>
        <v>550</v>
      </c>
      <c r="T422" s="3">
        <f t="shared" si="21"/>
        <v>15950</v>
      </c>
      <c r="U422" s="3" t="s">
        <v>60</v>
      </c>
      <c r="V422" s="14" t="s">
        <v>6</v>
      </c>
      <c r="W422" s="14" t="s">
        <v>4287</v>
      </c>
      <c r="X422" s="14" t="s">
        <v>60</v>
      </c>
    </row>
    <row r="423" spans="1:24" ht="15" x14ac:dyDescent="0.3">
      <c r="A423" s="3">
        <v>7</v>
      </c>
      <c r="B423" s="3" t="s">
        <v>5815</v>
      </c>
      <c r="C423" s="14" t="s">
        <v>0</v>
      </c>
      <c r="D423" s="14" t="s">
        <v>617</v>
      </c>
      <c r="E423" s="14" t="s">
        <v>5816</v>
      </c>
      <c r="F423" s="14" t="s">
        <v>618</v>
      </c>
      <c r="G423" s="14" t="s">
        <v>121</v>
      </c>
      <c r="H423" s="14" t="s">
        <v>5817</v>
      </c>
      <c r="I423" s="14" t="s">
        <v>5818</v>
      </c>
      <c r="J423" s="14" t="s">
        <v>60</v>
      </c>
      <c r="K423" s="14" t="s">
        <v>60</v>
      </c>
      <c r="L423" s="14" t="s">
        <v>60</v>
      </c>
      <c r="M423" s="14" t="s">
        <v>619</v>
      </c>
      <c r="N423" s="14" t="s">
        <v>60</v>
      </c>
      <c r="O423" s="14" t="s">
        <v>558</v>
      </c>
      <c r="P423" s="14" t="s">
        <v>5819</v>
      </c>
      <c r="Q423" s="14" t="s">
        <v>185</v>
      </c>
      <c r="R423" s="3" t="s">
        <v>4381</v>
      </c>
      <c r="S423" s="3">
        <f t="shared" si="20"/>
        <v>550</v>
      </c>
      <c r="T423" s="3">
        <f t="shared" si="21"/>
        <v>15400</v>
      </c>
      <c r="U423" s="3" t="s">
        <v>60</v>
      </c>
      <c r="V423" s="14" t="s">
        <v>6</v>
      </c>
      <c r="W423" s="14" t="s">
        <v>4287</v>
      </c>
      <c r="X423" s="14" t="s">
        <v>60</v>
      </c>
    </row>
    <row r="424" spans="1:24" ht="15" x14ac:dyDescent="0.3">
      <c r="A424" s="3">
        <v>8</v>
      </c>
      <c r="B424" s="3" t="s">
        <v>5820</v>
      </c>
      <c r="C424" s="14" t="s">
        <v>0</v>
      </c>
      <c r="D424" s="14" t="s">
        <v>620</v>
      </c>
      <c r="E424" s="14" t="s">
        <v>5821</v>
      </c>
      <c r="F424" s="14" t="s">
        <v>621</v>
      </c>
      <c r="G424" s="14" t="s">
        <v>121</v>
      </c>
      <c r="H424" s="14" t="s">
        <v>5822</v>
      </c>
      <c r="I424" s="14" t="s">
        <v>622</v>
      </c>
      <c r="J424" s="14" t="s">
        <v>60</v>
      </c>
      <c r="K424" s="14" t="s">
        <v>60</v>
      </c>
      <c r="L424" s="14" t="s">
        <v>590</v>
      </c>
      <c r="M424" s="14" t="s">
        <v>60</v>
      </c>
      <c r="N424" s="14" t="s">
        <v>60</v>
      </c>
      <c r="O424" s="14" t="s">
        <v>558</v>
      </c>
      <c r="P424" s="14" t="s">
        <v>5823</v>
      </c>
      <c r="Q424" s="14" t="s">
        <v>185</v>
      </c>
      <c r="R424" s="3" t="s">
        <v>4170</v>
      </c>
      <c r="S424" s="3">
        <f t="shared" si="20"/>
        <v>550</v>
      </c>
      <c r="T424" s="3">
        <f t="shared" si="21"/>
        <v>17050</v>
      </c>
      <c r="U424" s="3" t="s">
        <v>60</v>
      </c>
      <c r="V424" s="14" t="s">
        <v>6</v>
      </c>
      <c r="W424" s="14" t="s">
        <v>4287</v>
      </c>
      <c r="X424" s="14" t="s">
        <v>60</v>
      </c>
    </row>
    <row r="425" spans="1:24" ht="15" x14ac:dyDescent="0.3">
      <c r="A425" s="3">
        <v>9</v>
      </c>
      <c r="B425" s="3" t="s">
        <v>5824</v>
      </c>
      <c r="C425" s="14" t="s">
        <v>0</v>
      </c>
      <c r="D425" s="14" t="s">
        <v>631</v>
      </c>
      <c r="E425" s="14" t="s">
        <v>4815</v>
      </c>
      <c r="F425" s="14" t="s">
        <v>632</v>
      </c>
      <c r="G425" s="14" t="s">
        <v>3</v>
      </c>
      <c r="H425" s="14" t="s">
        <v>5825</v>
      </c>
      <c r="I425" s="14" t="s">
        <v>633</v>
      </c>
      <c r="J425" s="14" t="s">
        <v>60</v>
      </c>
      <c r="K425" s="14" t="s">
        <v>60</v>
      </c>
      <c r="L425" s="14" t="s">
        <v>60</v>
      </c>
      <c r="M425" s="14" t="s">
        <v>634</v>
      </c>
      <c r="N425" s="14" t="s">
        <v>60</v>
      </c>
      <c r="O425" s="14" t="s">
        <v>558</v>
      </c>
      <c r="P425" s="14" t="s">
        <v>5826</v>
      </c>
      <c r="Q425" s="14" t="s">
        <v>426</v>
      </c>
      <c r="R425" s="3" t="s">
        <v>4223</v>
      </c>
      <c r="S425" s="3">
        <f t="shared" si="20"/>
        <v>550</v>
      </c>
      <c r="T425" s="3">
        <f t="shared" si="21"/>
        <v>8800</v>
      </c>
      <c r="U425" s="3" t="s">
        <v>60</v>
      </c>
      <c r="V425" s="14" t="s">
        <v>6</v>
      </c>
      <c r="W425" s="14" t="s">
        <v>5388</v>
      </c>
      <c r="X425" s="14" t="s">
        <v>60</v>
      </c>
    </row>
    <row r="426" spans="1:24" ht="15" x14ac:dyDescent="0.3">
      <c r="A426" s="3">
        <v>10</v>
      </c>
      <c r="B426" s="3" t="s">
        <v>5827</v>
      </c>
      <c r="C426" s="14" t="s">
        <v>0</v>
      </c>
      <c r="D426" s="14" t="s">
        <v>635</v>
      </c>
      <c r="E426" s="14" t="s">
        <v>5828</v>
      </c>
      <c r="F426" s="14" t="s">
        <v>636</v>
      </c>
      <c r="G426" s="14" t="s">
        <v>121</v>
      </c>
      <c r="H426" s="14" t="s">
        <v>5829</v>
      </c>
      <c r="I426" s="14" t="s">
        <v>637</v>
      </c>
      <c r="J426" s="14" t="s">
        <v>60</v>
      </c>
      <c r="K426" s="14" t="s">
        <v>60</v>
      </c>
      <c r="L426" s="14" t="s">
        <v>590</v>
      </c>
      <c r="M426" s="14" t="s">
        <v>638</v>
      </c>
      <c r="N426" s="14" t="s">
        <v>639</v>
      </c>
      <c r="O426" s="14" t="s">
        <v>558</v>
      </c>
      <c r="P426" s="14" t="s">
        <v>5830</v>
      </c>
      <c r="Q426" s="14" t="s">
        <v>180</v>
      </c>
      <c r="R426" s="3" t="s">
        <v>4790</v>
      </c>
      <c r="S426" s="3">
        <f t="shared" si="20"/>
        <v>550</v>
      </c>
      <c r="T426" s="3">
        <f t="shared" si="21"/>
        <v>9900</v>
      </c>
      <c r="U426" s="3" t="s">
        <v>60</v>
      </c>
      <c r="V426" s="14" t="s">
        <v>6</v>
      </c>
      <c r="W426" s="14" t="s">
        <v>4287</v>
      </c>
      <c r="X426" s="14" t="s">
        <v>60</v>
      </c>
    </row>
    <row r="427" spans="1:24" ht="15" x14ac:dyDescent="0.3">
      <c r="A427" s="3">
        <v>11</v>
      </c>
      <c r="B427" s="3" t="s">
        <v>5831</v>
      </c>
      <c r="C427" s="14" t="s">
        <v>0</v>
      </c>
      <c r="D427" s="14" t="s">
        <v>648</v>
      </c>
      <c r="E427" s="14" t="s">
        <v>4205</v>
      </c>
      <c r="F427" s="14" t="s">
        <v>649</v>
      </c>
      <c r="G427" s="14" t="s">
        <v>3</v>
      </c>
      <c r="H427" s="14" t="s">
        <v>5832</v>
      </c>
      <c r="I427" s="14" t="s">
        <v>650</v>
      </c>
      <c r="J427" s="14" t="s">
        <v>60</v>
      </c>
      <c r="K427" s="14" t="s">
        <v>60</v>
      </c>
      <c r="L427" s="14" t="s">
        <v>60</v>
      </c>
      <c r="M427" s="14" t="s">
        <v>651</v>
      </c>
      <c r="N427" s="14" t="s">
        <v>60</v>
      </c>
      <c r="O427" s="14" t="s">
        <v>558</v>
      </c>
      <c r="P427" s="14" t="s">
        <v>5833</v>
      </c>
      <c r="Q427" s="14" t="s">
        <v>11</v>
      </c>
      <c r="R427" s="3" t="s">
        <v>4170</v>
      </c>
      <c r="S427" s="3">
        <f t="shared" si="20"/>
        <v>550</v>
      </c>
      <c r="T427" s="3">
        <f t="shared" si="21"/>
        <v>17050</v>
      </c>
      <c r="U427" s="3" t="s">
        <v>60</v>
      </c>
      <c r="V427" s="14" t="s">
        <v>6</v>
      </c>
      <c r="W427" s="14" t="s">
        <v>4287</v>
      </c>
      <c r="X427" s="14" t="s">
        <v>60</v>
      </c>
    </row>
    <row r="428" spans="1:24" ht="15" x14ac:dyDescent="0.3">
      <c r="A428" s="3">
        <v>12</v>
      </c>
      <c r="B428" s="3" t="s">
        <v>5834</v>
      </c>
      <c r="C428" s="14" t="s">
        <v>26</v>
      </c>
      <c r="D428" s="14" t="s">
        <v>3316</v>
      </c>
      <c r="E428" s="14" t="s">
        <v>5835</v>
      </c>
      <c r="F428" s="14" t="s">
        <v>3327</v>
      </c>
      <c r="G428" s="14" t="s">
        <v>3</v>
      </c>
      <c r="H428" s="14" t="s">
        <v>5836</v>
      </c>
      <c r="I428" s="14" t="s">
        <v>3378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3741</v>
      </c>
      <c r="Q428" s="14" t="s">
        <v>3335</v>
      </c>
      <c r="R428" s="3" t="s">
        <v>4170</v>
      </c>
      <c r="S428" s="3">
        <f t="shared" si="20"/>
        <v>770</v>
      </c>
      <c r="T428" s="3">
        <f t="shared" si="21"/>
        <v>23870</v>
      </c>
      <c r="U428" s="3" t="s">
        <v>5837</v>
      </c>
      <c r="V428" s="14" t="s">
        <v>4208</v>
      </c>
      <c r="W428" s="14" t="s">
        <v>5424</v>
      </c>
      <c r="X428" s="14" t="s">
        <v>60</v>
      </c>
    </row>
    <row r="429" spans="1:24" ht="15.6" x14ac:dyDescent="0.3">
      <c r="A429" s="26" t="s">
        <v>60</v>
      </c>
      <c r="B429" s="26" t="s">
        <v>60</v>
      </c>
      <c r="C429" s="27" t="s">
        <v>60</v>
      </c>
      <c r="D429" s="27" t="s">
        <v>60</v>
      </c>
      <c r="E429" s="27" t="s">
        <v>60</v>
      </c>
      <c r="F429" s="27" t="s">
        <v>60</v>
      </c>
      <c r="G429" s="27" t="s">
        <v>60</v>
      </c>
      <c r="H429" s="27" t="s">
        <v>60</v>
      </c>
      <c r="I429" s="27" t="s">
        <v>60</v>
      </c>
      <c r="J429" s="27" t="s">
        <v>60</v>
      </c>
      <c r="K429" s="27" t="s">
        <v>60</v>
      </c>
      <c r="L429" s="27" t="s">
        <v>60</v>
      </c>
      <c r="M429" s="27" t="s">
        <v>60</v>
      </c>
      <c r="N429" s="27" t="s">
        <v>60</v>
      </c>
      <c r="O429" s="27" t="s">
        <v>60</v>
      </c>
      <c r="P429" s="27" t="s">
        <v>60</v>
      </c>
      <c r="Q429" s="27" t="s">
        <v>60</v>
      </c>
      <c r="R429" s="35" t="s">
        <v>2009</v>
      </c>
      <c r="S429" s="35" t="s">
        <v>60</v>
      </c>
      <c r="T429" s="26">
        <f>SUM(T416:T428)</f>
        <v>188980</v>
      </c>
      <c r="U429" s="26" t="s">
        <v>5837</v>
      </c>
      <c r="V429" s="27" t="s">
        <v>60</v>
      </c>
      <c r="W429" s="27" t="s">
        <v>60</v>
      </c>
      <c r="X429" s="27" t="s">
        <v>60</v>
      </c>
    </row>
    <row r="430" spans="1:24" ht="15.6" x14ac:dyDescent="0.3">
      <c r="A430" s="34" t="s">
        <v>5838</v>
      </c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 spans="1:24" ht="109.2" x14ac:dyDescent="0.3">
      <c r="A431" s="23" t="s">
        <v>42</v>
      </c>
      <c r="B431" s="23" t="s">
        <v>43</v>
      </c>
      <c r="C431" s="24" t="s">
        <v>44</v>
      </c>
      <c r="D431" s="24" t="s">
        <v>4154</v>
      </c>
      <c r="E431" s="24" t="s">
        <v>4155</v>
      </c>
      <c r="F431" s="24" t="s">
        <v>4156</v>
      </c>
      <c r="G431" s="24" t="s">
        <v>45</v>
      </c>
      <c r="H431" s="24" t="s">
        <v>4157</v>
      </c>
      <c r="I431" s="24" t="s">
        <v>46</v>
      </c>
      <c r="J431" s="24" t="s">
        <v>4158</v>
      </c>
      <c r="K431" s="24" t="s">
        <v>4159</v>
      </c>
      <c r="L431" s="24" t="s">
        <v>4160</v>
      </c>
      <c r="M431" s="24" t="s">
        <v>4161</v>
      </c>
      <c r="N431" s="24" t="s">
        <v>47</v>
      </c>
      <c r="O431" s="24" t="s">
        <v>48</v>
      </c>
      <c r="P431" s="24" t="s">
        <v>49</v>
      </c>
      <c r="Q431" s="24" t="s">
        <v>50</v>
      </c>
      <c r="R431" s="23" t="s">
        <v>4162</v>
      </c>
      <c r="S431" s="23" t="s">
        <v>4163</v>
      </c>
      <c r="T431" s="23" t="s">
        <v>4164</v>
      </c>
      <c r="U431" s="23" t="s">
        <v>4165</v>
      </c>
      <c r="V431" s="24" t="s">
        <v>51</v>
      </c>
      <c r="W431" s="24" t="s">
        <v>52</v>
      </c>
      <c r="X431" s="24" t="s">
        <v>53</v>
      </c>
    </row>
    <row r="432" spans="1:24" ht="15" x14ac:dyDescent="0.3">
      <c r="A432" s="3">
        <v>1</v>
      </c>
      <c r="B432" s="3" t="s">
        <v>913</v>
      </c>
      <c r="C432" s="14" t="s">
        <v>69</v>
      </c>
      <c r="D432" s="14" t="s">
        <v>914</v>
      </c>
      <c r="E432" s="14" t="s">
        <v>5839</v>
      </c>
      <c r="F432" s="14" t="s">
        <v>915</v>
      </c>
      <c r="G432" s="14" t="s">
        <v>3</v>
      </c>
      <c r="H432" s="14" t="s">
        <v>5840</v>
      </c>
      <c r="I432" s="14" t="s">
        <v>5841</v>
      </c>
      <c r="J432" s="14" t="s">
        <v>228</v>
      </c>
      <c r="K432" s="14" t="s">
        <v>60</v>
      </c>
      <c r="L432" s="14" t="s">
        <v>60</v>
      </c>
      <c r="M432" s="14" t="s">
        <v>916</v>
      </c>
      <c r="N432" s="14" t="s">
        <v>60</v>
      </c>
      <c r="O432" s="14" t="s">
        <v>917</v>
      </c>
      <c r="P432" s="14" t="s">
        <v>5842</v>
      </c>
      <c r="Q432" s="14" t="s">
        <v>11</v>
      </c>
      <c r="R432" s="3" t="s">
        <v>4170</v>
      </c>
      <c r="S432" s="3">
        <f t="shared" ref="S432:S470" si="22">IF(RIGHT(C432,3)="MAZ",550,IF(RIGHT(C432,4)="MATE",570,IF(RIGHT(C432,7)="SKD-III",640,IF(RIGHT(C432,6)="SKD-II",770,IF(RIGHT(C432,5)="SKD-I",900,IF(RIGHT(C432,5)="CPDVR",770,""))))))</f>
        <v>570</v>
      </c>
      <c r="T432" s="3">
        <f t="shared" ref="T432:T470" si="23">R432*S432</f>
        <v>17670</v>
      </c>
      <c r="U432" s="3" t="s">
        <v>60</v>
      </c>
      <c r="V432" s="14" t="s">
        <v>6</v>
      </c>
      <c r="W432" s="14" t="s">
        <v>4287</v>
      </c>
      <c r="X432" s="14" t="s">
        <v>60</v>
      </c>
    </row>
    <row r="433" spans="1:24" ht="15" x14ac:dyDescent="0.3">
      <c r="A433" s="3">
        <v>2</v>
      </c>
      <c r="B433" s="3" t="s">
        <v>918</v>
      </c>
      <c r="C433" s="14" t="s">
        <v>390</v>
      </c>
      <c r="D433" s="14" t="s">
        <v>919</v>
      </c>
      <c r="E433" s="14" t="s">
        <v>5843</v>
      </c>
      <c r="F433" s="14" t="s">
        <v>920</v>
      </c>
      <c r="G433" s="14" t="s">
        <v>3</v>
      </c>
      <c r="H433" s="14" t="s">
        <v>921</v>
      </c>
      <c r="I433" s="14" t="s">
        <v>5844</v>
      </c>
      <c r="J433" s="14" t="s">
        <v>60</v>
      </c>
      <c r="K433" s="14" t="s">
        <v>60</v>
      </c>
      <c r="L433" s="14" t="s">
        <v>590</v>
      </c>
      <c r="M433" s="14" t="s">
        <v>922</v>
      </c>
      <c r="N433" s="14" t="s">
        <v>923</v>
      </c>
      <c r="O433" s="14" t="s">
        <v>60</v>
      </c>
      <c r="P433" s="14" t="s">
        <v>5845</v>
      </c>
      <c r="Q433" s="14" t="s">
        <v>185</v>
      </c>
      <c r="R433" s="3" t="s">
        <v>4170</v>
      </c>
      <c r="S433" s="3">
        <f t="shared" si="22"/>
        <v>770</v>
      </c>
      <c r="T433" s="3">
        <f t="shared" si="23"/>
        <v>23870</v>
      </c>
      <c r="U433" s="3" t="s">
        <v>60</v>
      </c>
      <c r="V433" s="14" t="s">
        <v>6</v>
      </c>
      <c r="W433" s="14" t="s">
        <v>4287</v>
      </c>
      <c r="X433" s="14" t="s">
        <v>60</v>
      </c>
    </row>
    <row r="434" spans="1:24" ht="15" x14ac:dyDescent="0.3">
      <c r="A434" s="3">
        <v>3</v>
      </c>
      <c r="B434" s="3" t="s">
        <v>924</v>
      </c>
      <c r="C434" s="14" t="s">
        <v>14</v>
      </c>
      <c r="D434" s="14" t="s">
        <v>925</v>
      </c>
      <c r="E434" s="14" t="s">
        <v>5846</v>
      </c>
      <c r="F434" s="14" t="s">
        <v>926</v>
      </c>
      <c r="G434" s="14" t="s">
        <v>121</v>
      </c>
      <c r="H434" s="14" t="s">
        <v>5847</v>
      </c>
      <c r="I434" s="14" t="s">
        <v>927</v>
      </c>
      <c r="J434" s="14" t="s">
        <v>60</v>
      </c>
      <c r="K434" s="14" t="s">
        <v>60</v>
      </c>
      <c r="L434" s="14" t="s">
        <v>590</v>
      </c>
      <c r="M434" s="14" t="s">
        <v>928</v>
      </c>
      <c r="N434" s="14" t="s">
        <v>60</v>
      </c>
      <c r="O434" s="14" t="s">
        <v>60</v>
      </c>
      <c r="P434" s="14" t="s">
        <v>5848</v>
      </c>
      <c r="Q434" s="14" t="s">
        <v>185</v>
      </c>
      <c r="R434" s="3" t="s">
        <v>4170</v>
      </c>
      <c r="S434" s="3">
        <f t="shared" si="22"/>
        <v>640</v>
      </c>
      <c r="T434" s="3">
        <f t="shared" si="23"/>
        <v>19840</v>
      </c>
      <c r="U434" s="3" t="s">
        <v>60</v>
      </c>
      <c r="V434" s="14" t="s">
        <v>6</v>
      </c>
      <c r="W434" s="14" t="s">
        <v>4287</v>
      </c>
      <c r="X434" s="14" t="s">
        <v>60</v>
      </c>
    </row>
    <row r="435" spans="1:24" ht="15" x14ac:dyDescent="0.3">
      <c r="A435" s="3">
        <v>4</v>
      </c>
      <c r="B435" s="3" t="s">
        <v>5849</v>
      </c>
      <c r="C435" s="14" t="s">
        <v>0</v>
      </c>
      <c r="D435" s="14" t="s">
        <v>929</v>
      </c>
      <c r="E435" s="14" t="s">
        <v>5850</v>
      </c>
      <c r="F435" s="14" t="s">
        <v>930</v>
      </c>
      <c r="G435" s="14" t="s">
        <v>3</v>
      </c>
      <c r="H435" s="14" t="s">
        <v>5851</v>
      </c>
      <c r="I435" s="14" t="s">
        <v>931</v>
      </c>
      <c r="J435" s="14" t="s">
        <v>228</v>
      </c>
      <c r="K435" s="14" t="s">
        <v>60</v>
      </c>
      <c r="L435" s="14" t="s">
        <v>60</v>
      </c>
      <c r="M435" s="14" t="s">
        <v>932</v>
      </c>
      <c r="N435" s="14" t="s">
        <v>60</v>
      </c>
      <c r="O435" s="14" t="s">
        <v>933</v>
      </c>
      <c r="P435" s="14" t="s">
        <v>5852</v>
      </c>
      <c r="Q435" s="14" t="s">
        <v>11</v>
      </c>
      <c r="R435" s="3" t="s">
        <v>4316</v>
      </c>
      <c r="S435" s="3">
        <f t="shared" si="22"/>
        <v>550</v>
      </c>
      <c r="T435" s="3">
        <f t="shared" si="23"/>
        <v>13750</v>
      </c>
      <c r="U435" s="3" t="s">
        <v>60</v>
      </c>
      <c r="V435" s="14" t="s">
        <v>6</v>
      </c>
      <c r="W435" s="14" t="s">
        <v>4287</v>
      </c>
      <c r="X435" s="14" t="s">
        <v>60</v>
      </c>
    </row>
    <row r="436" spans="1:24" ht="15" x14ac:dyDescent="0.3">
      <c r="A436" s="3">
        <v>5</v>
      </c>
      <c r="B436" s="3" t="s">
        <v>934</v>
      </c>
      <c r="C436" s="14" t="s">
        <v>0</v>
      </c>
      <c r="D436" s="14" t="s">
        <v>935</v>
      </c>
      <c r="E436" s="14" t="s">
        <v>4895</v>
      </c>
      <c r="F436" s="14" t="s">
        <v>936</v>
      </c>
      <c r="G436" s="14" t="s">
        <v>3</v>
      </c>
      <c r="H436" s="14" t="s">
        <v>5853</v>
      </c>
      <c r="I436" s="14" t="s">
        <v>937</v>
      </c>
      <c r="J436" s="14" t="s">
        <v>228</v>
      </c>
      <c r="K436" s="14" t="s">
        <v>60</v>
      </c>
      <c r="L436" s="14" t="s">
        <v>60</v>
      </c>
      <c r="M436" s="14" t="s">
        <v>60</v>
      </c>
      <c r="N436" s="14" t="s">
        <v>60</v>
      </c>
      <c r="O436" s="14" t="s">
        <v>193</v>
      </c>
      <c r="P436" s="14" t="s">
        <v>5854</v>
      </c>
      <c r="Q436" s="14" t="s">
        <v>11</v>
      </c>
      <c r="R436" s="3" t="s">
        <v>4170</v>
      </c>
      <c r="S436" s="3">
        <f t="shared" si="22"/>
        <v>550</v>
      </c>
      <c r="T436" s="3">
        <f t="shared" si="23"/>
        <v>17050</v>
      </c>
      <c r="U436" s="3" t="s">
        <v>60</v>
      </c>
      <c r="V436" s="14" t="s">
        <v>6</v>
      </c>
      <c r="W436" s="14" t="s">
        <v>4287</v>
      </c>
      <c r="X436" s="14" t="s">
        <v>60</v>
      </c>
    </row>
    <row r="437" spans="1:24" ht="15" x14ac:dyDescent="0.3">
      <c r="A437" s="3">
        <v>6</v>
      </c>
      <c r="B437" s="3" t="s">
        <v>5855</v>
      </c>
      <c r="C437" s="14" t="s">
        <v>0</v>
      </c>
      <c r="D437" s="14" t="s">
        <v>938</v>
      </c>
      <c r="E437" s="14" t="s">
        <v>5856</v>
      </c>
      <c r="F437" s="14" t="s">
        <v>939</v>
      </c>
      <c r="G437" s="14" t="s">
        <v>121</v>
      </c>
      <c r="H437" s="14" t="s">
        <v>5857</v>
      </c>
      <c r="I437" s="14" t="s">
        <v>5858</v>
      </c>
      <c r="J437" s="14" t="s">
        <v>228</v>
      </c>
      <c r="K437" s="14" t="s">
        <v>60</v>
      </c>
      <c r="L437" s="14" t="s">
        <v>940</v>
      </c>
      <c r="M437" s="14" t="s">
        <v>941</v>
      </c>
      <c r="N437" s="14" t="s">
        <v>942</v>
      </c>
      <c r="O437" s="14" t="s">
        <v>60</v>
      </c>
      <c r="P437" s="14" t="s">
        <v>5859</v>
      </c>
      <c r="Q437" s="14" t="s">
        <v>11</v>
      </c>
      <c r="R437" s="3" t="s">
        <v>4300</v>
      </c>
      <c r="S437" s="3">
        <f t="shared" si="22"/>
        <v>550</v>
      </c>
      <c r="T437" s="3">
        <f t="shared" si="23"/>
        <v>15950</v>
      </c>
      <c r="U437" s="3" t="s">
        <v>60</v>
      </c>
      <c r="V437" s="14" t="s">
        <v>6</v>
      </c>
      <c r="W437" s="14" t="s">
        <v>4287</v>
      </c>
      <c r="X437" s="14" t="s">
        <v>60</v>
      </c>
    </row>
    <row r="438" spans="1:24" ht="15" x14ac:dyDescent="0.3">
      <c r="A438" s="3">
        <v>7</v>
      </c>
      <c r="B438" s="3" t="s">
        <v>5860</v>
      </c>
      <c r="C438" s="14" t="s">
        <v>0</v>
      </c>
      <c r="D438" s="14" t="s">
        <v>943</v>
      </c>
      <c r="E438" s="14" t="s">
        <v>5861</v>
      </c>
      <c r="F438" s="14" t="s">
        <v>944</v>
      </c>
      <c r="G438" s="14" t="s">
        <v>3</v>
      </c>
      <c r="H438" s="14" t="s">
        <v>5862</v>
      </c>
      <c r="I438" s="14" t="s">
        <v>5863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5864</v>
      </c>
      <c r="P438" s="14" t="s">
        <v>5865</v>
      </c>
      <c r="Q438" s="14" t="s">
        <v>11</v>
      </c>
      <c r="R438" s="3" t="s">
        <v>4170</v>
      </c>
      <c r="S438" s="3">
        <f t="shared" si="22"/>
        <v>550</v>
      </c>
      <c r="T438" s="3">
        <f t="shared" si="23"/>
        <v>17050</v>
      </c>
      <c r="U438" s="3" t="s">
        <v>60</v>
      </c>
      <c r="V438" s="14" t="s">
        <v>6</v>
      </c>
      <c r="W438" s="14" t="s">
        <v>4287</v>
      </c>
      <c r="X438" s="14" t="s">
        <v>60</v>
      </c>
    </row>
    <row r="439" spans="1:24" ht="15" x14ac:dyDescent="0.3">
      <c r="A439" s="3">
        <v>8</v>
      </c>
      <c r="B439" s="3" t="s">
        <v>5866</v>
      </c>
      <c r="C439" s="14" t="s">
        <v>0</v>
      </c>
      <c r="D439" s="14" t="s">
        <v>945</v>
      </c>
      <c r="E439" s="14" t="s">
        <v>5867</v>
      </c>
      <c r="F439" s="14" t="s">
        <v>946</v>
      </c>
      <c r="G439" s="14" t="s">
        <v>3</v>
      </c>
      <c r="H439" s="14" t="s">
        <v>5868</v>
      </c>
      <c r="I439" s="14" t="s">
        <v>947</v>
      </c>
      <c r="J439" s="14" t="s">
        <v>60</v>
      </c>
      <c r="K439" s="14" t="s">
        <v>60</v>
      </c>
      <c r="L439" s="14" t="s">
        <v>60</v>
      </c>
      <c r="M439" s="14" t="s">
        <v>948</v>
      </c>
      <c r="N439" s="14" t="s">
        <v>60</v>
      </c>
      <c r="O439" s="14" t="s">
        <v>949</v>
      </c>
      <c r="P439" s="14" t="s">
        <v>5869</v>
      </c>
      <c r="Q439" s="14" t="s">
        <v>11</v>
      </c>
      <c r="R439" s="3" t="s">
        <v>5870</v>
      </c>
      <c r="S439" s="3">
        <f t="shared" si="22"/>
        <v>550</v>
      </c>
      <c r="T439" s="3">
        <f t="shared" si="23"/>
        <v>13200</v>
      </c>
      <c r="U439" s="3" t="s">
        <v>60</v>
      </c>
      <c r="V439" s="14" t="s">
        <v>6</v>
      </c>
      <c r="W439" s="14" t="s">
        <v>4287</v>
      </c>
      <c r="X439" s="14" t="s">
        <v>60</v>
      </c>
    </row>
    <row r="440" spans="1:24" ht="15" x14ac:dyDescent="0.3">
      <c r="A440" s="3">
        <v>9</v>
      </c>
      <c r="B440" s="3" t="s">
        <v>5871</v>
      </c>
      <c r="C440" s="14" t="s">
        <v>0</v>
      </c>
      <c r="D440" s="14" t="s">
        <v>950</v>
      </c>
      <c r="E440" s="14" t="s">
        <v>5872</v>
      </c>
      <c r="F440" s="14" t="s">
        <v>951</v>
      </c>
      <c r="G440" s="14" t="s">
        <v>3</v>
      </c>
      <c r="H440" s="14" t="s">
        <v>5873</v>
      </c>
      <c r="I440" s="14" t="s">
        <v>5874</v>
      </c>
      <c r="J440" s="14" t="s">
        <v>228</v>
      </c>
      <c r="K440" s="14" t="s">
        <v>60</v>
      </c>
      <c r="L440" s="14" t="s">
        <v>590</v>
      </c>
      <c r="M440" s="14" t="s">
        <v>952</v>
      </c>
      <c r="N440" s="14" t="s">
        <v>60</v>
      </c>
      <c r="O440" s="14" t="s">
        <v>60</v>
      </c>
      <c r="P440" s="14" t="s">
        <v>5875</v>
      </c>
      <c r="Q440" s="14" t="s">
        <v>11</v>
      </c>
      <c r="R440" s="3" t="s">
        <v>4170</v>
      </c>
      <c r="S440" s="3">
        <f t="shared" si="22"/>
        <v>550</v>
      </c>
      <c r="T440" s="3">
        <f t="shared" si="23"/>
        <v>17050</v>
      </c>
      <c r="U440" s="3" t="s">
        <v>60</v>
      </c>
      <c r="V440" s="14" t="s">
        <v>6</v>
      </c>
      <c r="W440" s="14" t="s">
        <v>4287</v>
      </c>
      <c r="X440" s="14" t="s">
        <v>60</v>
      </c>
    </row>
    <row r="441" spans="1:24" ht="15" x14ac:dyDescent="0.3">
      <c r="A441" s="3">
        <v>10</v>
      </c>
      <c r="B441" s="3" t="s">
        <v>5876</v>
      </c>
      <c r="C441" s="14" t="s">
        <v>0</v>
      </c>
      <c r="D441" s="14" t="s">
        <v>953</v>
      </c>
      <c r="E441" s="14" t="s">
        <v>5877</v>
      </c>
      <c r="F441" s="14" t="s">
        <v>954</v>
      </c>
      <c r="G441" s="14" t="s">
        <v>3</v>
      </c>
      <c r="H441" s="14" t="s">
        <v>5878</v>
      </c>
      <c r="I441" s="14" t="s">
        <v>955</v>
      </c>
      <c r="J441" s="14" t="s">
        <v>60</v>
      </c>
      <c r="K441" s="14" t="s">
        <v>60</v>
      </c>
      <c r="L441" s="14" t="s">
        <v>60</v>
      </c>
      <c r="M441" s="14" t="s">
        <v>60</v>
      </c>
      <c r="N441" s="14" t="s">
        <v>60</v>
      </c>
      <c r="O441" s="14" t="s">
        <v>60</v>
      </c>
      <c r="P441" s="14" t="s">
        <v>5879</v>
      </c>
      <c r="Q441" s="14" t="s">
        <v>11</v>
      </c>
      <c r="R441" s="3" t="s">
        <v>4300</v>
      </c>
      <c r="S441" s="3">
        <f t="shared" si="22"/>
        <v>550</v>
      </c>
      <c r="T441" s="3">
        <f t="shared" si="23"/>
        <v>15950</v>
      </c>
      <c r="U441" s="3" t="s">
        <v>60</v>
      </c>
      <c r="V441" s="14" t="s">
        <v>6</v>
      </c>
      <c r="W441" s="14" t="s">
        <v>4287</v>
      </c>
      <c r="X441" s="14" t="s">
        <v>60</v>
      </c>
    </row>
    <row r="442" spans="1:24" ht="15" x14ac:dyDescent="0.3">
      <c r="A442" s="3">
        <v>11</v>
      </c>
      <c r="B442" s="3" t="s">
        <v>5880</v>
      </c>
      <c r="C442" s="14" t="s">
        <v>0</v>
      </c>
      <c r="D442" s="14" t="s">
        <v>956</v>
      </c>
      <c r="E442" s="14" t="s">
        <v>957</v>
      </c>
      <c r="F442" s="14" t="s">
        <v>958</v>
      </c>
      <c r="G442" s="14" t="s">
        <v>3</v>
      </c>
      <c r="H442" s="14" t="s">
        <v>5881</v>
      </c>
      <c r="I442" s="14" t="s">
        <v>959</v>
      </c>
      <c r="J442" s="14" t="s">
        <v>60</v>
      </c>
      <c r="K442" s="14" t="s">
        <v>60</v>
      </c>
      <c r="L442" s="14" t="s">
        <v>60</v>
      </c>
      <c r="M442" s="14" t="s">
        <v>960</v>
      </c>
      <c r="N442" s="14" t="s">
        <v>60</v>
      </c>
      <c r="O442" s="14" t="s">
        <v>961</v>
      </c>
      <c r="P442" s="14" t="s">
        <v>5882</v>
      </c>
      <c r="Q442" s="14" t="s">
        <v>11</v>
      </c>
      <c r="R442" s="3" t="s">
        <v>5244</v>
      </c>
      <c r="S442" s="3">
        <f t="shared" si="22"/>
        <v>550</v>
      </c>
      <c r="T442" s="3">
        <f t="shared" si="23"/>
        <v>14850</v>
      </c>
      <c r="U442" s="3" t="s">
        <v>60</v>
      </c>
      <c r="V442" s="14" t="s">
        <v>6</v>
      </c>
      <c r="W442" s="14" t="s">
        <v>4265</v>
      </c>
      <c r="X442" s="14" t="s">
        <v>60</v>
      </c>
    </row>
    <row r="443" spans="1:24" ht="15" x14ac:dyDescent="0.3">
      <c r="A443" s="3">
        <v>12</v>
      </c>
      <c r="B443" s="3" t="s">
        <v>5883</v>
      </c>
      <c r="C443" s="14" t="s">
        <v>0</v>
      </c>
      <c r="D443" s="14" t="s">
        <v>962</v>
      </c>
      <c r="E443" s="14" t="s">
        <v>963</v>
      </c>
      <c r="F443" s="14" t="s">
        <v>721</v>
      </c>
      <c r="G443" s="14" t="s">
        <v>3</v>
      </c>
      <c r="H443" s="14" t="s">
        <v>5884</v>
      </c>
      <c r="I443" s="14" t="s">
        <v>964</v>
      </c>
      <c r="J443" s="14" t="s">
        <v>60</v>
      </c>
      <c r="K443" s="14" t="s">
        <v>60</v>
      </c>
      <c r="L443" s="14" t="s">
        <v>60</v>
      </c>
      <c r="M443" s="14" t="s">
        <v>60</v>
      </c>
      <c r="N443" s="14" t="s">
        <v>60</v>
      </c>
      <c r="O443" s="14" t="s">
        <v>961</v>
      </c>
      <c r="P443" s="14" t="s">
        <v>5885</v>
      </c>
      <c r="Q443" s="14" t="s">
        <v>11</v>
      </c>
      <c r="R443" s="3" t="s">
        <v>4300</v>
      </c>
      <c r="S443" s="3">
        <f t="shared" si="22"/>
        <v>550</v>
      </c>
      <c r="T443" s="3">
        <f t="shared" si="23"/>
        <v>15950</v>
      </c>
      <c r="U443" s="3" t="s">
        <v>60</v>
      </c>
      <c r="V443" s="14" t="s">
        <v>6</v>
      </c>
      <c r="W443" s="14" t="s">
        <v>5886</v>
      </c>
      <c r="X443" s="14" t="s">
        <v>60</v>
      </c>
    </row>
    <row r="444" spans="1:24" ht="15" x14ac:dyDescent="0.3">
      <c r="A444" s="3">
        <v>13</v>
      </c>
      <c r="B444" s="3" t="s">
        <v>965</v>
      </c>
      <c r="C444" s="14" t="s">
        <v>0</v>
      </c>
      <c r="D444" s="14" t="s">
        <v>966</v>
      </c>
      <c r="E444" s="14" t="s">
        <v>5887</v>
      </c>
      <c r="F444" s="14" t="s">
        <v>967</v>
      </c>
      <c r="G444" s="14" t="s">
        <v>3</v>
      </c>
      <c r="H444" s="14" t="s">
        <v>5888</v>
      </c>
      <c r="I444" s="14" t="s">
        <v>968</v>
      </c>
      <c r="J444" s="14" t="s">
        <v>60</v>
      </c>
      <c r="K444" s="14" t="s">
        <v>60</v>
      </c>
      <c r="L444" s="14" t="s">
        <v>590</v>
      </c>
      <c r="M444" s="14" t="s">
        <v>969</v>
      </c>
      <c r="N444" s="14" t="s">
        <v>60</v>
      </c>
      <c r="O444" s="14" t="s">
        <v>193</v>
      </c>
      <c r="P444" s="14" t="s">
        <v>5889</v>
      </c>
      <c r="Q444" s="14" t="s">
        <v>185</v>
      </c>
      <c r="R444" s="3" t="s">
        <v>4170</v>
      </c>
      <c r="S444" s="3">
        <f t="shared" si="22"/>
        <v>550</v>
      </c>
      <c r="T444" s="3">
        <f t="shared" si="23"/>
        <v>17050</v>
      </c>
      <c r="U444" s="3" t="s">
        <v>60</v>
      </c>
      <c r="V444" s="14" t="s">
        <v>6</v>
      </c>
      <c r="W444" s="14" t="s">
        <v>4287</v>
      </c>
      <c r="X444" s="14" t="s">
        <v>60</v>
      </c>
    </row>
    <row r="445" spans="1:24" ht="15" x14ac:dyDescent="0.3">
      <c r="A445" s="3">
        <v>14</v>
      </c>
      <c r="B445" s="3" t="s">
        <v>5890</v>
      </c>
      <c r="C445" s="14" t="s">
        <v>0</v>
      </c>
      <c r="D445" s="14" t="s">
        <v>970</v>
      </c>
      <c r="E445" s="14" t="s">
        <v>5891</v>
      </c>
      <c r="F445" s="14" t="s">
        <v>971</v>
      </c>
      <c r="G445" s="14" t="s">
        <v>121</v>
      </c>
      <c r="H445" s="14" t="s">
        <v>5892</v>
      </c>
      <c r="I445" s="14" t="s">
        <v>972</v>
      </c>
      <c r="J445" s="14" t="s">
        <v>228</v>
      </c>
      <c r="K445" s="14" t="s">
        <v>60</v>
      </c>
      <c r="L445" s="14" t="s">
        <v>60</v>
      </c>
      <c r="M445" s="14" t="s">
        <v>973</v>
      </c>
      <c r="N445" s="14" t="s">
        <v>60</v>
      </c>
      <c r="O445" s="14" t="s">
        <v>193</v>
      </c>
      <c r="P445" s="14" t="s">
        <v>5893</v>
      </c>
      <c r="Q445" s="14" t="s">
        <v>11</v>
      </c>
      <c r="R445" s="3" t="s">
        <v>4300</v>
      </c>
      <c r="S445" s="3">
        <f t="shared" si="22"/>
        <v>550</v>
      </c>
      <c r="T445" s="3">
        <f t="shared" si="23"/>
        <v>15950</v>
      </c>
      <c r="U445" s="3" t="s">
        <v>60</v>
      </c>
      <c r="V445" s="14" t="s">
        <v>6</v>
      </c>
      <c r="W445" s="14" t="s">
        <v>4287</v>
      </c>
      <c r="X445" s="14" t="s">
        <v>60</v>
      </c>
    </row>
    <row r="446" spans="1:24" ht="15" x14ac:dyDescent="0.3">
      <c r="A446" s="3">
        <v>15</v>
      </c>
      <c r="B446" s="3" t="s">
        <v>5894</v>
      </c>
      <c r="C446" s="14" t="s">
        <v>0</v>
      </c>
      <c r="D446" s="14" t="s">
        <v>974</v>
      </c>
      <c r="E446" s="14" t="s">
        <v>5887</v>
      </c>
      <c r="F446" s="14" t="s">
        <v>975</v>
      </c>
      <c r="G446" s="14" t="s">
        <v>121</v>
      </c>
      <c r="H446" s="14" t="s">
        <v>5895</v>
      </c>
      <c r="I446" s="14" t="s">
        <v>976</v>
      </c>
      <c r="J446" s="14" t="s">
        <v>60</v>
      </c>
      <c r="K446" s="14" t="s">
        <v>60</v>
      </c>
      <c r="L446" s="14" t="s">
        <v>590</v>
      </c>
      <c r="M446" s="14" t="s">
        <v>60</v>
      </c>
      <c r="N446" s="14" t="s">
        <v>977</v>
      </c>
      <c r="O446" s="14" t="s">
        <v>60</v>
      </c>
      <c r="P446" s="14" t="s">
        <v>5896</v>
      </c>
      <c r="Q446" s="14" t="s">
        <v>11</v>
      </c>
      <c r="R446" s="3" t="s">
        <v>4170</v>
      </c>
      <c r="S446" s="3">
        <f t="shared" si="22"/>
        <v>550</v>
      </c>
      <c r="T446" s="3">
        <f t="shared" si="23"/>
        <v>17050</v>
      </c>
      <c r="U446" s="3" t="s">
        <v>60</v>
      </c>
      <c r="V446" s="14" t="s">
        <v>6</v>
      </c>
      <c r="W446" s="14" t="s">
        <v>4287</v>
      </c>
      <c r="X446" s="14" t="s">
        <v>60</v>
      </c>
    </row>
    <row r="447" spans="1:24" ht="15" x14ac:dyDescent="0.3">
      <c r="A447" s="3">
        <v>16</v>
      </c>
      <c r="B447" s="3" t="s">
        <v>5897</v>
      </c>
      <c r="C447" s="14" t="s">
        <v>0</v>
      </c>
      <c r="D447" s="14" t="s">
        <v>978</v>
      </c>
      <c r="E447" s="14" t="s">
        <v>979</v>
      </c>
      <c r="F447" s="14" t="s">
        <v>980</v>
      </c>
      <c r="G447" s="14" t="s">
        <v>3</v>
      </c>
      <c r="H447" s="14" t="s">
        <v>5898</v>
      </c>
      <c r="I447" s="14" t="s">
        <v>5899</v>
      </c>
      <c r="J447" s="14" t="s">
        <v>228</v>
      </c>
      <c r="K447" s="14" t="s">
        <v>60</v>
      </c>
      <c r="L447" s="14" t="s">
        <v>981</v>
      </c>
      <c r="M447" s="14" t="s">
        <v>982</v>
      </c>
      <c r="N447" s="14" t="s">
        <v>60</v>
      </c>
      <c r="O447" s="14" t="s">
        <v>60</v>
      </c>
      <c r="P447" s="14" t="s">
        <v>5900</v>
      </c>
      <c r="Q447" s="14" t="s">
        <v>11</v>
      </c>
      <c r="R447" s="3" t="s">
        <v>5870</v>
      </c>
      <c r="S447" s="3">
        <f t="shared" si="22"/>
        <v>550</v>
      </c>
      <c r="T447" s="3">
        <f t="shared" si="23"/>
        <v>13200</v>
      </c>
      <c r="U447" s="3" t="s">
        <v>60</v>
      </c>
      <c r="V447" s="14" t="s">
        <v>6</v>
      </c>
      <c r="W447" s="14" t="s">
        <v>4287</v>
      </c>
      <c r="X447" s="14" t="s">
        <v>60</v>
      </c>
    </row>
    <row r="448" spans="1:24" ht="15" x14ac:dyDescent="0.3">
      <c r="A448" s="3">
        <v>17</v>
      </c>
      <c r="B448" s="3" t="s">
        <v>5901</v>
      </c>
      <c r="C448" s="14" t="s">
        <v>0</v>
      </c>
      <c r="D448" s="14" t="s">
        <v>983</v>
      </c>
      <c r="E448" s="14" t="s">
        <v>984</v>
      </c>
      <c r="F448" s="14" t="s">
        <v>985</v>
      </c>
      <c r="G448" s="14" t="s">
        <v>3</v>
      </c>
      <c r="H448" s="14" t="s">
        <v>5902</v>
      </c>
      <c r="I448" s="14" t="s">
        <v>5903</v>
      </c>
      <c r="J448" s="14" t="s">
        <v>228</v>
      </c>
      <c r="K448" s="14" t="s">
        <v>60</v>
      </c>
      <c r="L448" s="14" t="s">
        <v>590</v>
      </c>
      <c r="M448" s="14" t="s">
        <v>60</v>
      </c>
      <c r="N448" s="14" t="s">
        <v>60</v>
      </c>
      <c r="O448" s="14" t="s">
        <v>60</v>
      </c>
      <c r="P448" s="14" t="s">
        <v>5904</v>
      </c>
      <c r="Q448" s="14" t="s">
        <v>11</v>
      </c>
      <c r="R448" s="3" t="s">
        <v>4300</v>
      </c>
      <c r="S448" s="3">
        <f t="shared" si="22"/>
        <v>550</v>
      </c>
      <c r="T448" s="3">
        <f t="shared" si="23"/>
        <v>15950</v>
      </c>
      <c r="U448" s="3" t="s">
        <v>60</v>
      </c>
      <c r="V448" s="14" t="s">
        <v>6</v>
      </c>
      <c r="W448" s="14" t="s">
        <v>4287</v>
      </c>
      <c r="X448" s="14" t="s">
        <v>60</v>
      </c>
    </row>
    <row r="449" spans="1:24" ht="15" x14ac:dyDescent="0.3">
      <c r="A449" s="3">
        <v>18</v>
      </c>
      <c r="B449" s="3" t="s">
        <v>5905</v>
      </c>
      <c r="C449" s="14" t="s">
        <v>0</v>
      </c>
      <c r="D449" s="14" t="s">
        <v>986</v>
      </c>
      <c r="E449" s="14" t="s">
        <v>5906</v>
      </c>
      <c r="F449" s="14" t="s">
        <v>987</v>
      </c>
      <c r="G449" s="14" t="s">
        <v>3</v>
      </c>
      <c r="H449" s="14" t="s">
        <v>5907</v>
      </c>
      <c r="I449" s="14" t="s">
        <v>988</v>
      </c>
      <c r="J449" s="14" t="s">
        <v>228</v>
      </c>
      <c r="K449" s="14" t="s">
        <v>60</v>
      </c>
      <c r="L449" s="14" t="s">
        <v>590</v>
      </c>
      <c r="M449" s="14" t="s">
        <v>989</v>
      </c>
      <c r="N449" s="14" t="s">
        <v>60</v>
      </c>
      <c r="O449" s="14" t="s">
        <v>193</v>
      </c>
      <c r="P449" s="14" t="s">
        <v>5908</v>
      </c>
      <c r="Q449" s="14" t="s">
        <v>11</v>
      </c>
      <c r="R449" s="3" t="s">
        <v>4170</v>
      </c>
      <c r="S449" s="3">
        <f t="shared" si="22"/>
        <v>550</v>
      </c>
      <c r="T449" s="3">
        <f t="shared" si="23"/>
        <v>17050</v>
      </c>
      <c r="U449" s="3" t="s">
        <v>60</v>
      </c>
      <c r="V449" s="14" t="s">
        <v>6</v>
      </c>
      <c r="W449" s="14" t="s">
        <v>4287</v>
      </c>
      <c r="X449" s="14" t="s">
        <v>60</v>
      </c>
    </row>
    <row r="450" spans="1:24" ht="15" x14ac:dyDescent="0.3">
      <c r="A450" s="3">
        <v>19</v>
      </c>
      <c r="B450" s="3" t="s">
        <v>5909</v>
      </c>
      <c r="C450" s="14" t="s">
        <v>0</v>
      </c>
      <c r="D450" s="14" t="s">
        <v>990</v>
      </c>
      <c r="E450" s="14" t="s">
        <v>991</v>
      </c>
      <c r="F450" s="14" t="s">
        <v>992</v>
      </c>
      <c r="G450" s="14" t="s">
        <v>3</v>
      </c>
      <c r="H450" s="14" t="s">
        <v>5910</v>
      </c>
      <c r="I450" s="14" t="s">
        <v>993</v>
      </c>
      <c r="J450" s="14" t="s">
        <v>60</v>
      </c>
      <c r="K450" s="14" t="s">
        <v>60</v>
      </c>
      <c r="L450" s="14" t="s">
        <v>60</v>
      </c>
      <c r="M450" s="14" t="s">
        <v>994</v>
      </c>
      <c r="N450" s="14" t="s">
        <v>60</v>
      </c>
      <c r="O450" s="14" t="s">
        <v>339</v>
      </c>
      <c r="P450" s="14" t="s">
        <v>5911</v>
      </c>
      <c r="Q450" s="14" t="s">
        <v>11</v>
      </c>
      <c r="R450" s="3" t="s">
        <v>5870</v>
      </c>
      <c r="S450" s="3">
        <f t="shared" si="22"/>
        <v>550</v>
      </c>
      <c r="T450" s="3">
        <f t="shared" si="23"/>
        <v>13200</v>
      </c>
      <c r="U450" s="3" t="s">
        <v>60</v>
      </c>
      <c r="V450" s="14" t="s">
        <v>6</v>
      </c>
      <c r="W450" s="14" t="s">
        <v>5912</v>
      </c>
      <c r="X450" s="14" t="s">
        <v>60</v>
      </c>
    </row>
    <row r="451" spans="1:24" ht="15" x14ac:dyDescent="0.3">
      <c r="A451" s="3">
        <v>20</v>
      </c>
      <c r="B451" s="3" t="s">
        <v>5913</v>
      </c>
      <c r="C451" s="14" t="s">
        <v>0</v>
      </c>
      <c r="D451" s="14" t="s">
        <v>995</v>
      </c>
      <c r="E451" s="14" t="s">
        <v>996</v>
      </c>
      <c r="F451" s="14" t="s">
        <v>997</v>
      </c>
      <c r="G451" s="14" t="s">
        <v>3</v>
      </c>
      <c r="H451" s="14" t="s">
        <v>5914</v>
      </c>
      <c r="I451" s="14" t="s">
        <v>998</v>
      </c>
      <c r="J451" s="14" t="s">
        <v>60</v>
      </c>
      <c r="K451" s="14" t="s">
        <v>60</v>
      </c>
      <c r="L451" s="14" t="s">
        <v>60</v>
      </c>
      <c r="M451" s="14" t="s">
        <v>999</v>
      </c>
      <c r="N451" s="14" t="s">
        <v>60</v>
      </c>
      <c r="O451" s="14" t="s">
        <v>339</v>
      </c>
      <c r="P451" s="14" t="s">
        <v>5915</v>
      </c>
      <c r="Q451" s="14" t="s">
        <v>180</v>
      </c>
      <c r="R451" s="3" t="s">
        <v>4516</v>
      </c>
      <c r="S451" s="3">
        <f t="shared" si="22"/>
        <v>550</v>
      </c>
      <c r="T451" s="3">
        <f t="shared" si="23"/>
        <v>12650</v>
      </c>
      <c r="U451" s="3" t="s">
        <v>5916</v>
      </c>
      <c r="V451" s="14" t="s">
        <v>6</v>
      </c>
      <c r="W451" s="14" t="s">
        <v>5912</v>
      </c>
      <c r="X451" s="14" t="s">
        <v>60</v>
      </c>
    </row>
    <row r="452" spans="1:24" ht="15" x14ac:dyDescent="0.3">
      <c r="A452" s="3">
        <v>21</v>
      </c>
      <c r="B452" s="3" t="s">
        <v>5917</v>
      </c>
      <c r="C452" s="14" t="s">
        <v>0</v>
      </c>
      <c r="D452" s="14" t="s">
        <v>1000</v>
      </c>
      <c r="E452" s="14" t="s">
        <v>5918</v>
      </c>
      <c r="F452" s="14" t="s">
        <v>987</v>
      </c>
      <c r="G452" s="14" t="s">
        <v>3</v>
      </c>
      <c r="H452" s="14" t="s">
        <v>5919</v>
      </c>
      <c r="I452" s="14" t="s">
        <v>5920</v>
      </c>
      <c r="J452" s="14" t="s">
        <v>228</v>
      </c>
      <c r="K452" s="14" t="s">
        <v>60</v>
      </c>
      <c r="L452" s="14" t="s">
        <v>590</v>
      </c>
      <c r="M452" s="14" t="s">
        <v>1001</v>
      </c>
      <c r="N452" s="14" t="s">
        <v>60</v>
      </c>
      <c r="O452" s="14" t="s">
        <v>60</v>
      </c>
      <c r="P452" s="14" t="s">
        <v>5921</v>
      </c>
      <c r="Q452" s="14" t="s">
        <v>11</v>
      </c>
      <c r="R452" s="3" t="s">
        <v>5244</v>
      </c>
      <c r="S452" s="3">
        <f t="shared" si="22"/>
        <v>550</v>
      </c>
      <c r="T452" s="3">
        <f t="shared" si="23"/>
        <v>14850</v>
      </c>
      <c r="U452" s="3" t="s">
        <v>60</v>
      </c>
      <c r="V452" s="14" t="s">
        <v>6</v>
      </c>
      <c r="W452" s="14" t="s">
        <v>4287</v>
      </c>
      <c r="X452" s="14" t="s">
        <v>60</v>
      </c>
    </row>
    <row r="453" spans="1:24" ht="15" x14ac:dyDescent="0.3">
      <c r="A453" s="3">
        <v>22</v>
      </c>
      <c r="B453" s="3" t="s">
        <v>5922</v>
      </c>
      <c r="C453" s="14" t="s">
        <v>0</v>
      </c>
      <c r="D453" s="14" t="s">
        <v>1002</v>
      </c>
      <c r="E453" s="14" t="s">
        <v>5923</v>
      </c>
      <c r="F453" s="14" t="s">
        <v>1003</v>
      </c>
      <c r="G453" s="14" t="s">
        <v>3</v>
      </c>
      <c r="H453" s="14" t="s">
        <v>5924</v>
      </c>
      <c r="I453" s="14" t="s">
        <v>1004</v>
      </c>
      <c r="J453" s="14" t="s">
        <v>228</v>
      </c>
      <c r="K453" s="14" t="s">
        <v>60</v>
      </c>
      <c r="L453" s="14" t="s">
        <v>60</v>
      </c>
      <c r="M453" s="14" t="s">
        <v>1005</v>
      </c>
      <c r="N453" s="14" t="s">
        <v>60</v>
      </c>
      <c r="O453" s="14" t="s">
        <v>193</v>
      </c>
      <c r="P453" s="14" t="s">
        <v>5925</v>
      </c>
      <c r="Q453" s="14" t="s">
        <v>11</v>
      </c>
      <c r="R453" s="3" t="s">
        <v>4170</v>
      </c>
      <c r="S453" s="3">
        <f t="shared" si="22"/>
        <v>550</v>
      </c>
      <c r="T453" s="3">
        <f t="shared" si="23"/>
        <v>17050</v>
      </c>
      <c r="U453" s="3" t="s">
        <v>60</v>
      </c>
      <c r="V453" s="14" t="s">
        <v>6</v>
      </c>
      <c r="W453" s="14" t="s">
        <v>4287</v>
      </c>
      <c r="X453" s="14" t="s">
        <v>60</v>
      </c>
    </row>
    <row r="454" spans="1:24" ht="15" x14ac:dyDescent="0.3">
      <c r="A454" s="3">
        <v>23</v>
      </c>
      <c r="B454" s="3" t="s">
        <v>5926</v>
      </c>
      <c r="C454" s="14" t="s">
        <v>0</v>
      </c>
      <c r="D454" s="14" t="s">
        <v>1006</v>
      </c>
      <c r="E454" s="14" t="s">
        <v>5927</v>
      </c>
      <c r="F454" s="14" t="s">
        <v>1007</v>
      </c>
      <c r="G454" s="14" t="s">
        <v>3</v>
      </c>
      <c r="H454" s="14" t="s">
        <v>5928</v>
      </c>
      <c r="I454" s="14" t="s">
        <v>1008</v>
      </c>
      <c r="J454" s="14" t="s">
        <v>60</v>
      </c>
      <c r="K454" s="14" t="s">
        <v>60</v>
      </c>
      <c r="L454" s="14" t="s">
        <v>60</v>
      </c>
      <c r="M454" s="14" t="s">
        <v>60</v>
      </c>
      <c r="N454" s="14" t="s">
        <v>60</v>
      </c>
      <c r="O454" s="14" t="s">
        <v>193</v>
      </c>
      <c r="P454" s="14" t="s">
        <v>5929</v>
      </c>
      <c r="Q454" s="14" t="s">
        <v>11</v>
      </c>
      <c r="R454" s="3" t="s">
        <v>4170</v>
      </c>
      <c r="S454" s="3">
        <f t="shared" si="22"/>
        <v>550</v>
      </c>
      <c r="T454" s="3">
        <f t="shared" si="23"/>
        <v>17050</v>
      </c>
      <c r="U454" s="3" t="s">
        <v>60</v>
      </c>
      <c r="V454" s="14" t="s">
        <v>6</v>
      </c>
      <c r="W454" s="14" t="s">
        <v>4287</v>
      </c>
      <c r="X454" s="14" t="s">
        <v>60</v>
      </c>
    </row>
    <row r="455" spans="1:24" ht="15" x14ac:dyDescent="0.3">
      <c r="A455" s="3">
        <v>24</v>
      </c>
      <c r="B455" s="3" t="s">
        <v>5930</v>
      </c>
      <c r="C455" s="14" t="s">
        <v>0</v>
      </c>
      <c r="D455" s="14" t="s">
        <v>1009</v>
      </c>
      <c r="E455" s="14" t="s">
        <v>5931</v>
      </c>
      <c r="F455" s="14" t="s">
        <v>1010</v>
      </c>
      <c r="G455" s="14" t="s">
        <v>3</v>
      </c>
      <c r="H455" s="14" t="s">
        <v>5932</v>
      </c>
      <c r="I455" s="14" t="s">
        <v>5933</v>
      </c>
      <c r="J455" s="14" t="s">
        <v>228</v>
      </c>
      <c r="K455" s="14" t="s">
        <v>60</v>
      </c>
      <c r="L455" s="14" t="s">
        <v>60</v>
      </c>
      <c r="M455" s="14" t="s">
        <v>1011</v>
      </c>
      <c r="N455" s="14" t="s">
        <v>60</v>
      </c>
      <c r="O455" s="14" t="s">
        <v>179</v>
      </c>
      <c r="P455" s="14" t="s">
        <v>5934</v>
      </c>
      <c r="Q455" s="14" t="s">
        <v>11</v>
      </c>
      <c r="R455" s="3" t="s">
        <v>4170</v>
      </c>
      <c r="S455" s="3">
        <f t="shared" si="22"/>
        <v>550</v>
      </c>
      <c r="T455" s="3">
        <f t="shared" si="23"/>
        <v>17050</v>
      </c>
      <c r="U455" s="3" t="s">
        <v>60</v>
      </c>
      <c r="V455" s="14" t="s">
        <v>6</v>
      </c>
      <c r="W455" s="14" t="s">
        <v>4287</v>
      </c>
      <c r="X455" s="14" t="s">
        <v>60</v>
      </c>
    </row>
    <row r="456" spans="1:24" ht="15" x14ac:dyDescent="0.3">
      <c r="A456" s="3">
        <v>25</v>
      </c>
      <c r="B456" s="3" t="s">
        <v>5935</v>
      </c>
      <c r="C456" s="14" t="s">
        <v>0</v>
      </c>
      <c r="D456" s="14" t="s">
        <v>1012</v>
      </c>
      <c r="E456" s="14" t="s">
        <v>5936</v>
      </c>
      <c r="F456" s="14" t="s">
        <v>1013</v>
      </c>
      <c r="G456" s="14" t="s">
        <v>121</v>
      </c>
      <c r="H456" s="14" t="s">
        <v>5937</v>
      </c>
      <c r="I456" s="14" t="s">
        <v>1014</v>
      </c>
      <c r="J456" s="14" t="s">
        <v>60</v>
      </c>
      <c r="K456" s="14" t="s">
        <v>60</v>
      </c>
      <c r="L456" s="14" t="s">
        <v>60</v>
      </c>
      <c r="M456" s="14" t="s">
        <v>1015</v>
      </c>
      <c r="N456" s="14" t="s">
        <v>60</v>
      </c>
      <c r="O456" s="14" t="s">
        <v>114</v>
      </c>
      <c r="P456" s="14" t="s">
        <v>5938</v>
      </c>
      <c r="Q456" s="14" t="s">
        <v>11</v>
      </c>
      <c r="R456" s="3" t="s">
        <v>4170</v>
      </c>
      <c r="S456" s="3">
        <f t="shared" si="22"/>
        <v>550</v>
      </c>
      <c r="T456" s="3">
        <f t="shared" si="23"/>
        <v>17050</v>
      </c>
      <c r="U456" s="3" t="s">
        <v>60</v>
      </c>
      <c r="V456" s="14" t="s">
        <v>6</v>
      </c>
      <c r="W456" s="14" t="s">
        <v>5939</v>
      </c>
      <c r="X456" s="14" t="s">
        <v>60</v>
      </c>
    </row>
    <row r="457" spans="1:24" ht="15" x14ac:dyDescent="0.3">
      <c r="A457" s="3">
        <v>26</v>
      </c>
      <c r="B457" s="3" t="s">
        <v>5940</v>
      </c>
      <c r="C457" s="14" t="s">
        <v>0</v>
      </c>
      <c r="D457" s="14" t="s">
        <v>1016</v>
      </c>
      <c r="E457" s="14" t="s">
        <v>5941</v>
      </c>
      <c r="F457" s="14" t="s">
        <v>1017</v>
      </c>
      <c r="G457" s="14" t="s">
        <v>3</v>
      </c>
      <c r="H457" s="14" t="s">
        <v>5942</v>
      </c>
      <c r="I457" s="14" t="s">
        <v>5943</v>
      </c>
      <c r="J457" s="14" t="s">
        <v>228</v>
      </c>
      <c r="K457" s="14" t="s">
        <v>60</v>
      </c>
      <c r="L457" s="14" t="s">
        <v>590</v>
      </c>
      <c r="M457" s="14" t="s">
        <v>1018</v>
      </c>
      <c r="N457" s="14" t="s">
        <v>60</v>
      </c>
      <c r="O457" s="14" t="s">
        <v>179</v>
      </c>
      <c r="P457" s="14" t="s">
        <v>5944</v>
      </c>
      <c r="Q457" s="14" t="s">
        <v>11</v>
      </c>
      <c r="R457" s="3" t="s">
        <v>4170</v>
      </c>
      <c r="S457" s="3">
        <f t="shared" si="22"/>
        <v>550</v>
      </c>
      <c r="T457" s="3">
        <f t="shared" si="23"/>
        <v>17050</v>
      </c>
      <c r="U457" s="3" t="s">
        <v>60</v>
      </c>
      <c r="V457" s="14" t="s">
        <v>6</v>
      </c>
      <c r="W457" s="14" t="s">
        <v>4287</v>
      </c>
      <c r="X457" s="14" t="s">
        <v>60</v>
      </c>
    </row>
    <row r="458" spans="1:24" ht="15" x14ac:dyDescent="0.3">
      <c r="A458" s="3">
        <v>27</v>
      </c>
      <c r="B458" s="3" t="s">
        <v>5945</v>
      </c>
      <c r="C458" s="14" t="s">
        <v>0</v>
      </c>
      <c r="D458" s="14" t="s">
        <v>1019</v>
      </c>
      <c r="E458" s="14" t="s">
        <v>5946</v>
      </c>
      <c r="F458" s="14" t="s">
        <v>1020</v>
      </c>
      <c r="G458" s="14" t="s">
        <v>3</v>
      </c>
      <c r="H458" s="14" t="s">
        <v>5947</v>
      </c>
      <c r="I458" s="14" t="s">
        <v>5948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184</v>
      </c>
      <c r="P458" s="14" t="s">
        <v>5949</v>
      </c>
      <c r="Q458" s="14" t="s">
        <v>11</v>
      </c>
      <c r="R458" s="3" t="s">
        <v>4170</v>
      </c>
      <c r="S458" s="3">
        <f t="shared" si="22"/>
        <v>550</v>
      </c>
      <c r="T458" s="3">
        <f t="shared" si="23"/>
        <v>17050</v>
      </c>
      <c r="U458" s="3" t="s">
        <v>60</v>
      </c>
      <c r="V458" s="14" t="s">
        <v>6</v>
      </c>
      <c r="W458" s="14" t="s">
        <v>4287</v>
      </c>
      <c r="X458" s="14" t="s">
        <v>60</v>
      </c>
    </row>
    <row r="459" spans="1:24" ht="15" x14ac:dyDescent="0.3">
      <c r="A459" s="3">
        <v>28</v>
      </c>
      <c r="B459" s="3" t="s">
        <v>5950</v>
      </c>
      <c r="C459" s="14" t="s">
        <v>0</v>
      </c>
      <c r="D459" s="14" t="s">
        <v>1021</v>
      </c>
      <c r="E459" s="14" t="s">
        <v>5951</v>
      </c>
      <c r="F459" s="14" t="s">
        <v>1022</v>
      </c>
      <c r="G459" s="14" t="s">
        <v>3</v>
      </c>
      <c r="H459" s="14" t="s">
        <v>5952</v>
      </c>
      <c r="I459" s="14" t="s">
        <v>1023</v>
      </c>
      <c r="J459" s="14" t="s">
        <v>60</v>
      </c>
      <c r="K459" s="14" t="s">
        <v>60</v>
      </c>
      <c r="L459" s="14" t="s">
        <v>60</v>
      </c>
      <c r="M459" s="14" t="s">
        <v>1024</v>
      </c>
      <c r="N459" s="14" t="s">
        <v>60</v>
      </c>
      <c r="O459" s="14" t="s">
        <v>485</v>
      </c>
      <c r="P459" s="14" t="s">
        <v>5953</v>
      </c>
      <c r="Q459" s="14" t="s">
        <v>11</v>
      </c>
      <c r="R459" s="3" t="s">
        <v>4300</v>
      </c>
      <c r="S459" s="3">
        <f t="shared" si="22"/>
        <v>550</v>
      </c>
      <c r="T459" s="3">
        <f t="shared" si="23"/>
        <v>15950</v>
      </c>
      <c r="U459" s="3" t="s">
        <v>60</v>
      </c>
      <c r="V459" s="14" t="s">
        <v>6</v>
      </c>
      <c r="W459" s="14" t="s">
        <v>5954</v>
      </c>
      <c r="X459" s="14" t="s">
        <v>60</v>
      </c>
    </row>
    <row r="460" spans="1:24" ht="15" x14ac:dyDescent="0.3">
      <c r="A460" s="3">
        <v>29</v>
      </c>
      <c r="B460" s="3" t="s">
        <v>5955</v>
      </c>
      <c r="C460" s="14" t="s">
        <v>0</v>
      </c>
      <c r="D460" s="14" t="s">
        <v>1025</v>
      </c>
      <c r="E460" s="14" t="s">
        <v>5956</v>
      </c>
      <c r="F460" s="14" t="s">
        <v>1026</v>
      </c>
      <c r="G460" s="14" t="s">
        <v>3</v>
      </c>
      <c r="H460" s="14" t="s">
        <v>5957</v>
      </c>
      <c r="I460" s="14" t="s">
        <v>1027</v>
      </c>
      <c r="J460" s="14" t="s">
        <v>60</v>
      </c>
      <c r="K460" s="14" t="s">
        <v>60</v>
      </c>
      <c r="L460" s="14" t="s">
        <v>60</v>
      </c>
      <c r="M460" s="14" t="s">
        <v>1028</v>
      </c>
      <c r="N460" s="14" t="s">
        <v>60</v>
      </c>
      <c r="O460" s="14" t="s">
        <v>485</v>
      </c>
      <c r="P460" s="14" t="s">
        <v>5958</v>
      </c>
      <c r="Q460" s="14" t="s">
        <v>11</v>
      </c>
      <c r="R460" s="3" t="s">
        <v>4170</v>
      </c>
      <c r="S460" s="3">
        <f t="shared" si="22"/>
        <v>550</v>
      </c>
      <c r="T460" s="3">
        <f t="shared" si="23"/>
        <v>17050</v>
      </c>
      <c r="U460" s="3" t="s">
        <v>60</v>
      </c>
      <c r="V460" s="14" t="s">
        <v>6</v>
      </c>
      <c r="W460" s="14" t="s">
        <v>5954</v>
      </c>
      <c r="X460" s="14" t="s">
        <v>60</v>
      </c>
    </row>
    <row r="461" spans="1:24" ht="15" x14ac:dyDescent="0.3">
      <c r="A461" s="3">
        <v>30</v>
      </c>
      <c r="B461" s="3" t="s">
        <v>5959</v>
      </c>
      <c r="C461" s="14" t="s">
        <v>0</v>
      </c>
      <c r="D461" s="14" t="s">
        <v>1029</v>
      </c>
      <c r="E461" s="14" t="s">
        <v>5960</v>
      </c>
      <c r="F461" s="14" t="s">
        <v>1030</v>
      </c>
      <c r="G461" s="14" t="s">
        <v>3</v>
      </c>
      <c r="H461" s="14" t="s">
        <v>5961</v>
      </c>
      <c r="I461" s="14" t="s">
        <v>1031</v>
      </c>
      <c r="J461" s="14" t="s">
        <v>228</v>
      </c>
      <c r="K461" s="14" t="s">
        <v>60</v>
      </c>
      <c r="L461" s="14" t="s">
        <v>60</v>
      </c>
      <c r="M461" s="14" t="s">
        <v>1032</v>
      </c>
      <c r="N461" s="14" t="s">
        <v>60</v>
      </c>
      <c r="O461" s="14" t="s">
        <v>193</v>
      </c>
      <c r="P461" s="14" t="s">
        <v>5962</v>
      </c>
      <c r="Q461" s="14" t="s">
        <v>11</v>
      </c>
      <c r="R461" s="3" t="s">
        <v>4170</v>
      </c>
      <c r="S461" s="3">
        <f t="shared" si="22"/>
        <v>550</v>
      </c>
      <c r="T461" s="3">
        <f t="shared" si="23"/>
        <v>17050</v>
      </c>
      <c r="U461" s="3" t="s">
        <v>60</v>
      </c>
      <c r="V461" s="14" t="s">
        <v>6</v>
      </c>
      <c r="W461" s="14" t="s">
        <v>4287</v>
      </c>
      <c r="X461" s="14" t="s">
        <v>60</v>
      </c>
    </row>
    <row r="462" spans="1:24" ht="15" x14ac:dyDescent="0.3">
      <c r="A462" s="3">
        <v>31</v>
      </c>
      <c r="B462" s="3" t="s">
        <v>5963</v>
      </c>
      <c r="C462" s="14" t="s">
        <v>0</v>
      </c>
      <c r="D462" s="14" t="s">
        <v>1033</v>
      </c>
      <c r="E462" s="14" t="s">
        <v>5964</v>
      </c>
      <c r="F462" s="14" t="s">
        <v>951</v>
      </c>
      <c r="G462" s="14" t="s">
        <v>3</v>
      </c>
      <c r="H462" s="14" t="s">
        <v>5965</v>
      </c>
      <c r="I462" s="14" t="s">
        <v>1034</v>
      </c>
      <c r="J462" s="14" t="s">
        <v>228</v>
      </c>
      <c r="K462" s="14" t="s">
        <v>60</v>
      </c>
      <c r="L462" s="14" t="s">
        <v>60</v>
      </c>
      <c r="M462" s="14" t="s">
        <v>1035</v>
      </c>
      <c r="N462" s="14" t="s">
        <v>60</v>
      </c>
      <c r="O462" s="14" t="s">
        <v>5966</v>
      </c>
      <c r="P462" s="14" t="s">
        <v>5967</v>
      </c>
      <c r="Q462" s="14" t="s">
        <v>180</v>
      </c>
      <c r="R462" s="3" t="s">
        <v>4170</v>
      </c>
      <c r="S462" s="3">
        <f t="shared" si="22"/>
        <v>550</v>
      </c>
      <c r="T462" s="3">
        <f t="shared" si="23"/>
        <v>17050</v>
      </c>
      <c r="U462" s="3" t="s">
        <v>60</v>
      </c>
      <c r="V462" s="14" t="s">
        <v>6</v>
      </c>
      <c r="W462" s="14" t="s">
        <v>4287</v>
      </c>
      <c r="X462" s="14" t="s">
        <v>60</v>
      </c>
    </row>
    <row r="463" spans="1:24" ht="15" x14ac:dyDescent="0.3">
      <c r="A463" s="3">
        <v>32</v>
      </c>
      <c r="B463" s="3" t="s">
        <v>5968</v>
      </c>
      <c r="C463" s="14" t="s">
        <v>0</v>
      </c>
      <c r="D463" s="14" t="s">
        <v>1036</v>
      </c>
      <c r="E463" s="14" t="s">
        <v>5969</v>
      </c>
      <c r="F463" s="14" t="s">
        <v>930</v>
      </c>
      <c r="G463" s="14" t="s">
        <v>3</v>
      </c>
      <c r="H463" s="14" t="s">
        <v>5970</v>
      </c>
      <c r="I463" s="14" t="s">
        <v>1037</v>
      </c>
      <c r="J463" s="14" t="s">
        <v>60</v>
      </c>
      <c r="K463" s="14" t="s">
        <v>60</v>
      </c>
      <c r="L463" s="14" t="s">
        <v>60</v>
      </c>
      <c r="M463" s="14" t="s">
        <v>1038</v>
      </c>
      <c r="N463" s="14" t="s">
        <v>60</v>
      </c>
      <c r="O463" s="14" t="s">
        <v>60</v>
      </c>
      <c r="P463" s="14" t="s">
        <v>5971</v>
      </c>
      <c r="Q463" s="14" t="s">
        <v>11</v>
      </c>
      <c r="R463" s="3" t="s">
        <v>4316</v>
      </c>
      <c r="S463" s="3">
        <f t="shared" si="22"/>
        <v>550</v>
      </c>
      <c r="T463" s="3">
        <f t="shared" si="23"/>
        <v>13750</v>
      </c>
      <c r="U463" s="3" t="s">
        <v>60</v>
      </c>
      <c r="V463" s="14" t="s">
        <v>6</v>
      </c>
      <c r="W463" s="14" t="s">
        <v>4287</v>
      </c>
      <c r="X463" s="14" t="s">
        <v>60</v>
      </c>
    </row>
    <row r="464" spans="1:24" ht="15" x14ac:dyDescent="0.3">
      <c r="A464" s="3">
        <v>33</v>
      </c>
      <c r="B464" s="3" t="s">
        <v>5972</v>
      </c>
      <c r="C464" s="14" t="s">
        <v>0</v>
      </c>
      <c r="D464" s="14" t="s">
        <v>1039</v>
      </c>
      <c r="E464" s="14" t="s">
        <v>5973</v>
      </c>
      <c r="F464" s="14" t="s">
        <v>1040</v>
      </c>
      <c r="G464" s="14" t="s">
        <v>3</v>
      </c>
      <c r="H464" s="14" t="s">
        <v>5974</v>
      </c>
      <c r="I464" s="14" t="s">
        <v>1041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4" t="s">
        <v>60</v>
      </c>
      <c r="O464" s="14" t="s">
        <v>193</v>
      </c>
      <c r="P464" s="14" t="s">
        <v>5975</v>
      </c>
      <c r="Q464" s="14" t="s">
        <v>11</v>
      </c>
      <c r="R464" s="3" t="s">
        <v>4170</v>
      </c>
      <c r="S464" s="3">
        <f t="shared" si="22"/>
        <v>550</v>
      </c>
      <c r="T464" s="3">
        <f t="shared" si="23"/>
        <v>17050</v>
      </c>
      <c r="U464" s="3" t="s">
        <v>60</v>
      </c>
      <c r="V464" s="14" t="s">
        <v>6</v>
      </c>
      <c r="W464" s="14" t="s">
        <v>4287</v>
      </c>
      <c r="X464" s="14" t="s">
        <v>60</v>
      </c>
    </row>
    <row r="465" spans="1:24" ht="15" x14ac:dyDescent="0.3">
      <c r="A465" s="3">
        <v>34</v>
      </c>
      <c r="B465" s="3" t="s">
        <v>5976</v>
      </c>
      <c r="C465" s="14" t="s">
        <v>0</v>
      </c>
      <c r="D465" s="14" t="s">
        <v>1042</v>
      </c>
      <c r="E465" s="14" t="s">
        <v>5977</v>
      </c>
      <c r="F465" s="14" t="s">
        <v>1043</v>
      </c>
      <c r="G465" s="14" t="s">
        <v>3</v>
      </c>
      <c r="H465" s="14" t="s">
        <v>5978</v>
      </c>
      <c r="I465" s="14" t="s">
        <v>1044</v>
      </c>
      <c r="J465" s="14" t="s">
        <v>60</v>
      </c>
      <c r="K465" s="14" t="s">
        <v>60</v>
      </c>
      <c r="L465" s="14" t="s">
        <v>60</v>
      </c>
      <c r="M465" s="14" t="s">
        <v>60</v>
      </c>
      <c r="N465" s="14" t="s">
        <v>60</v>
      </c>
      <c r="O465" s="14" t="s">
        <v>86</v>
      </c>
      <c r="P465" s="14" t="s">
        <v>5979</v>
      </c>
      <c r="Q465" s="14" t="s">
        <v>11</v>
      </c>
      <c r="R465" s="3" t="s">
        <v>4170</v>
      </c>
      <c r="S465" s="3">
        <f t="shared" si="22"/>
        <v>550</v>
      </c>
      <c r="T465" s="3">
        <f t="shared" si="23"/>
        <v>17050</v>
      </c>
      <c r="U465" s="3" t="s">
        <v>60</v>
      </c>
      <c r="V465" s="14" t="s">
        <v>6</v>
      </c>
      <c r="W465" s="14" t="s">
        <v>5980</v>
      </c>
      <c r="X465" s="14" t="s">
        <v>60</v>
      </c>
    </row>
    <row r="466" spans="1:24" ht="15" x14ac:dyDescent="0.3">
      <c r="A466" s="3">
        <v>35</v>
      </c>
      <c r="B466" s="3" t="s">
        <v>5981</v>
      </c>
      <c r="C466" s="14" t="s">
        <v>0</v>
      </c>
      <c r="D466" s="14" t="s">
        <v>1045</v>
      </c>
      <c r="E466" s="14" t="s">
        <v>5982</v>
      </c>
      <c r="F466" s="14" t="s">
        <v>1046</v>
      </c>
      <c r="G466" s="14" t="s">
        <v>3</v>
      </c>
      <c r="H466" s="14" t="s">
        <v>5983</v>
      </c>
      <c r="I466" s="14" t="s">
        <v>1047</v>
      </c>
      <c r="J466" s="14" t="s">
        <v>60</v>
      </c>
      <c r="K466" s="14" t="s">
        <v>60</v>
      </c>
      <c r="L466" s="14" t="s">
        <v>60</v>
      </c>
      <c r="M466" s="14" t="s">
        <v>1048</v>
      </c>
      <c r="N466" s="14" t="s">
        <v>60</v>
      </c>
      <c r="O466" s="14" t="s">
        <v>114</v>
      </c>
      <c r="P466" s="14" t="s">
        <v>5984</v>
      </c>
      <c r="Q466" s="14" t="s">
        <v>11</v>
      </c>
      <c r="R466" s="3" t="s">
        <v>4170</v>
      </c>
      <c r="S466" s="3">
        <f t="shared" si="22"/>
        <v>550</v>
      </c>
      <c r="T466" s="3">
        <f t="shared" si="23"/>
        <v>17050</v>
      </c>
      <c r="U466" s="3" t="s">
        <v>60</v>
      </c>
      <c r="V466" s="14" t="s">
        <v>6</v>
      </c>
      <c r="W466" s="14" t="s">
        <v>5939</v>
      </c>
      <c r="X466" s="14" t="s">
        <v>60</v>
      </c>
    </row>
    <row r="467" spans="1:24" ht="15" x14ac:dyDescent="0.3">
      <c r="A467" s="3">
        <v>36</v>
      </c>
      <c r="B467" s="3" t="s">
        <v>5985</v>
      </c>
      <c r="C467" s="14" t="s">
        <v>0</v>
      </c>
      <c r="D467" s="14" t="s">
        <v>1049</v>
      </c>
      <c r="E467" s="14" t="s">
        <v>5986</v>
      </c>
      <c r="F467" s="14" t="s">
        <v>1050</v>
      </c>
      <c r="G467" s="14" t="s">
        <v>3</v>
      </c>
      <c r="H467" s="14" t="s">
        <v>5987</v>
      </c>
      <c r="I467" s="14" t="s">
        <v>1051</v>
      </c>
      <c r="J467" s="14" t="s">
        <v>60</v>
      </c>
      <c r="K467" s="14" t="s">
        <v>60</v>
      </c>
      <c r="L467" s="14" t="s">
        <v>60</v>
      </c>
      <c r="M467" s="14" t="s">
        <v>60</v>
      </c>
      <c r="N467" s="14" t="s">
        <v>60</v>
      </c>
      <c r="O467" s="14" t="s">
        <v>60</v>
      </c>
      <c r="P467" s="14" t="s">
        <v>5988</v>
      </c>
      <c r="Q467" s="14" t="s">
        <v>426</v>
      </c>
      <c r="R467" s="3" t="s">
        <v>4170</v>
      </c>
      <c r="S467" s="3">
        <f t="shared" si="22"/>
        <v>550</v>
      </c>
      <c r="T467" s="3">
        <f t="shared" si="23"/>
        <v>17050</v>
      </c>
      <c r="U467" s="3" t="s">
        <v>60</v>
      </c>
      <c r="V467" s="14" t="s">
        <v>6</v>
      </c>
      <c r="W467" s="14" t="s">
        <v>5989</v>
      </c>
      <c r="X467" s="14" t="s">
        <v>60</v>
      </c>
    </row>
    <row r="468" spans="1:24" ht="15" x14ac:dyDescent="0.3">
      <c r="A468" s="3">
        <v>37</v>
      </c>
      <c r="B468" s="3" t="s">
        <v>1052</v>
      </c>
      <c r="C468" s="14" t="s">
        <v>91</v>
      </c>
      <c r="D468" s="14" t="s">
        <v>1053</v>
      </c>
      <c r="E468" s="14" t="s">
        <v>5990</v>
      </c>
      <c r="F468" s="14" t="s">
        <v>1054</v>
      </c>
      <c r="G468" s="14" t="s">
        <v>3</v>
      </c>
      <c r="H468" s="14" t="s">
        <v>5991</v>
      </c>
      <c r="I468" s="14" t="s">
        <v>1055</v>
      </c>
      <c r="J468" s="14" t="s">
        <v>60</v>
      </c>
      <c r="K468" s="14" t="s">
        <v>60</v>
      </c>
      <c r="L468" s="14" t="s">
        <v>590</v>
      </c>
      <c r="M468" s="14" t="s">
        <v>1056</v>
      </c>
      <c r="N468" s="14" t="s">
        <v>60</v>
      </c>
      <c r="O468" s="14" t="s">
        <v>193</v>
      </c>
      <c r="P468" s="14" t="s">
        <v>5992</v>
      </c>
      <c r="Q468" s="14" t="s">
        <v>11</v>
      </c>
      <c r="R468" s="3" t="s">
        <v>4170</v>
      </c>
      <c r="S468" s="3">
        <f t="shared" si="22"/>
        <v>770</v>
      </c>
      <c r="T468" s="3">
        <f t="shared" si="23"/>
        <v>23870</v>
      </c>
      <c r="U468" s="3" t="s">
        <v>60</v>
      </c>
      <c r="V468" s="14" t="s">
        <v>6</v>
      </c>
      <c r="W468" s="14" t="s">
        <v>4287</v>
      </c>
      <c r="X468" s="14" t="s">
        <v>60</v>
      </c>
    </row>
    <row r="469" spans="1:24" ht="15" x14ac:dyDescent="0.3">
      <c r="A469" s="3">
        <v>38</v>
      </c>
      <c r="B469" s="3" t="s">
        <v>5993</v>
      </c>
      <c r="C469" s="14" t="s">
        <v>313</v>
      </c>
      <c r="D469" s="14" t="s">
        <v>1057</v>
      </c>
      <c r="E469" s="14" t="s">
        <v>5994</v>
      </c>
      <c r="F469" s="14" t="s">
        <v>1058</v>
      </c>
      <c r="G469" s="14" t="s">
        <v>3</v>
      </c>
      <c r="H469" s="14" t="s">
        <v>1059</v>
      </c>
      <c r="I469" s="14" t="s">
        <v>1060</v>
      </c>
      <c r="J469" s="14" t="s">
        <v>60</v>
      </c>
      <c r="K469" s="14" t="s">
        <v>60</v>
      </c>
      <c r="L469" s="14" t="s">
        <v>60</v>
      </c>
      <c r="M469" s="14" t="s">
        <v>60</v>
      </c>
      <c r="N469" s="14" t="s">
        <v>60</v>
      </c>
      <c r="O469" s="14" t="s">
        <v>1061</v>
      </c>
      <c r="P469" s="14" t="s">
        <v>5995</v>
      </c>
      <c r="Q469" s="14" t="s">
        <v>11</v>
      </c>
      <c r="R469" s="3" t="s">
        <v>4170</v>
      </c>
      <c r="S469" s="3">
        <f t="shared" si="22"/>
        <v>550</v>
      </c>
      <c r="T469" s="3">
        <f t="shared" si="23"/>
        <v>17050</v>
      </c>
      <c r="U469" s="3" t="s">
        <v>60</v>
      </c>
      <c r="V469" s="14" t="s">
        <v>6</v>
      </c>
      <c r="W469" s="14" t="s">
        <v>4287</v>
      </c>
      <c r="X469" s="14" t="s">
        <v>60</v>
      </c>
    </row>
    <row r="470" spans="1:24" ht="15" x14ac:dyDescent="0.3">
      <c r="A470" s="3">
        <v>39</v>
      </c>
      <c r="B470" s="3" t="s">
        <v>5996</v>
      </c>
      <c r="C470" s="14" t="s">
        <v>0</v>
      </c>
      <c r="D470" s="14" t="s">
        <v>3912</v>
      </c>
      <c r="E470" s="14" t="s">
        <v>5997</v>
      </c>
      <c r="F470" s="14" t="s">
        <v>3913</v>
      </c>
      <c r="G470" s="14" t="s">
        <v>121</v>
      </c>
      <c r="H470" s="14" t="s">
        <v>5998</v>
      </c>
      <c r="I470" s="14" t="s">
        <v>3911</v>
      </c>
      <c r="J470" s="14" t="s">
        <v>60</v>
      </c>
      <c r="K470" s="14" t="s">
        <v>60</v>
      </c>
      <c r="L470" s="14" t="s">
        <v>60</v>
      </c>
      <c r="M470" s="14" t="s">
        <v>3914</v>
      </c>
      <c r="N470" s="14" t="s">
        <v>60</v>
      </c>
      <c r="O470" s="14" t="s">
        <v>3910</v>
      </c>
      <c r="P470" s="14" t="s">
        <v>5999</v>
      </c>
      <c r="Q470" s="14" t="s">
        <v>11</v>
      </c>
      <c r="R470" s="3" t="s">
        <v>5222</v>
      </c>
      <c r="S470" s="3">
        <f t="shared" si="22"/>
        <v>550</v>
      </c>
      <c r="T470" s="3">
        <f t="shared" si="23"/>
        <v>14300</v>
      </c>
      <c r="U470" s="3" t="s">
        <v>6000</v>
      </c>
      <c r="V470" s="14" t="s">
        <v>6</v>
      </c>
      <c r="W470" s="14" t="s">
        <v>5755</v>
      </c>
      <c r="X470" s="14" t="s">
        <v>60</v>
      </c>
    </row>
    <row r="471" spans="1:24" ht="15.6" x14ac:dyDescent="0.3">
      <c r="A471" s="26" t="s">
        <v>60</v>
      </c>
      <c r="B471" s="26" t="s">
        <v>60</v>
      </c>
      <c r="C471" s="27" t="s">
        <v>60</v>
      </c>
      <c r="D471" s="27" t="s">
        <v>60</v>
      </c>
      <c r="E471" s="27" t="s">
        <v>60</v>
      </c>
      <c r="F471" s="27" t="s">
        <v>60</v>
      </c>
      <c r="G471" s="27" t="s">
        <v>60</v>
      </c>
      <c r="H471" s="27" t="s">
        <v>60</v>
      </c>
      <c r="I471" s="27" t="s">
        <v>60</v>
      </c>
      <c r="J471" s="27" t="s">
        <v>60</v>
      </c>
      <c r="K471" s="27" t="s">
        <v>60</v>
      </c>
      <c r="L471" s="27" t="s">
        <v>60</v>
      </c>
      <c r="M471" s="27" t="s">
        <v>60</v>
      </c>
      <c r="N471" s="27" t="s">
        <v>60</v>
      </c>
      <c r="O471" s="27" t="s">
        <v>60</v>
      </c>
      <c r="P471" s="27" t="s">
        <v>60</v>
      </c>
      <c r="Q471" s="27" t="s">
        <v>60</v>
      </c>
      <c r="R471" s="35" t="s">
        <v>2009</v>
      </c>
      <c r="S471" s="35" t="s">
        <v>60</v>
      </c>
      <c r="T471" s="26">
        <f>SUM(T431:T470)</f>
        <v>645700</v>
      </c>
      <c r="U471" s="26" t="s">
        <v>6001</v>
      </c>
      <c r="V471" s="27" t="s">
        <v>60</v>
      </c>
      <c r="W471" s="27" t="s">
        <v>60</v>
      </c>
      <c r="X471" s="27" t="s">
        <v>60</v>
      </c>
    </row>
    <row r="472" spans="1:24" ht="15.6" x14ac:dyDescent="0.3">
      <c r="A472" s="34" t="s">
        <v>6002</v>
      </c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 spans="1:24" ht="109.2" x14ac:dyDescent="0.3">
      <c r="A473" s="23" t="s">
        <v>42</v>
      </c>
      <c r="B473" s="23" t="s">
        <v>43</v>
      </c>
      <c r="C473" s="24" t="s">
        <v>44</v>
      </c>
      <c r="D473" s="24" t="s">
        <v>4154</v>
      </c>
      <c r="E473" s="24" t="s">
        <v>4155</v>
      </c>
      <c r="F473" s="24" t="s">
        <v>4156</v>
      </c>
      <c r="G473" s="24" t="s">
        <v>45</v>
      </c>
      <c r="H473" s="24" t="s">
        <v>4157</v>
      </c>
      <c r="I473" s="24" t="s">
        <v>46</v>
      </c>
      <c r="J473" s="24" t="s">
        <v>4158</v>
      </c>
      <c r="K473" s="24" t="s">
        <v>4159</v>
      </c>
      <c r="L473" s="24" t="s">
        <v>4160</v>
      </c>
      <c r="M473" s="24" t="s">
        <v>4161</v>
      </c>
      <c r="N473" s="24" t="s">
        <v>47</v>
      </c>
      <c r="O473" s="24" t="s">
        <v>48</v>
      </c>
      <c r="P473" s="24" t="s">
        <v>49</v>
      </c>
      <c r="Q473" s="24" t="s">
        <v>50</v>
      </c>
      <c r="R473" s="23" t="s">
        <v>4162</v>
      </c>
      <c r="S473" s="23" t="s">
        <v>4163</v>
      </c>
      <c r="T473" s="23" t="s">
        <v>4164</v>
      </c>
      <c r="U473" s="23" t="s">
        <v>4165</v>
      </c>
      <c r="V473" s="24" t="s">
        <v>51</v>
      </c>
      <c r="W473" s="24" t="s">
        <v>52</v>
      </c>
      <c r="X473" s="24" t="s">
        <v>53</v>
      </c>
    </row>
    <row r="474" spans="1:24" ht="15" x14ac:dyDescent="0.3">
      <c r="A474" s="3">
        <v>1</v>
      </c>
      <c r="B474" s="3" t="s">
        <v>54</v>
      </c>
      <c r="C474" s="14" t="s">
        <v>0</v>
      </c>
      <c r="D474" s="14" t="s">
        <v>55</v>
      </c>
      <c r="E474" s="14" t="s">
        <v>6003</v>
      </c>
      <c r="F474" s="14" t="s">
        <v>56</v>
      </c>
      <c r="G474" s="14" t="s">
        <v>3</v>
      </c>
      <c r="H474" s="14" t="s">
        <v>6004</v>
      </c>
      <c r="I474" s="14" t="s">
        <v>57</v>
      </c>
      <c r="J474" s="14" t="s">
        <v>60</v>
      </c>
      <c r="K474" s="14" t="s">
        <v>60</v>
      </c>
      <c r="L474" s="14" t="s">
        <v>60</v>
      </c>
      <c r="M474" s="14" t="s">
        <v>58</v>
      </c>
      <c r="N474" s="14" t="s">
        <v>60</v>
      </c>
      <c r="O474" s="14" t="s">
        <v>59</v>
      </c>
      <c r="P474" s="14" t="s">
        <v>6005</v>
      </c>
      <c r="Q474" s="14" t="s">
        <v>11</v>
      </c>
      <c r="R474" s="3" t="s">
        <v>4170</v>
      </c>
      <c r="S474" s="3">
        <f t="shared" ref="S474:S506" si="24">IF(RIGHT(C474,3)="MAZ",550,IF(RIGHT(C474,4)="MATE",570,IF(RIGHT(C474,7)="SKD-III",640,IF(RIGHT(C474,6)="SKD-II",770,IF(RIGHT(C474,5)="SKD-I",900,IF(RIGHT(C474,5)="CPDVR",770,""))))))</f>
        <v>550</v>
      </c>
      <c r="T474" s="3">
        <f t="shared" ref="T474:T506" si="25">R474*S474</f>
        <v>17050</v>
      </c>
      <c r="U474" s="3" t="s">
        <v>60</v>
      </c>
      <c r="V474" s="14" t="s">
        <v>6</v>
      </c>
      <c r="W474" s="14" t="s">
        <v>4287</v>
      </c>
      <c r="X474" s="14" t="s">
        <v>60</v>
      </c>
    </row>
    <row r="475" spans="1:24" ht="15" x14ac:dyDescent="0.3">
      <c r="A475" s="3">
        <v>2</v>
      </c>
      <c r="B475" s="3" t="s">
        <v>6006</v>
      </c>
      <c r="C475" s="14" t="s">
        <v>0</v>
      </c>
      <c r="D475" s="14" t="s">
        <v>61</v>
      </c>
      <c r="E475" s="14" t="s">
        <v>6007</v>
      </c>
      <c r="F475" s="14" t="s">
        <v>62</v>
      </c>
      <c r="G475" s="14" t="s">
        <v>3</v>
      </c>
      <c r="H475" s="14" t="s">
        <v>6008</v>
      </c>
      <c r="I475" s="14" t="s">
        <v>63</v>
      </c>
      <c r="J475" s="14" t="s">
        <v>60</v>
      </c>
      <c r="K475" s="14" t="s">
        <v>60</v>
      </c>
      <c r="L475" s="14" t="s">
        <v>60</v>
      </c>
      <c r="M475" s="14" t="s">
        <v>64</v>
      </c>
      <c r="N475" s="14" t="s">
        <v>60</v>
      </c>
      <c r="O475" s="14" t="s">
        <v>59</v>
      </c>
      <c r="P475" s="14" t="s">
        <v>6009</v>
      </c>
      <c r="Q475" s="14" t="s">
        <v>11</v>
      </c>
      <c r="R475" s="3" t="s">
        <v>4300</v>
      </c>
      <c r="S475" s="3">
        <f t="shared" si="24"/>
        <v>550</v>
      </c>
      <c r="T475" s="3">
        <f t="shared" si="25"/>
        <v>15950</v>
      </c>
      <c r="U475" s="3" t="s">
        <v>60</v>
      </c>
      <c r="V475" s="14" t="s">
        <v>6</v>
      </c>
      <c r="W475" s="14" t="s">
        <v>4287</v>
      </c>
      <c r="X475" s="14" t="s">
        <v>60</v>
      </c>
    </row>
    <row r="476" spans="1:24" ht="15" x14ac:dyDescent="0.3">
      <c r="A476" s="3">
        <v>3</v>
      </c>
      <c r="B476" s="3" t="s">
        <v>6010</v>
      </c>
      <c r="C476" s="14" t="s">
        <v>0</v>
      </c>
      <c r="D476" s="14" t="s">
        <v>65</v>
      </c>
      <c r="E476" s="14" t="s">
        <v>6011</v>
      </c>
      <c r="F476" s="14" t="s">
        <v>66</v>
      </c>
      <c r="G476" s="14" t="s">
        <v>3</v>
      </c>
      <c r="H476" s="14" t="s">
        <v>6012</v>
      </c>
      <c r="I476" s="14" t="s">
        <v>67</v>
      </c>
      <c r="J476" s="14" t="s">
        <v>60</v>
      </c>
      <c r="K476" s="14" t="s">
        <v>60</v>
      </c>
      <c r="L476" s="14" t="s">
        <v>60</v>
      </c>
      <c r="M476" s="14" t="s">
        <v>68</v>
      </c>
      <c r="N476" s="14" t="s">
        <v>60</v>
      </c>
      <c r="O476" s="14" t="s">
        <v>59</v>
      </c>
      <c r="P476" s="14" t="s">
        <v>6013</v>
      </c>
      <c r="Q476" s="14" t="s">
        <v>11</v>
      </c>
      <c r="R476" s="3" t="s">
        <v>4170</v>
      </c>
      <c r="S476" s="3">
        <f t="shared" si="24"/>
        <v>550</v>
      </c>
      <c r="T476" s="3">
        <f t="shared" si="25"/>
        <v>17050</v>
      </c>
      <c r="U476" s="3" t="s">
        <v>60</v>
      </c>
      <c r="V476" s="14" t="s">
        <v>6</v>
      </c>
      <c r="W476" s="14" t="s">
        <v>4287</v>
      </c>
      <c r="X476" s="14" t="s">
        <v>60</v>
      </c>
    </row>
    <row r="477" spans="1:24" ht="15" x14ac:dyDescent="0.3">
      <c r="A477" s="3">
        <v>4</v>
      </c>
      <c r="B477" s="3" t="s">
        <v>6014</v>
      </c>
      <c r="C477" s="14" t="s">
        <v>69</v>
      </c>
      <c r="D477" s="14" t="s">
        <v>70</v>
      </c>
      <c r="E477" s="14" t="s">
        <v>6015</v>
      </c>
      <c r="F477" s="14" t="s">
        <v>71</v>
      </c>
      <c r="G477" s="14" t="s">
        <v>3</v>
      </c>
      <c r="H477" s="14" t="s">
        <v>6016</v>
      </c>
      <c r="I477" s="14" t="s">
        <v>72</v>
      </c>
      <c r="J477" s="14" t="s">
        <v>60</v>
      </c>
      <c r="K477" s="14" t="s">
        <v>60</v>
      </c>
      <c r="L477" s="14" t="s">
        <v>60</v>
      </c>
      <c r="M477" s="14" t="s">
        <v>73</v>
      </c>
      <c r="N477" s="14" t="s">
        <v>60</v>
      </c>
      <c r="O477" s="14" t="s">
        <v>59</v>
      </c>
      <c r="P477" s="14" t="s">
        <v>6017</v>
      </c>
      <c r="Q477" s="14" t="s">
        <v>11</v>
      </c>
      <c r="R477" s="3" t="s">
        <v>4170</v>
      </c>
      <c r="S477" s="3">
        <f t="shared" si="24"/>
        <v>570</v>
      </c>
      <c r="T477" s="3">
        <f t="shared" si="25"/>
        <v>17670</v>
      </c>
      <c r="U477" s="3" t="s">
        <v>60</v>
      </c>
      <c r="V477" s="14" t="s">
        <v>6</v>
      </c>
      <c r="W477" s="14" t="s">
        <v>6018</v>
      </c>
      <c r="X477" s="14" t="s">
        <v>60</v>
      </c>
    </row>
    <row r="478" spans="1:24" ht="15" x14ac:dyDescent="0.3">
      <c r="A478" s="3">
        <v>5</v>
      </c>
      <c r="B478" s="3" t="s">
        <v>6019</v>
      </c>
      <c r="C478" s="14" t="s">
        <v>0</v>
      </c>
      <c r="D478" s="14" t="s">
        <v>74</v>
      </c>
      <c r="E478" s="14" t="s">
        <v>6020</v>
      </c>
      <c r="F478" s="14" t="s">
        <v>75</v>
      </c>
      <c r="G478" s="14" t="s">
        <v>3</v>
      </c>
      <c r="H478" s="14" t="s">
        <v>6021</v>
      </c>
      <c r="I478" s="14" t="s">
        <v>76</v>
      </c>
      <c r="J478" s="14" t="s">
        <v>60</v>
      </c>
      <c r="K478" s="14" t="s">
        <v>60</v>
      </c>
      <c r="L478" s="14" t="s">
        <v>60</v>
      </c>
      <c r="M478" s="14" t="s">
        <v>77</v>
      </c>
      <c r="N478" s="14" t="s">
        <v>60</v>
      </c>
      <c r="O478" s="14" t="s">
        <v>6022</v>
      </c>
      <c r="P478" s="14" t="s">
        <v>6023</v>
      </c>
      <c r="Q478" s="14" t="s">
        <v>11</v>
      </c>
      <c r="R478" s="3" t="s">
        <v>4170</v>
      </c>
      <c r="S478" s="3">
        <f t="shared" si="24"/>
        <v>550</v>
      </c>
      <c r="T478" s="3">
        <f t="shared" si="25"/>
        <v>17050</v>
      </c>
      <c r="U478" s="3" t="s">
        <v>60</v>
      </c>
      <c r="V478" s="14" t="s">
        <v>6</v>
      </c>
      <c r="W478" s="14" t="s">
        <v>6018</v>
      </c>
      <c r="X478" s="14" t="s">
        <v>60</v>
      </c>
    </row>
    <row r="479" spans="1:24" ht="15" x14ac:dyDescent="0.3">
      <c r="A479" s="3">
        <v>6</v>
      </c>
      <c r="B479" s="3" t="s">
        <v>6024</v>
      </c>
      <c r="C479" s="14" t="s">
        <v>14</v>
      </c>
      <c r="D479" s="14" t="s">
        <v>78</v>
      </c>
      <c r="E479" s="14" t="s">
        <v>6025</v>
      </c>
      <c r="F479" s="14" t="s">
        <v>79</v>
      </c>
      <c r="G479" s="14" t="s">
        <v>3</v>
      </c>
      <c r="H479" s="14" t="s">
        <v>6026</v>
      </c>
      <c r="I479" s="14" t="s">
        <v>80</v>
      </c>
      <c r="J479" s="14" t="s">
        <v>60</v>
      </c>
      <c r="K479" s="14" t="s">
        <v>60</v>
      </c>
      <c r="L479" s="14" t="s">
        <v>60</v>
      </c>
      <c r="M479" s="14" t="s">
        <v>6027</v>
      </c>
      <c r="N479" s="14" t="s">
        <v>60</v>
      </c>
      <c r="O479" s="14" t="s">
        <v>59</v>
      </c>
      <c r="P479" s="14" t="s">
        <v>6028</v>
      </c>
      <c r="Q479" s="14" t="s">
        <v>81</v>
      </c>
      <c r="R479" s="3" t="s">
        <v>4170</v>
      </c>
      <c r="S479" s="3">
        <f t="shared" si="24"/>
        <v>640</v>
      </c>
      <c r="T479" s="3">
        <f t="shared" si="25"/>
        <v>19840</v>
      </c>
      <c r="U479" s="3" t="s">
        <v>60</v>
      </c>
      <c r="V479" s="14" t="s">
        <v>6</v>
      </c>
      <c r="W479" s="14" t="s">
        <v>4287</v>
      </c>
      <c r="X479" s="14" t="s">
        <v>60</v>
      </c>
    </row>
    <row r="480" spans="1:24" ht="15" x14ac:dyDescent="0.3">
      <c r="A480" s="3">
        <v>7</v>
      </c>
      <c r="B480" s="3" t="s">
        <v>6029</v>
      </c>
      <c r="C480" s="14" t="s">
        <v>0</v>
      </c>
      <c r="D480" s="14" t="s">
        <v>82</v>
      </c>
      <c r="E480" s="14" t="s">
        <v>6030</v>
      </c>
      <c r="F480" s="14" t="s">
        <v>83</v>
      </c>
      <c r="G480" s="14" t="s">
        <v>3</v>
      </c>
      <c r="H480" s="14" t="s">
        <v>6031</v>
      </c>
      <c r="I480" s="14" t="s">
        <v>84</v>
      </c>
      <c r="J480" s="14" t="s">
        <v>60</v>
      </c>
      <c r="K480" s="14" t="s">
        <v>60</v>
      </c>
      <c r="L480" s="14" t="s">
        <v>60</v>
      </c>
      <c r="M480" s="14" t="s">
        <v>68</v>
      </c>
      <c r="N480" s="14" t="s">
        <v>60</v>
      </c>
      <c r="O480" s="14" t="s">
        <v>59</v>
      </c>
      <c r="P480" s="14" t="s">
        <v>6032</v>
      </c>
      <c r="Q480" s="14" t="s">
        <v>11</v>
      </c>
      <c r="R480" s="3" t="s">
        <v>4170</v>
      </c>
      <c r="S480" s="3">
        <f t="shared" si="24"/>
        <v>550</v>
      </c>
      <c r="T480" s="3">
        <f t="shared" si="25"/>
        <v>17050</v>
      </c>
      <c r="U480" s="3" t="s">
        <v>60</v>
      </c>
      <c r="V480" s="14" t="s">
        <v>6</v>
      </c>
      <c r="W480" s="14" t="s">
        <v>6033</v>
      </c>
      <c r="X480" s="14" t="s">
        <v>60</v>
      </c>
    </row>
    <row r="481" spans="1:24" ht="15" x14ac:dyDescent="0.3">
      <c r="A481" s="3">
        <v>8</v>
      </c>
      <c r="B481" s="3" t="s">
        <v>6034</v>
      </c>
      <c r="C481" s="14" t="s">
        <v>0</v>
      </c>
      <c r="D481" s="14" t="s">
        <v>87</v>
      </c>
      <c r="E481" s="14" t="s">
        <v>4319</v>
      </c>
      <c r="F481" s="14" t="s">
        <v>88</v>
      </c>
      <c r="G481" s="14" t="s">
        <v>3</v>
      </c>
      <c r="H481" s="14" t="s">
        <v>6035</v>
      </c>
      <c r="I481" s="14" t="s">
        <v>89</v>
      </c>
      <c r="J481" s="14" t="s">
        <v>60</v>
      </c>
      <c r="K481" s="14" t="s">
        <v>60</v>
      </c>
      <c r="L481" s="14" t="s">
        <v>60</v>
      </c>
      <c r="M481" s="14" t="s">
        <v>68</v>
      </c>
      <c r="N481" s="14" t="s">
        <v>60</v>
      </c>
      <c r="O481" s="14" t="s">
        <v>86</v>
      </c>
      <c r="P481" s="14" t="s">
        <v>6036</v>
      </c>
      <c r="Q481" s="14" t="s">
        <v>11</v>
      </c>
      <c r="R481" s="3" t="s">
        <v>6037</v>
      </c>
      <c r="S481" s="3">
        <f t="shared" si="24"/>
        <v>550</v>
      </c>
      <c r="T481" s="3">
        <f t="shared" si="25"/>
        <v>3850</v>
      </c>
      <c r="U481" s="3" t="s">
        <v>60</v>
      </c>
      <c r="V481" s="14" t="s">
        <v>6</v>
      </c>
      <c r="W481" s="14" t="s">
        <v>6038</v>
      </c>
      <c r="X481" s="14" t="s">
        <v>60</v>
      </c>
    </row>
    <row r="482" spans="1:24" ht="15" x14ac:dyDescent="0.3">
      <c r="A482" s="3">
        <v>9</v>
      </c>
      <c r="B482" s="3" t="s">
        <v>90</v>
      </c>
      <c r="C482" s="14" t="s">
        <v>91</v>
      </c>
      <c r="D482" s="14" t="s">
        <v>92</v>
      </c>
      <c r="E482" s="14" t="s">
        <v>6039</v>
      </c>
      <c r="F482" s="14" t="s">
        <v>93</v>
      </c>
      <c r="G482" s="14" t="s">
        <v>3</v>
      </c>
      <c r="H482" s="14" t="s">
        <v>6040</v>
      </c>
      <c r="I482" s="14" t="s">
        <v>94</v>
      </c>
      <c r="J482" s="14" t="s">
        <v>60</v>
      </c>
      <c r="K482" s="14" t="s">
        <v>60</v>
      </c>
      <c r="L482" s="14" t="s">
        <v>60</v>
      </c>
      <c r="M482" s="14" t="s">
        <v>95</v>
      </c>
      <c r="N482" s="14" t="s">
        <v>60</v>
      </c>
      <c r="O482" s="14" t="s">
        <v>59</v>
      </c>
      <c r="P482" s="14" t="s">
        <v>6041</v>
      </c>
      <c r="Q482" s="14" t="s">
        <v>11</v>
      </c>
      <c r="R482" s="3" t="s">
        <v>4170</v>
      </c>
      <c r="S482" s="3">
        <f t="shared" si="24"/>
        <v>770</v>
      </c>
      <c r="T482" s="3">
        <f t="shared" si="25"/>
        <v>23870</v>
      </c>
      <c r="U482" s="3" t="s">
        <v>60</v>
      </c>
      <c r="V482" s="14" t="s">
        <v>6</v>
      </c>
      <c r="W482" s="14" t="s">
        <v>4287</v>
      </c>
      <c r="X482" s="14" t="s">
        <v>60</v>
      </c>
    </row>
    <row r="483" spans="1:24" ht="15" x14ac:dyDescent="0.3">
      <c r="A483" s="3">
        <v>10</v>
      </c>
      <c r="B483" s="3" t="s">
        <v>6042</v>
      </c>
      <c r="C483" s="14" t="s">
        <v>0</v>
      </c>
      <c r="D483" s="14" t="s">
        <v>97</v>
      </c>
      <c r="E483" s="14" t="s">
        <v>5258</v>
      </c>
      <c r="F483" s="14" t="s">
        <v>98</v>
      </c>
      <c r="G483" s="14" t="s">
        <v>3</v>
      </c>
      <c r="H483" s="14" t="s">
        <v>6043</v>
      </c>
      <c r="I483" s="14" t="s">
        <v>99</v>
      </c>
      <c r="J483" s="14" t="s">
        <v>60</v>
      </c>
      <c r="K483" s="14" t="s">
        <v>60</v>
      </c>
      <c r="L483" s="14" t="s">
        <v>60</v>
      </c>
      <c r="M483" s="14" t="s">
        <v>100</v>
      </c>
      <c r="N483" s="14" t="s">
        <v>60</v>
      </c>
      <c r="O483" s="14" t="s">
        <v>59</v>
      </c>
      <c r="P483" s="14" t="s">
        <v>6044</v>
      </c>
      <c r="Q483" s="14" t="s">
        <v>11</v>
      </c>
      <c r="R483" s="3" t="s">
        <v>4170</v>
      </c>
      <c r="S483" s="3">
        <f t="shared" si="24"/>
        <v>550</v>
      </c>
      <c r="T483" s="3">
        <f t="shared" si="25"/>
        <v>17050</v>
      </c>
      <c r="U483" s="3" t="s">
        <v>60</v>
      </c>
      <c r="V483" s="14" t="s">
        <v>6</v>
      </c>
      <c r="W483" s="14" t="s">
        <v>4287</v>
      </c>
      <c r="X483" s="14" t="s">
        <v>60</v>
      </c>
    </row>
    <row r="484" spans="1:24" ht="15" x14ac:dyDescent="0.3">
      <c r="A484" s="3">
        <v>11</v>
      </c>
      <c r="B484" s="3" t="s">
        <v>6045</v>
      </c>
      <c r="C484" s="14" t="s">
        <v>0</v>
      </c>
      <c r="D484" s="14" t="s">
        <v>101</v>
      </c>
      <c r="E484" s="14" t="s">
        <v>6046</v>
      </c>
      <c r="F484" s="14" t="s">
        <v>102</v>
      </c>
      <c r="G484" s="14" t="s">
        <v>3</v>
      </c>
      <c r="H484" s="14" t="s">
        <v>6047</v>
      </c>
      <c r="I484" s="14" t="s">
        <v>103</v>
      </c>
      <c r="J484" s="14" t="s">
        <v>60</v>
      </c>
      <c r="K484" s="14" t="s">
        <v>60</v>
      </c>
      <c r="L484" s="14" t="s">
        <v>60</v>
      </c>
      <c r="M484" s="14" t="s">
        <v>104</v>
      </c>
      <c r="N484" s="14" t="s">
        <v>60</v>
      </c>
      <c r="O484" s="14" t="s">
        <v>59</v>
      </c>
      <c r="P484" s="14" t="s">
        <v>6048</v>
      </c>
      <c r="Q484" s="14" t="s">
        <v>11</v>
      </c>
      <c r="R484" s="3" t="s">
        <v>4170</v>
      </c>
      <c r="S484" s="3">
        <f t="shared" si="24"/>
        <v>550</v>
      </c>
      <c r="T484" s="3">
        <f t="shared" si="25"/>
        <v>17050</v>
      </c>
      <c r="U484" s="3" t="s">
        <v>60</v>
      </c>
      <c r="V484" s="14" t="s">
        <v>6</v>
      </c>
      <c r="W484" s="14" t="s">
        <v>4287</v>
      </c>
      <c r="X484" s="14" t="s">
        <v>60</v>
      </c>
    </row>
    <row r="485" spans="1:24" ht="15" x14ac:dyDescent="0.3">
      <c r="A485" s="3">
        <v>12</v>
      </c>
      <c r="B485" s="3" t="s">
        <v>6049</v>
      </c>
      <c r="C485" s="14" t="s">
        <v>0</v>
      </c>
      <c r="D485" s="14" t="s">
        <v>105</v>
      </c>
      <c r="E485" s="14" t="s">
        <v>6050</v>
      </c>
      <c r="F485" s="14" t="s">
        <v>106</v>
      </c>
      <c r="G485" s="14" t="s">
        <v>3</v>
      </c>
      <c r="H485" s="14" t="s">
        <v>6051</v>
      </c>
      <c r="I485" s="14" t="s">
        <v>107</v>
      </c>
      <c r="J485" s="14" t="s">
        <v>60</v>
      </c>
      <c r="K485" s="14" t="s">
        <v>60</v>
      </c>
      <c r="L485" s="14" t="s">
        <v>60</v>
      </c>
      <c r="M485" s="14" t="s">
        <v>108</v>
      </c>
      <c r="N485" s="14" t="s">
        <v>60</v>
      </c>
      <c r="O485" s="14" t="s">
        <v>109</v>
      </c>
      <c r="P485" s="14" t="s">
        <v>6052</v>
      </c>
      <c r="Q485" s="14" t="s">
        <v>11</v>
      </c>
      <c r="R485" s="3" t="s">
        <v>4300</v>
      </c>
      <c r="S485" s="3">
        <f t="shared" si="24"/>
        <v>550</v>
      </c>
      <c r="T485" s="3">
        <f t="shared" si="25"/>
        <v>15950</v>
      </c>
      <c r="U485" s="3" t="s">
        <v>60</v>
      </c>
      <c r="V485" s="14" t="s">
        <v>6</v>
      </c>
      <c r="W485" s="14" t="s">
        <v>6053</v>
      </c>
      <c r="X485" s="14" t="s">
        <v>60</v>
      </c>
    </row>
    <row r="486" spans="1:24" ht="15" x14ac:dyDescent="0.3">
      <c r="A486" s="3">
        <v>13</v>
      </c>
      <c r="B486" s="3" t="s">
        <v>6054</v>
      </c>
      <c r="C486" s="14" t="s">
        <v>0</v>
      </c>
      <c r="D486" s="14" t="s">
        <v>115</v>
      </c>
      <c r="E486" s="14" t="s">
        <v>6055</v>
      </c>
      <c r="F486" s="14" t="s">
        <v>116</v>
      </c>
      <c r="G486" s="14" t="s">
        <v>3</v>
      </c>
      <c r="H486" s="14" t="s">
        <v>117</v>
      </c>
      <c r="I486" s="14" t="s">
        <v>118</v>
      </c>
      <c r="J486" s="14" t="s">
        <v>60</v>
      </c>
      <c r="K486" s="14" t="s">
        <v>60</v>
      </c>
      <c r="L486" s="14" t="s">
        <v>60</v>
      </c>
      <c r="M486" s="14" t="s">
        <v>60</v>
      </c>
      <c r="N486" s="14" t="s">
        <v>60</v>
      </c>
      <c r="O486" s="14" t="s">
        <v>60</v>
      </c>
      <c r="P486" s="14" t="s">
        <v>6056</v>
      </c>
      <c r="Q486" s="14" t="s">
        <v>11</v>
      </c>
      <c r="R486" s="3" t="s">
        <v>6057</v>
      </c>
      <c r="S486" s="3">
        <f t="shared" si="24"/>
        <v>550</v>
      </c>
      <c r="T486" s="3">
        <f t="shared" si="25"/>
        <v>4400</v>
      </c>
      <c r="U486" s="3" t="s">
        <v>60</v>
      </c>
      <c r="V486" s="14" t="s">
        <v>6</v>
      </c>
      <c r="W486" s="14" t="s">
        <v>4985</v>
      </c>
      <c r="X486" s="14" t="s">
        <v>5085</v>
      </c>
    </row>
    <row r="487" spans="1:24" ht="15" x14ac:dyDescent="0.3">
      <c r="A487" s="3">
        <v>14</v>
      </c>
      <c r="B487" s="3" t="s">
        <v>6058</v>
      </c>
      <c r="C487" s="14" t="s">
        <v>0</v>
      </c>
      <c r="D487" s="14" t="s">
        <v>119</v>
      </c>
      <c r="E487" s="14" t="s">
        <v>6059</v>
      </c>
      <c r="F487" s="14" t="s">
        <v>120</v>
      </c>
      <c r="G487" s="14" t="s">
        <v>121</v>
      </c>
      <c r="H487" s="14" t="s">
        <v>6060</v>
      </c>
      <c r="I487" s="14" t="s">
        <v>122</v>
      </c>
      <c r="J487" s="14" t="s">
        <v>60</v>
      </c>
      <c r="K487" s="14" t="s">
        <v>60</v>
      </c>
      <c r="L487" s="14" t="s">
        <v>60</v>
      </c>
      <c r="M487" s="14" t="s">
        <v>60</v>
      </c>
      <c r="N487" s="14" t="s">
        <v>60</v>
      </c>
      <c r="O487" s="14" t="s">
        <v>60</v>
      </c>
      <c r="P487" s="14" t="s">
        <v>6061</v>
      </c>
      <c r="Q487" s="14" t="s">
        <v>11</v>
      </c>
      <c r="R487" s="3" t="s">
        <v>4170</v>
      </c>
      <c r="S487" s="3">
        <f t="shared" si="24"/>
        <v>550</v>
      </c>
      <c r="T487" s="3">
        <f t="shared" si="25"/>
        <v>17050</v>
      </c>
      <c r="U487" s="3" t="s">
        <v>60</v>
      </c>
      <c r="V487" s="14" t="s">
        <v>6</v>
      </c>
      <c r="W487" s="14" t="s">
        <v>4731</v>
      </c>
      <c r="X487" s="14" t="s">
        <v>60</v>
      </c>
    </row>
    <row r="488" spans="1:24" ht="15" x14ac:dyDescent="0.3">
      <c r="A488" s="3">
        <v>15</v>
      </c>
      <c r="B488" s="3" t="s">
        <v>6062</v>
      </c>
      <c r="C488" s="14" t="s">
        <v>0</v>
      </c>
      <c r="D488" s="14" t="s">
        <v>6063</v>
      </c>
      <c r="E488" s="14" t="s">
        <v>6064</v>
      </c>
      <c r="F488" s="14" t="s">
        <v>123</v>
      </c>
      <c r="G488" s="14" t="s">
        <v>3</v>
      </c>
      <c r="H488" s="14" t="s">
        <v>6065</v>
      </c>
      <c r="I488" s="14" t="s">
        <v>124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6066</v>
      </c>
      <c r="Q488" s="14" t="s">
        <v>11</v>
      </c>
      <c r="R488" s="3" t="s">
        <v>4170</v>
      </c>
      <c r="S488" s="3">
        <f t="shared" si="24"/>
        <v>550</v>
      </c>
      <c r="T488" s="3">
        <f t="shared" si="25"/>
        <v>17050</v>
      </c>
      <c r="U488" s="3" t="s">
        <v>60</v>
      </c>
      <c r="V488" s="14" t="s">
        <v>6</v>
      </c>
      <c r="W488" s="14" t="s">
        <v>6067</v>
      </c>
      <c r="X488" s="14" t="s">
        <v>60</v>
      </c>
    </row>
    <row r="489" spans="1:24" ht="15" x14ac:dyDescent="0.3">
      <c r="A489" s="3">
        <v>16</v>
      </c>
      <c r="B489" s="3" t="s">
        <v>6068</v>
      </c>
      <c r="C489" s="14" t="s">
        <v>0</v>
      </c>
      <c r="D489" s="14" t="s">
        <v>125</v>
      </c>
      <c r="E489" s="14" t="s">
        <v>6069</v>
      </c>
      <c r="F489" s="14" t="s">
        <v>126</v>
      </c>
      <c r="G489" s="14" t="s">
        <v>3</v>
      </c>
      <c r="H489" s="14" t="s">
        <v>6070</v>
      </c>
      <c r="I489" s="14" t="s">
        <v>127</v>
      </c>
      <c r="J489" s="14" t="s">
        <v>60</v>
      </c>
      <c r="K489" s="14" t="s">
        <v>60</v>
      </c>
      <c r="L489" s="14" t="s">
        <v>60</v>
      </c>
      <c r="M489" s="14" t="s">
        <v>60</v>
      </c>
      <c r="N489" s="14" t="s">
        <v>60</v>
      </c>
      <c r="O489" s="14" t="s">
        <v>60</v>
      </c>
      <c r="P489" s="14" t="s">
        <v>6071</v>
      </c>
      <c r="Q489" s="14" t="s">
        <v>11</v>
      </c>
      <c r="R489" s="3" t="s">
        <v>4170</v>
      </c>
      <c r="S489" s="3">
        <f t="shared" si="24"/>
        <v>550</v>
      </c>
      <c r="T489" s="3">
        <f t="shared" si="25"/>
        <v>17050</v>
      </c>
      <c r="U489" s="3" t="s">
        <v>60</v>
      </c>
      <c r="V489" s="14" t="s">
        <v>6</v>
      </c>
      <c r="W489" s="14" t="s">
        <v>6072</v>
      </c>
      <c r="X489" s="14" t="s">
        <v>60</v>
      </c>
    </row>
    <row r="490" spans="1:24" ht="15" x14ac:dyDescent="0.3">
      <c r="A490" s="3">
        <v>17</v>
      </c>
      <c r="B490" s="3" t="s">
        <v>6073</v>
      </c>
      <c r="C490" s="14" t="s">
        <v>0</v>
      </c>
      <c r="D490" s="14" t="s">
        <v>3346</v>
      </c>
      <c r="E490" s="14" t="s">
        <v>6074</v>
      </c>
      <c r="F490" s="14" t="s">
        <v>3300</v>
      </c>
      <c r="G490" s="14" t="s">
        <v>3</v>
      </c>
      <c r="H490" s="14" t="s">
        <v>3399</v>
      </c>
      <c r="I490" s="14" t="s">
        <v>3400</v>
      </c>
      <c r="J490" s="14" t="s">
        <v>60</v>
      </c>
      <c r="K490" s="14" t="s">
        <v>60</v>
      </c>
      <c r="L490" s="14" t="s">
        <v>60</v>
      </c>
      <c r="M490" s="14" t="s">
        <v>3401</v>
      </c>
      <c r="N490" s="14" t="s">
        <v>60</v>
      </c>
      <c r="O490" s="14" t="s">
        <v>60</v>
      </c>
      <c r="P490" s="14" t="s">
        <v>6075</v>
      </c>
      <c r="Q490" s="14" t="s">
        <v>11</v>
      </c>
      <c r="R490" s="3" t="s">
        <v>5658</v>
      </c>
      <c r="S490" s="3">
        <f t="shared" si="24"/>
        <v>550</v>
      </c>
      <c r="T490" s="3">
        <f t="shared" si="25"/>
        <v>5500</v>
      </c>
      <c r="U490" s="3" t="s">
        <v>60</v>
      </c>
      <c r="V490" s="14" t="s">
        <v>6</v>
      </c>
      <c r="W490" s="14" t="s">
        <v>6076</v>
      </c>
      <c r="X490" s="14" t="s">
        <v>5085</v>
      </c>
    </row>
    <row r="491" spans="1:24" ht="15" x14ac:dyDescent="0.3">
      <c r="A491" s="3">
        <v>18</v>
      </c>
      <c r="B491" s="3" t="s">
        <v>6077</v>
      </c>
      <c r="C491" s="14" t="s">
        <v>0</v>
      </c>
      <c r="D491" s="14" t="s">
        <v>3344</v>
      </c>
      <c r="E491" s="14" t="s">
        <v>6078</v>
      </c>
      <c r="F491" s="14" t="s">
        <v>3301</v>
      </c>
      <c r="G491" s="14" t="s">
        <v>3</v>
      </c>
      <c r="H491" s="14" t="s">
        <v>3402</v>
      </c>
      <c r="I491" s="14" t="s">
        <v>3403</v>
      </c>
      <c r="J491" s="14" t="s">
        <v>60</v>
      </c>
      <c r="K491" s="14" t="s">
        <v>60</v>
      </c>
      <c r="L491" s="14" t="s">
        <v>60</v>
      </c>
      <c r="M491" s="14" t="s">
        <v>3404</v>
      </c>
      <c r="N491" s="14" t="s">
        <v>60</v>
      </c>
      <c r="O491" s="14" t="s">
        <v>60</v>
      </c>
      <c r="P491" s="14" t="s">
        <v>6079</v>
      </c>
      <c r="Q491" s="14" t="s">
        <v>11</v>
      </c>
      <c r="R491" s="3" t="s">
        <v>6037</v>
      </c>
      <c r="S491" s="3">
        <f t="shared" si="24"/>
        <v>550</v>
      </c>
      <c r="T491" s="3">
        <f t="shared" si="25"/>
        <v>3850</v>
      </c>
      <c r="U491" s="3" t="s">
        <v>60</v>
      </c>
      <c r="V491" s="14" t="s">
        <v>6</v>
      </c>
      <c r="W491" s="14" t="s">
        <v>6076</v>
      </c>
      <c r="X491" s="14" t="s">
        <v>5085</v>
      </c>
    </row>
    <row r="492" spans="1:24" ht="15" x14ac:dyDescent="0.3">
      <c r="A492" s="3">
        <v>19</v>
      </c>
      <c r="B492" s="3" t="s">
        <v>6080</v>
      </c>
      <c r="C492" s="14" t="s">
        <v>0</v>
      </c>
      <c r="D492" s="14" t="s">
        <v>3302</v>
      </c>
      <c r="E492" s="14" t="s">
        <v>4864</v>
      </c>
      <c r="F492" s="14" t="s">
        <v>3305</v>
      </c>
      <c r="G492" s="14" t="s">
        <v>3</v>
      </c>
      <c r="H492" s="14" t="s">
        <v>6081</v>
      </c>
      <c r="I492" s="14" t="s">
        <v>3405</v>
      </c>
      <c r="J492" s="14" t="s">
        <v>60</v>
      </c>
      <c r="K492" s="14" t="s">
        <v>60</v>
      </c>
      <c r="L492" s="14" t="s">
        <v>60</v>
      </c>
      <c r="M492" s="14" t="s">
        <v>3406</v>
      </c>
      <c r="N492" s="14" t="s">
        <v>60</v>
      </c>
      <c r="O492" s="14" t="s">
        <v>60</v>
      </c>
      <c r="P492" s="14" t="s">
        <v>6082</v>
      </c>
      <c r="Q492" s="14" t="s">
        <v>11</v>
      </c>
      <c r="R492" s="3" t="s">
        <v>4170</v>
      </c>
      <c r="S492" s="3">
        <f t="shared" si="24"/>
        <v>550</v>
      </c>
      <c r="T492" s="3">
        <f t="shared" si="25"/>
        <v>17050</v>
      </c>
      <c r="U492" s="3" t="s">
        <v>60</v>
      </c>
      <c r="V492" s="14" t="s">
        <v>6</v>
      </c>
      <c r="W492" s="14" t="s">
        <v>6076</v>
      </c>
      <c r="X492" s="14" t="s">
        <v>60</v>
      </c>
    </row>
    <row r="493" spans="1:24" ht="15" x14ac:dyDescent="0.3">
      <c r="A493" s="3">
        <v>20</v>
      </c>
      <c r="B493" s="3" t="s">
        <v>6083</v>
      </c>
      <c r="C493" s="14" t="s">
        <v>0</v>
      </c>
      <c r="D493" s="14" t="s">
        <v>3303</v>
      </c>
      <c r="E493" s="14" t="s">
        <v>6084</v>
      </c>
      <c r="F493" s="14" t="s">
        <v>3306</v>
      </c>
      <c r="G493" s="14" t="s">
        <v>3</v>
      </c>
      <c r="H493" s="14" t="s">
        <v>6085</v>
      </c>
      <c r="I493" s="14" t="s">
        <v>3407</v>
      </c>
      <c r="J493" s="14" t="s">
        <v>60</v>
      </c>
      <c r="K493" s="14" t="s">
        <v>60</v>
      </c>
      <c r="L493" s="14" t="s">
        <v>60</v>
      </c>
      <c r="M493" s="14" t="s">
        <v>3408</v>
      </c>
      <c r="N493" s="14" t="s">
        <v>60</v>
      </c>
      <c r="O493" s="14" t="s">
        <v>60</v>
      </c>
      <c r="P493" s="14" t="s">
        <v>6086</v>
      </c>
      <c r="Q493" s="14" t="s">
        <v>11</v>
      </c>
      <c r="R493" s="3" t="s">
        <v>4170</v>
      </c>
      <c r="S493" s="3">
        <f t="shared" si="24"/>
        <v>550</v>
      </c>
      <c r="T493" s="3">
        <f t="shared" si="25"/>
        <v>17050</v>
      </c>
      <c r="U493" s="3" t="s">
        <v>6087</v>
      </c>
      <c r="V493" s="14" t="s">
        <v>6</v>
      </c>
      <c r="W493" s="14" t="s">
        <v>6076</v>
      </c>
      <c r="X493" s="14" t="s">
        <v>60</v>
      </c>
    </row>
    <row r="494" spans="1:24" ht="15" x14ac:dyDescent="0.3">
      <c r="A494" s="3">
        <v>21</v>
      </c>
      <c r="B494" s="3" t="s">
        <v>6088</v>
      </c>
      <c r="C494" s="14" t="s">
        <v>0</v>
      </c>
      <c r="D494" s="14" t="s">
        <v>3304</v>
      </c>
      <c r="E494" s="14" t="s">
        <v>6089</v>
      </c>
      <c r="F494" s="14" t="s">
        <v>85</v>
      </c>
      <c r="G494" s="14" t="s">
        <v>3</v>
      </c>
      <c r="H494" s="14" t="s">
        <v>3409</v>
      </c>
      <c r="I494" s="14" t="s">
        <v>3410</v>
      </c>
      <c r="J494" s="14" t="s">
        <v>60</v>
      </c>
      <c r="K494" s="14" t="s">
        <v>60</v>
      </c>
      <c r="L494" s="14" t="s">
        <v>60</v>
      </c>
      <c r="M494" s="14" t="s">
        <v>3411</v>
      </c>
      <c r="N494" s="14" t="s">
        <v>60</v>
      </c>
      <c r="O494" s="14" t="s">
        <v>60</v>
      </c>
      <c r="P494" s="14" t="s">
        <v>6090</v>
      </c>
      <c r="Q494" s="14" t="s">
        <v>11</v>
      </c>
      <c r="R494" s="3" t="s">
        <v>6091</v>
      </c>
      <c r="S494" s="3">
        <f t="shared" si="24"/>
        <v>550</v>
      </c>
      <c r="T494" s="3">
        <f t="shared" si="25"/>
        <v>3850</v>
      </c>
      <c r="U494" s="3" t="s">
        <v>60</v>
      </c>
      <c r="V494" s="14" t="s">
        <v>6</v>
      </c>
      <c r="W494" s="14" t="s">
        <v>6076</v>
      </c>
      <c r="X494" s="14" t="s">
        <v>5085</v>
      </c>
    </row>
    <row r="495" spans="1:24" ht="15" x14ac:dyDescent="0.3">
      <c r="A495" s="3">
        <v>22</v>
      </c>
      <c r="B495" s="3" t="s">
        <v>6092</v>
      </c>
      <c r="C495" s="14" t="s">
        <v>0</v>
      </c>
      <c r="D495" s="14" t="s">
        <v>3431</v>
      </c>
      <c r="E495" s="14" t="s">
        <v>6093</v>
      </c>
      <c r="F495" s="14" t="s">
        <v>2240</v>
      </c>
      <c r="G495" s="14" t="s">
        <v>3</v>
      </c>
      <c r="H495" s="14" t="s">
        <v>6094</v>
      </c>
      <c r="I495" s="14" t="s">
        <v>3764</v>
      </c>
      <c r="J495" s="14" t="s">
        <v>60</v>
      </c>
      <c r="K495" s="14" t="s">
        <v>60</v>
      </c>
      <c r="L495" s="14" t="s">
        <v>60</v>
      </c>
      <c r="M495" s="14" t="s">
        <v>60</v>
      </c>
      <c r="N495" s="14" t="s">
        <v>60</v>
      </c>
      <c r="O495" s="14" t="s">
        <v>60</v>
      </c>
      <c r="P495" s="14" t="s">
        <v>6095</v>
      </c>
      <c r="Q495" s="14" t="s">
        <v>11</v>
      </c>
      <c r="R495" s="3" t="s">
        <v>4300</v>
      </c>
      <c r="S495" s="3">
        <f t="shared" si="24"/>
        <v>550</v>
      </c>
      <c r="T495" s="3">
        <f t="shared" si="25"/>
        <v>15950</v>
      </c>
      <c r="U495" s="3" t="s">
        <v>60</v>
      </c>
      <c r="V495" s="14" t="s">
        <v>6</v>
      </c>
      <c r="W495" s="14" t="s">
        <v>6096</v>
      </c>
      <c r="X495" s="14" t="s">
        <v>60</v>
      </c>
    </row>
    <row r="496" spans="1:24" ht="15" x14ac:dyDescent="0.3">
      <c r="A496" s="3">
        <v>23</v>
      </c>
      <c r="B496" s="3" t="s">
        <v>6097</v>
      </c>
      <c r="C496" s="14" t="s">
        <v>0</v>
      </c>
      <c r="D496" s="14" t="s">
        <v>3488</v>
      </c>
      <c r="E496" s="14" t="s">
        <v>6098</v>
      </c>
      <c r="F496" s="14" t="s">
        <v>3502</v>
      </c>
      <c r="G496" s="14" t="s">
        <v>3</v>
      </c>
      <c r="H496" s="14" t="s">
        <v>3723</v>
      </c>
      <c r="I496" s="14" t="s">
        <v>3724</v>
      </c>
      <c r="J496" s="14" t="s">
        <v>60</v>
      </c>
      <c r="K496" s="14" t="s">
        <v>60</v>
      </c>
      <c r="L496" s="14" t="s">
        <v>60</v>
      </c>
      <c r="M496" s="14" t="s">
        <v>3725</v>
      </c>
      <c r="N496" s="14" t="s">
        <v>60</v>
      </c>
      <c r="O496" s="14" t="s">
        <v>60</v>
      </c>
      <c r="P496" s="14" t="s">
        <v>6099</v>
      </c>
      <c r="Q496" s="14" t="s">
        <v>11</v>
      </c>
      <c r="R496" s="3" t="s">
        <v>6100</v>
      </c>
      <c r="S496" s="3">
        <f t="shared" si="24"/>
        <v>550</v>
      </c>
      <c r="T496" s="3">
        <f t="shared" si="25"/>
        <v>1650</v>
      </c>
      <c r="U496" s="3" t="s">
        <v>60</v>
      </c>
      <c r="V496" s="14" t="s">
        <v>6</v>
      </c>
      <c r="W496" s="14" t="s">
        <v>6101</v>
      </c>
      <c r="X496" s="14" t="s">
        <v>5085</v>
      </c>
    </row>
    <row r="497" spans="1:24" ht="15" x14ac:dyDescent="0.3">
      <c r="A497" s="3">
        <v>24</v>
      </c>
      <c r="B497" s="3" t="s">
        <v>6102</v>
      </c>
      <c r="C497" s="14" t="s">
        <v>0</v>
      </c>
      <c r="D497" s="14" t="s">
        <v>3489</v>
      </c>
      <c r="E497" s="14" t="s">
        <v>6103</v>
      </c>
      <c r="F497" s="14" t="s">
        <v>3503</v>
      </c>
      <c r="G497" s="14" t="s">
        <v>3</v>
      </c>
      <c r="H497" s="14" t="s">
        <v>3726</v>
      </c>
      <c r="I497" s="14" t="s">
        <v>3727</v>
      </c>
      <c r="J497" s="14" t="s">
        <v>60</v>
      </c>
      <c r="K497" s="14" t="s">
        <v>60</v>
      </c>
      <c r="L497" s="14" t="s">
        <v>60</v>
      </c>
      <c r="M497" s="14" t="s">
        <v>3728</v>
      </c>
      <c r="N497" s="14" t="s">
        <v>60</v>
      </c>
      <c r="O497" s="14" t="s">
        <v>60</v>
      </c>
      <c r="P497" s="14" t="s">
        <v>6104</v>
      </c>
      <c r="Q497" s="14" t="s">
        <v>11</v>
      </c>
      <c r="R497" s="3" t="s">
        <v>6100</v>
      </c>
      <c r="S497" s="3">
        <f t="shared" si="24"/>
        <v>550</v>
      </c>
      <c r="T497" s="3">
        <f t="shared" si="25"/>
        <v>1650</v>
      </c>
      <c r="U497" s="3" t="s">
        <v>60</v>
      </c>
      <c r="V497" s="14" t="s">
        <v>6</v>
      </c>
      <c r="W497" s="14" t="s">
        <v>6101</v>
      </c>
      <c r="X497" s="14" t="s">
        <v>5085</v>
      </c>
    </row>
    <row r="498" spans="1:24" ht="15" x14ac:dyDescent="0.3">
      <c r="A498" s="3">
        <v>25</v>
      </c>
      <c r="B498" s="3" t="s">
        <v>6105</v>
      </c>
      <c r="C498" s="14" t="s">
        <v>0</v>
      </c>
      <c r="D498" s="14" t="s">
        <v>6106</v>
      </c>
      <c r="E498" s="14" t="s">
        <v>6107</v>
      </c>
      <c r="F498" s="14" t="s">
        <v>3504</v>
      </c>
      <c r="G498" s="14" t="s">
        <v>3</v>
      </c>
      <c r="H498" s="14" t="s">
        <v>3729</v>
      </c>
      <c r="I498" s="14" t="s">
        <v>3730</v>
      </c>
      <c r="J498" s="14" t="s">
        <v>60</v>
      </c>
      <c r="K498" s="14" t="s">
        <v>60</v>
      </c>
      <c r="L498" s="14" t="s">
        <v>60</v>
      </c>
      <c r="M498" s="14" t="s">
        <v>3731</v>
      </c>
      <c r="N498" s="14" t="s">
        <v>60</v>
      </c>
      <c r="O498" s="14" t="s">
        <v>60</v>
      </c>
      <c r="P498" s="14" t="s">
        <v>6108</v>
      </c>
      <c r="Q498" s="14" t="s">
        <v>11</v>
      </c>
      <c r="R498" s="3" t="s">
        <v>6100</v>
      </c>
      <c r="S498" s="3">
        <f t="shared" si="24"/>
        <v>550</v>
      </c>
      <c r="T498" s="3">
        <f t="shared" si="25"/>
        <v>1650</v>
      </c>
      <c r="U498" s="3" t="s">
        <v>60</v>
      </c>
      <c r="V498" s="14" t="s">
        <v>6</v>
      </c>
      <c r="W498" s="14" t="s">
        <v>6101</v>
      </c>
      <c r="X498" s="14" t="s">
        <v>5085</v>
      </c>
    </row>
    <row r="499" spans="1:24" ht="15" x14ac:dyDescent="0.3">
      <c r="A499" s="3">
        <v>26</v>
      </c>
      <c r="B499" s="3" t="s">
        <v>6109</v>
      </c>
      <c r="C499" s="14" t="s">
        <v>0</v>
      </c>
      <c r="D499" s="14" t="s">
        <v>2642</v>
      </c>
      <c r="E499" s="14" t="s">
        <v>6110</v>
      </c>
      <c r="F499" s="14" t="s">
        <v>767</v>
      </c>
      <c r="G499" s="14" t="s">
        <v>3</v>
      </c>
      <c r="H499" s="14" t="s">
        <v>3732</v>
      </c>
      <c r="I499" s="14" t="s">
        <v>3733</v>
      </c>
      <c r="J499" s="14" t="s">
        <v>60</v>
      </c>
      <c r="K499" s="14" t="s">
        <v>60</v>
      </c>
      <c r="L499" s="14" t="s">
        <v>60</v>
      </c>
      <c r="M499" s="14" t="s">
        <v>3734</v>
      </c>
      <c r="N499" s="14" t="s">
        <v>60</v>
      </c>
      <c r="O499" s="14" t="s">
        <v>60</v>
      </c>
      <c r="P499" s="14" t="s">
        <v>6111</v>
      </c>
      <c r="Q499" s="14" t="s">
        <v>426</v>
      </c>
      <c r="R499" s="3" t="s">
        <v>6100</v>
      </c>
      <c r="S499" s="3">
        <f t="shared" si="24"/>
        <v>550</v>
      </c>
      <c r="T499" s="3">
        <f t="shared" si="25"/>
        <v>1650</v>
      </c>
      <c r="U499" s="3" t="s">
        <v>60</v>
      </c>
      <c r="V499" s="14" t="s">
        <v>6</v>
      </c>
      <c r="W499" s="14" t="s">
        <v>6101</v>
      </c>
      <c r="X499" s="14" t="s">
        <v>5085</v>
      </c>
    </row>
    <row r="500" spans="1:24" ht="15" x14ac:dyDescent="0.3">
      <c r="A500" s="3">
        <v>27</v>
      </c>
      <c r="B500" s="3" t="s">
        <v>6112</v>
      </c>
      <c r="C500" s="14" t="s">
        <v>0</v>
      </c>
      <c r="D500" s="14" t="s">
        <v>3432</v>
      </c>
      <c r="E500" s="14" t="s">
        <v>6113</v>
      </c>
      <c r="F500" s="14" t="s">
        <v>3439</v>
      </c>
      <c r="G500" s="14" t="s">
        <v>3</v>
      </c>
      <c r="H500" s="14" t="s">
        <v>6114</v>
      </c>
      <c r="I500" s="14" t="s">
        <v>3769</v>
      </c>
      <c r="J500" s="14" t="s">
        <v>60</v>
      </c>
      <c r="K500" s="14" t="s">
        <v>60</v>
      </c>
      <c r="L500" s="14" t="s">
        <v>60</v>
      </c>
      <c r="M500" s="14" t="s">
        <v>3770</v>
      </c>
      <c r="N500" s="14" t="s">
        <v>60</v>
      </c>
      <c r="O500" s="14" t="s">
        <v>60</v>
      </c>
      <c r="P500" s="14" t="s">
        <v>6115</v>
      </c>
      <c r="Q500" s="14" t="s">
        <v>11</v>
      </c>
      <c r="R500" s="3" t="s">
        <v>4170</v>
      </c>
      <c r="S500" s="3">
        <f t="shared" si="24"/>
        <v>550</v>
      </c>
      <c r="T500" s="3">
        <f t="shared" si="25"/>
        <v>17050</v>
      </c>
      <c r="U500" s="3" t="s">
        <v>60</v>
      </c>
      <c r="V500" s="14" t="s">
        <v>6</v>
      </c>
      <c r="W500" s="14" t="s">
        <v>6096</v>
      </c>
      <c r="X500" s="14" t="s">
        <v>60</v>
      </c>
    </row>
    <row r="501" spans="1:24" ht="15" x14ac:dyDescent="0.3">
      <c r="A501" s="3">
        <v>28</v>
      </c>
      <c r="B501" s="3" t="s">
        <v>6116</v>
      </c>
      <c r="C501" s="14" t="s">
        <v>0</v>
      </c>
      <c r="D501" s="14" t="s">
        <v>3433</v>
      </c>
      <c r="E501" s="14" t="s">
        <v>6117</v>
      </c>
      <c r="F501" s="14" t="s">
        <v>3440</v>
      </c>
      <c r="G501" s="14" t="s">
        <v>3</v>
      </c>
      <c r="H501" s="14" t="s">
        <v>6118</v>
      </c>
      <c r="I501" s="14" t="s">
        <v>3771</v>
      </c>
      <c r="J501" s="14" t="s">
        <v>60</v>
      </c>
      <c r="K501" s="14" t="s">
        <v>60</v>
      </c>
      <c r="L501" s="14" t="s">
        <v>60</v>
      </c>
      <c r="M501" s="14" t="s">
        <v>3772</v>
      </c>
      <c r="N501" s="14" t="s">
        <v>60</v>
      </c>
      <c r="O501" s="14" t="s">
        <v>60</v>
      </c>
      <c r="P501" s="14" t="s">
        <v>6119</v>
      </c>
      <c r="Q501" s="14" t="s">
        <v>11</v>
      </c>
      <c r="R501" s="3" t="s">
        <v>4170</v>
      </c>
      <c r="S501" s="3">
        <f t="shared" si="24"/>
        <v>550</v>
      </c>
      <c r="T501" s="3">
        <f t="shared" si="25"/>
        <v>17050</v>
      </c>
      <c r="U501" s="3" t="s">
        <v>60</v>
      </c>
      <c r="V501" s="14" t="s">
        <v>6</v>
      </c>
      <c r="W501" s="14" t="s">
        <v>6096</v>
      </c>
      <c r="X501" s="14" t="s">
        <v>60</v>
      </c>
    </row>
    <row r="502" spans="1:24" ht="15" x14ac:dyDescent="0.3">
      <c r="A502" s="3">
        <v>29</v>
      </c>
      <c r="B502" s="3" t="s">
        <v>6120</v>
      </c>
      <c r="C502" s="14" t="s">
        <v>0</v>
      </c>
      <c r="D502" s="14" t="s">
        <v>3434</v>
      </c>
      <c r="E502" s="14" t="s">
        <v>6121</v>
      </c>
      <c r="F502" s="14" t="s">
        <v>3441</v>
      </c>
      <c r="G502" s="14" t="s">
        <v>3</v>
      </c>
      <c r="H502" s="14" t="s">
        <v>6122</v>
      </c>
      <c r="I502" s="14" t="s">
        <v>3773</v>
      </c>
      <c r="J502" s="14" t="s">
        <v>60</v>
      </c>
      <c r="K502" s="14" t="s">
        <v>60</v>
      </c>
      <c r="L502" s="14" t="s">
        <v>60</v>
      </c>
      <c r="M502" s="14" t="s">
        <v>3774</v>
      </c>
      <c r="N502" s="14" t="s">
        <v>60</v>
      </c>
      <c r="O502" s="14" t="s">
        <v>60</v>
      </c>
      <c r="P502" s="14" t="s">
        <v>6123</v>
      </c>
      <c r="Q502" s="14" t="s">
        <v>11</v>
      </c>
      <c r="R502" s="3" t="s">
        <v>4170</v>
      </c>
      <c r="S502" s="3">
        <f t="shared" si="24"/>
        <v>550</v>
      </c>
      <c r="T502" s="3">
        <f t="shared" si="25"/>
        <v>17050</v>
      </c>
      <c r="U502" s="3" t="s">
        <v>60</v>
      </c>
      <c r="V502" s="14" t="s">
        <v>6</v>
      </c>
      <c r="W502" s="14" t="s">
        <v>6096</v>
      </c>
      <c r="X502" s="14" t="s">
        <v>60</v>
      </c>
    </row>
    <row r="503" spans="1:24" ht="15" x14ac:dyDescent="0.3">
      <c r="A503" s="3">
        <v>30</v>
      </c>
      <c r="B503" s="3" t="s">
        <v>6124</v>
      </c>
      <c r="C503" s="14" t="s">
        <v>0</v>
      </c>
      <c r="D503" s="14" t="s">
        <v>3435</v>
      </c>
      <c r="E503" s="14" t="s">
        <v>6125</v>
      </c>
      <c r="F503" s="14" t="s">
        <v>3442</v>
      </c>
      <c r="G503" s="14" t="s">
        <v>3</v>
      </c>
      <c r="H503" s="14" t="s">
        <v>6126</v>
      </c>
      <c r="I503" s="14" t="s">
        <v>3775</v>
      </c>
      <c r="J503" s="14" t="s">
        <v>60</v>
      </c>
      <c r="K503" s="14" t="s">
        <v>60</v>
      </c>
      <c r="L503" s="14" t="s">
        <v>60</v>
      </c>
      <c r="M503" s="14" t="s">
        <v>60</v>
      </c>
      <c r="N503" s="14" t="s">
        <v>60</v>
      </c>
      <c r="O503" s="14" t="s">
        <v>60</v>
      </c>
      <c r="P503" s="14" t="s">
        <v>6127</v>
      </c>
      <c r="Q503" s="14" t="s">
        <v>11</v>
      </c>
      <c r="R503" s="3" t="s">
        <v>4300</v>
      </c>
      <c r="S503" s="3">
        <f t="shared" si="24"/>
        <v>550</v>
      </c>
      <c r="T503" s="3">
        <f t="shared" si="25"/>
        <v>15950</v>
      </c>
      <c r="U503" s="3" t="s">
        <v>60</v>
      </c>
      <c r="V503" s="14" t="s">
        <v>6</v>
      </c>
      <c r="W503" s="14" t="s">
        <v>6096</v>
      </c>
      <c r="X503" s="14" t="s">
        <v>60</v>
      </c>
    </row>
    <row r="504" spans="1:24" ht="15" x14ac:dyDescent="0.3">
      <c r="A504" s="3">
        <v>31</v>
      </c>
      <c r="B504" s="3" t="s">
        <v>6128</v>
      </c>
      <c r="C504" s="14" t="s">
        <v>0</v>
      </c>
      <c r="D504" s="14" t="s">
        <v>3436</v>
      </c>
      <c r="E504" s="14" t="s">
        <v>6129</v>
      </c>
      <c r="F504" s="14" t="s">
        <v>3443</v>
      </c>
      <c r="G504" s="14" t="s">
        <v>3</v>
      </c>
      <c r="H504" s="14" t="s">
        <v>3776</v>
      </c>
      <c r="I504" s="14" t="s">
        <v>3777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6130</v>
      </c>
      <c r="Q504" s="14" t="s">
        <v>11</v>
      </c>
      <c r="R504" s="3" t="s">
        <v>5084</v>
      </c>
      <c r="S504" s="3">
        <f t="shared" si="24"/>
        <v>550</v>
      </c>
      <c r="T504" s="3">
        <f t="shared" si="25"/>
        <v>550</v>
      </c>
      <c r="U504" s="3" t="s">
        <v>60</v>
      </c>
      <c r="V504" s="14" t="s">
        <v>6</v>
      </c>
      <c r="W504" s="14" t="s">
        <v>6096</v>
      </c>
      <c r="X504" s="14" t="s">
        <v>5171</v>
      </c>
    </row>
    <row r="505" spans="1:24" ht="15" x14ac:dyDescent="0.3">
      <c r="A505" s="3">
        <v>32</v>
      </c>
      <c r="B505" s="3" t="s">
        <v>6131</v>
      </c>
      <c r="C505" s="14" t="s">
        <v>0</v>
      </c>
      <c r="D505" s="14" t="s">
        <v>3437</v>
      </c>
      <c r="E505" s="14" t="s">
        <v>6132</v>
      </c>
      <c r="F505" s="14" t="s">
        <v>3444</v>
      </c>
      <c r="G505" s="14" t="s">
        <v>3</v>
      </c>
      <c r="H505" s="14" t="s">
        <v>6133</v>
      </c>
      <c r="I505" s="14" t="s">
        <v>3778</v>
      </c>
      <c r="J505" s="14" t="s">
        <v>60</v>
      </c>
      <c r="K505" s="14" t="s">
        <v>60</v>
      </c>
      <c r="L505" s="14" t="s">
        <v>60</v>
      </c>
      <c r="M505" s="14" t="s">
        <v>3779</v>
      </c>
      <c r="N505" s="14" t="s">
        <v>60</v>
      </c>
      <c r="O505" s="14" t="s">
        <v>60</v>
      </c>
      <c r="P505" s="14" t="s">
        <v>6134</v>
      </c>
      <c r="Q505" s="14" t="s">
        <v>11</v>
      </c>
      <c r="R505" s="3" t="s">
        <v>4170</v>
      </c>
      <c r="S505" s="3">
        <f t="shared" si="24"/>
        <v>550</v>
      </c>
      <c r="T505" s="3">
        <f t="shared" si="25"/>
        <v>17050</v>
      </c>
      <c r="U505" s="3" t="s">
        <v>60</v>
      </c>
      <c r="V505" s="14" t="s">
        <v>6</v>
      </c>
      <c r="W505" s="14" t="s">
        <v>6096</v>
      </c>
      <c r="X505" s="14" t="s">
        <v>60</v>
      </c>
    </row>
    <row r="506" spans="1:24" ht="15" x14ac:dyDescent="0.3">
      <c r="A506" s="3">
        <v>33</v>
      </c>
      <c r="B506" s="3" t="s">
        <v>6135</v>
      </c>
      <c r="C506" s="14" t="s">
        <v>0</v>
      </c>
      <c r="D506" s="14" t="s">
        <v>3438</v>
      </c>
      <c r="E506" s="14" t="s">
        <v>4746</v>
      </c>
      <c r="F506" s="14" t="s">
        <v>3445</v>
      </c>
      <c r="G506" s="14" t="s">
        <v>121</v>
      </c>
      <c r="H506" s="14" t="s">
        <v>3780</v>
      </c>
      <c r="I506" s="14" t="s">
        <v>3781</v>
      </c>
      <c r="J506" s="14" t="s">
        <v>60</v>
      </c>
      <c r="K506" s="14" t="s">
        <v>60</v>
      </c>
      <c r="L506" s="14" t="s">
        <v>60</v>
      </c>
      <c r="M506" s="14" t="s">
        <v>60</v>
      </c>
      <c r="N506" s="14" t="s">
        <v>60</v>
      </c>
      <c r="O506" s="14" t="s">
        <v>60</v>
      </c>
      <c r="P506" s="14" t="s">
        <v>6136</v>
      </c>
      <c r="Q506" s="14" t="s">
        <v>11</v>
      </c>
      <c r="R506" s="3" t="s">
        <v>6100</v>
      </c>
      <c r="S506" s="3">
        <f t="shared" si="24"/>
        <v>550</v>
      </c>
      <c r="T506" s="3">
        <f t="shared" si="25"/>
        <v>1650</v>
      </c>
      <c r="U506" s="3" t="s">
        <v>6137</v>
      </c>
      <c r="V506" s="14" t="s">
        <v>6</v>
      </c>
      <c r="W506" s="14" t="s">
        <v>6096</v>
      </c>
      <c r="X506" s="14" t="s">
        <v>5171</v>
      </c>
    </row>
    <row r="507" spans="1:24" ht="15.6" x14ac:dyDescent="0.3">
      <c r="A507" s="26" t="s">
        <v>60</v>
      </c>
      <c r="B507" s="26" t="s">
        <v>60</v>
      </c>
      <c r="C507" s="27" t="s">
        <v>60</v>
      </c>
      <c r="D507" s="27" t="s">
        <v>60</v>
      </c>
      <c r="E507" s="27" t="s">
        <v>60</v>
      </c>
      <c r="F507" s="27" t="s">
        <v>60</v>
      </c>
      <c r="G507" s="27" t="s">
        <v>60</v>
      </c>
      <c r="H507" s="27" t="s">
        <v>60</v>
      </c>
      <c r="I507" s="27" t="s">
        <v>60</v>
      </c>
      <c r="J507" s="27" t="s">
        <v>60</v>
      </c>
      <c r="K507" s="27" t="s">
        <v>60</v>
      </c>
      <c r="L507" s="27" t="s">
        <v>60</v>
      </c>
      <c r="M507" s="27" t="s">
        <v>60</v>
      </c>
      <c r="N507" s="27" t="s">
        <v>60</v>
      </c>
      <c r="O507" s="27" t="s">
        <v>60</v>
      </c>
      <c r="P507" s="27" t="s">
        <v>60</v>
      </c>
      <c r="Q507" s="27" t="s">
        <v>60</v>
      </c>
      <c r="R507" s="35" t="s">
        <v>2009</v>
      </c>
      <c r="S507" s="35" t="s">
        <v>60</v>
      </c>
      <c r="T507" s="26">
        <f>SUM(T473:T506)</f>
        <v>411180</v>
      </c>
      <c r="U507" s="26" t="s">
        <v>6138</v>
      </c>
      <c r="V507" s="27" t="s">
        <v>60</v>
      </c>
      <c r="W507" s="27" t="s">
        <v>60</v>
      </c>
      <c r="X507" s="27" t="s">
        <v>60</v>
      </c>
    </row>
    <row r="508" spans="1:24" ht="15.6" x14ac:dyDescent="0.3">
      <c r="A508" s="34" t="s">
        <v>6139</v>
      </c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 spans="1:24" ht="109.2" x14ac:dyDescent="0.3">
      <c r="A509" s="23" t="s">
        <v>42</v>
      </c>
      <c r="B509" s="23" t="s">
        <v>43</v>
      </c>
      <c r="C509" s="24" t="s">
        <v>44</v>
      </c>
      <c r="D509" s="24" t="s">
        <v>4154</v>
      </c>
      <c r="E509" s="24" t="s">
        <v>4155</v>
      </c>
      <c r="F509" s="24" t="s">
        <v>4156</v>
      </c>
      <c r="G509" s="24" t="s">
        <v>45</v>
      </c>
      <c r="H509" s="24" t="s">
        <v>4157</v>
      </c>
      <c r="I509" s="24" t="s">
        <v>46</v>
      </c>
      <c r="J509" s="24" t="s">
        <v>4158</v>
      </c>
      <c r="K509" s="24" t="s">
        <v>4159</v>
      </c>
      <c r="L509" s="24" t="s">
        <v>4160</v>
      </c>
      <c r="M509" s="24" t="s">
        <v>4161</v>
      </c>
      <c r="N509" s="24" t="s">
        <v>47</v>
      </c>
      <c r="O509" s="24" t="s">
        <v>48</v>
      </c>
      <c r="P509" s="24" t="s">
        <v>49</v>
      </c>
      <c r="Q509" s="24" t="s">
        <v>50</v>
      </c>
      <c r="R509" s="23" t="s">
        <v>4162</v>
      </c>
      <c r="S509" s="23" t="s">
        <v>4163</v>
      </c>
      <c r="T509" s="23" t="s">
        <v>4164</v>
      </c>
      <c r="U509" s="23" t="s">
        <v>4165</v>
      </c>
      <c r="V509" s="24" t="s">
        <v>51</v>
      </c>
      <c r="W509" s="24" t="s">
        <v>52</v>
      </c>
      <c r="X509" s="24" t="s">
        <v>53</v>
      </c>
    </row>
    <row r="510" spans="1:24" ht="15" x14ac:dyDescent="0.3">
      <c r="A510" s="3">
        <v>1</v>
      </c>
      <c r="B510" s="3" t="s">
        <v>6140</v>
      </c>
      <c r="C510" s="14" t="s">
        <v>69</v>
      </c>
      <c r="D510" s="14" t="s">
        <v>129</v>
      </c>
      <c r="E510" s="14" t="s">
        <v>6141</v>
      </c>
      <c r="F510" s="14" t="s">
        <v>130</v>
      </c>
      <c r="G510" s="14" t="s">
        <v>3</v>
      </c>
      <c r="H510" s="14" t="s">
        <v>6142</v>
      </c>
      <c r="I510" s="14" t="s">
        <v>131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4" t="s">
        <v>60</v>
      </c>
      <c r="O510" s="14" t="s">
        <v>59</v>
      </c>
      <c r="P510" s="14" t="s">
        <v>6143</v>
      </c>
      <c r="Q510" s="14" t="s">
        <v>11</v>
      </c>
      <c r="R510" s="3" t="s">
        <v>4170</v>
      </c>
      <c r="S510" s="3">
        <f t="shared" ref="S510:S525" si="26">IF(RIGHT(C510,3)="MAZ",550,IF(RIGHT(C510,4)="MATE",570,IF(RIGHT(C510,7)="SKD-III",640,IF(RIGHT(C510,6)="SKD-II",770,IF(RIGHT(C510,5)="SKD-I",900,IF(RIGHT(C510,5)="CPDVR",770,""))))))</f>
        <v>570</v>
      </c>
      <c r="T510" s="3">
        <f t="shared" ref="T510:T525" si="27">R510*S510</f>
        <v>17670</v>
      </c>
      <c r="U510" s="3" t="s">
        <v>60</v>
      </c>
      <c r="V510" s="14" t="s">
        <v>6</v>
      </c>
      <c r="W510" s="14" t="s">
        <v>4287</v>
      </c>
      <c r="X510" s="14" t="s">
        <v>60</v>
      </c>
    </row>
    <row r="511" spans="1:24" ht="15" x14ac:dyDescent="0.3">
      <c r="A511" s="3">
        <v>2</v>
      </c>
      <c r="B511" s="3" t="s">
        <v>6144</v>
      </c>
      <c r="C511" s="14" t="s">
        <v>0</v>
      </c>
      <c r="D511" s="14" t="s">
        <v>132</v>
      </c>
      <c r="E511" s="14" t="s">
        <v>6145</v>
      </c>
      <c r="F511" s="14" t="s">
        <v>133</v>
      </c>
      <c r="G511" s="14" t="s">
        <v>3</v>
      </c>
      <c r="H511" s="14" t="s">
        <v>6146</v>
      </c>
      <c r="I511" s="14" t="s">
        <v>134</v>
      </c>
      <c r="J511" s="14" t="s">
        <v>60</v>
      </c>
      <c r="K511" s="14" t="s">
        <v>60</v>
      </c>
      <c r="L511" s="14" t="s">
        <v>60</v>
      </c>
      <c r="M511" s="14" t="s">
        <v>135</v>
      </c>
      <c r="N511" s="14" t="s">
        <v>60</v>
      </c>
      <c r="O511" s="14" t="s">
        <v>59</v>
      </c>
      <c r="P511" s="14" t="s">
        <v>6147</v>
      </c>
      <c r="Q511" s="14" t="s">
        <v>11</v>
      </c>
      <c r="R511" s="3" t="s">
        <v>4170</v>
      </c>
      <c r="S511" s="3">
        <f t="shared" si="26"/>
        <v>550</v>
      </c>
      <c r="T511" s="3">
        <f t="shared" si="27"/>
        <v>17050</v>
      </c>
      <c r="U511" s="3" t="s">
        <v>60</v>
      </c>
      <c r="V511" s="14" t="s">
        <v>6</v>
      </c>
      <c r="W511" s="14" t="s">
        <v>4287</v>
      </c>
      <c r="X511" s="14" t="s">
        <v>60</v>
      </c>
    </row>
    <row r="512" spans="1:24" ht="15" x14ac:dyDescent="0.3">
      <c r="A512" s="3">
        <v>3</v>
      </c>
      <c r="B512" s="3" t="s">
        <v>6148</v>
      </c>
      <c r="C512" s="14" t="s">
        <v>0</v>
      </c>
      <c r="D512" s="14" t="s">
        <v>136</v>
      </c>
      <c r="E512" s="14" t="s">
        <v>137</v>
      </c>
      <c r="F512" s="14" t="s">
        <v>138</v>
      </c>
      <c r="G512" s="14" t="s">
        <v>3</v>
      </c>
      <c r="H512" s="14" t="s">
        <v>6149</v>
      </c>
      <c r="I512" s="14" t="s">
        <v>139</v>
      </c>
      <c r="J512" s="14" t="s">
        <v>60</v>
      </c>
      <c r="K512" s="14" t="s">
        <v>60</v>
      </c>
      <c r="L512" s="14" t="s">
        <v>60</v>
      </c>
      <c r="M512" s="14" t="s">
        <v>140</v>
      </c>
      <c r="N512" s="14" t="s">
        <v>60</v>
      </c>
      <c r="O512" s="14" t="s">
        <v>59</v>
      </c>
      <c r="P512" s="14" t="s">
        <v>6150</v>
      </c>
      <c r="Q512" s="14" t="s">
        <v>11</v>
      </c>
      <c r="R512" s="3" t="s">
        <v>4300</v>
      </c>
      <c r="S512" s="3">
        <f t="shared" si="26"/>
        <v>550</v>
      </c>
      <c r="T512" s="3">
        <f t="shared" si="27"/>
        <v>15950</v>
      </c>
      <c r="U512" s="3" t="s">
        <v>60</v>
      </c>
      <c r="V512" s="14" t="s">
        <v>6</v>
      </c>
      <c r="W512" s="14" t="s">
        <v>6018</v>
      </c>
      <c r="X512" s="14" t="s">
        <v>60</v>
      </c>
    </row>
    <row r="513" spans="1:24" ht="15" x14ac:dyDescent="0.3">
      <c r="A513" s="3">
        <v>4</v>
      </c>
      <c r="B513" s="3" t="s">
        <v>6151</v>
      </c>
      <c r="C513" s="14" t="s">
        <v>0</v>
      </c>
      <c r="D513" s="14" t="s">
        <v>141</v>
      </c>
      <c r="E513" s="14" t="s">
        <v>142</v>
      </c>
      <c r="F513" s="14" t="s">
        <v>143</v>
      </c>
      <c r="G513" s="14" t="s">
        <v>3</v>
      </c>
      <c r="H513" s="14" t="s">
        <v>6152</v>
      </c>
      <c r="I513" s="14" t="s">
        <v>144</v>
      </c>
      <c r="J513" s="14" t="s">
        <v>60</v>
      </c>
      <c r="K513" s="14" t="s">
        <v>60</v>
      </c>
      <c r="L513" s="14" t="s">
        <v>60</v>
      </c>
      <c r="M513" s="14" t="s">
        <v>145</v>
      </c>
      <c r="N513" s="14" t="s">
        <v>60</v>
      </c>
      <c r="O513" s="14" t="s">
        <v>59</v>
      </c>
      <c r="P513" s="14" t="s">
        <v>6153</v>
      </c>
      <c r="Q513" s="14" t="s">
        <v>11</v>
      </c>
      <c r="R513" s="3" t="s">
        <v>5870</v>
      </c>
      <c r="S513" s="3">
        <f t="shared" si="26"/>
        <v>550</v>
      </c>
      <c r="T513" s="3">
        <f t="shared" si="27"/>
        <v>13200</v>
      </c>
      <c r="U513" s="3" t="s">
        <v>60</v>
      </c>
      <c r="V513" s="14" t="s">
        <v>6</v>
      </c>
      <c r="W513" s="14" t="s">
        <v>6018</v>
      </c>
      <c r="X513" s="14" t="s">
        <v>60</v>
      </c>
    </row>
    <row r="514" spans="1:24" ht="15" x14ac:dyDescent="0.3">
      <c r="A514" s="3">
        <v>5</v>
      </c>
      <c r="B514" s="3" t="s">
        <v>6154</v>
      </c>
      <c r="C514" s="14" t="s">
        <v>0</v>
      </c>
      <c r="D514" s="14" t="s">
        <v>151</v>
      </c>
      <c r="E514" s="14" t="s">
        <v>6155</v>
      </c>
      <c r="F514" s="14" t="s">
        <v>152</v>
      </c>
      <c r="G514" s="14" t="s">
        <v>3</v>
      </c>
      <c r="H514" s="14" t="s">
        <v>6156</v>
      </c>
      <c r="I514" s="14" t="s">
        <v>153</v>
      </c>
      <c r="J514" s="14" t="s">
        <v>60</v>
      </c>
      <c r="K514" s="14" t="s">
        <v>60</v>
      </c>
      <c r="L514" s="14" t="s">
        <v>60</v>
      </c>
      <c r="M514" s="14" t="s">
        <v>154</v>
      </c>
      <c r="N514" s="14" t="s">
        <v>60</v>
      </c>
      <c r="O514" s="14" t="s">
        <v>59</v>
      </c>
      <c r="P514" s="14" t="s">
        <v>6157</v>
      </c>
      <c r="Q514" s="14" t="s">
        <v>11</v>
      </c>
      <c r="R514" s="3" t="s">
        <v>4170</v>
      </c>
      <c r="S514" s="3">
        <f t="shared" si="26"/>
        <v>550</v>
      </c>
      <c r="T514" s="3">
        <f t="shared" si="27"/>
        <v>17050</v>
      </c>
      <c r="U514" s="3" t="s">
        <v>60</v>
      </c>
      <c r="V514" s="14" t="s">
        <v>6</v>
      </c>
      <c r="W514" s="14" t="s">
        <v>4287</v>
      </c>
      <c r="X514" s="14" t="s">
        <v>60</v>
      </c>
    </row>
    <row r="515" spans="1:24" ht="15" x14ac:dyDescent="0.3">
      <c r="A515" s="3">
        <v>6</v>
      </c>
      <c r="B515" s="3" t="s">
        <v>6158</v>
      </c>
      <c r="C515" s="14" t="s">
        <v>0</v>
      </c>
      <c r="D515" s="14" t="s">
        <v>155</v>
      </c>
      <c r="E515" s="14" t="s">
        <v>6159</v>
      </c>
      <c r="F515" s="14" t="s">
        <v>156</v>
      </c>
      <c r="G515" s="14" t="s">
        <v>3</v>
      </c>
      <c r="H515" s="14" t="s">
        <v>6160</v>
      </c>
      <c r="I515" s="14" t="s">
        <v>157</v>
      </c>
      <c r="J515" s="14" t="s">
        <v>60</v>
      </c>
      <c r="K515" s="14" t="s">
        <v>60</v>
      </c>
      <c r="L515" s="14" t="s">
        <v>60</v>
      </c>
      <c r="M515" s="14" t="s">
        <v>158</v>
      </c>
      <c r="N515" s="14" t="s">
        <v>60</v>
      </c>
      <c r="O515" s="14" t="s">
        <v>59</v>
      </c>
      <c r="P515" s="14" t="s">
        <v>6161</v>
      </c>
      <c r="Q515" s="14" t="s">
        <v>11</v>
      </c>
      <c r="R515" s="3" t="s">
        <v>4170</v>
      </c>
      <c r="S515" s="3">
        <f t="shared" si="26"/>
        <v>550</v>
      </c>
      <c r="T515" s="3">
        <f t="shared" si="27"/>
        <v>17050</v>
      </c>
      <c r="U515" s="3" t="s">
        <v>60</v>
      </c>
      <c r="V515" s="14" t="s">
        <v>6</v>
      </c>
      <c r="W515" s="14" t="s">
        <v>4287</v>
      </c>
      <c r="X515" s="14" t="s">
        <v>60</v>
      </c>
    </row>
    <row r="516" spans="1:24" ht="15" x14ac:dyDescent="0.3">
      <c r="A516" s="3">
        <v>7</v>
      </c>
      <c r="B516" s="3" t="s">
        <v>6162</v>
      </c>
      <c r="C516" s="14" t="s">
        <v>0</v>
      </c>
      <c r="D516" s="14" t="s">
        <v>159</v>
      </c>
      <c r="E516" s="14" t="s">
        <v>6163</v>
      </c>
      <c r="F516" s="14" t="s">
        <v>160</v>
      </c>
      <c r="G516" s="14" t="s">
        <v>3</v>
      </c>
      <c r="H516" s="14" t="s">
        <v>6164</v>
      </c>
      <c r="I516" s="14" t="s">
        <v>161</v>
      </c>
      <c r="J516" s="14" t="s">
        <v>60</v>
      </c>
      <c r="K516" s="14" t="s">
        <v>60</v>
      </c>
      <c r="L516" s="14" t="s">
        <v>60</v>
      </c>
      <c r="M516" s="14" t="s">
        <v>162</v>
      </c>
      <c r="N516" s="14" t="s">
        <v>60</v>
      </c>
      <c r="O516" s="14" t="s">
        <v>59</v>
      </c>
      <c r="P516" s="14" t="s">
        <v>6165</v>
      </c>
      <c r="Q516" s="14" t="s">
        <v>11</v>
      </c>
      <c r="R516" s="3" t="s">
        <v>4300</v>
      </c>
      <c r="S516" s="3">
        <f t="shared" si="26"/>
        <v>550</v>
      </c>
      <c r="T516" s="3">
        <f t="shared" si="27"/>
        <v>15950</v>
      </c>
      <c r="U516" s="3" t="s">
        <v>60</v>
      </c>
      <c r="V516" s="14" t="s">
        <v>6</v>
      </c>
      <c r="W516" s="14" t="s">
        <v>4287</v>
      </c>
      <c r="X516" s="14" t="s">
        <v>60</v>
      </c>
    </row>
    <row r="517" spans="1:24" ht="15" x14ac:dyDescent="0.3">
      <c r="A517" s="3">
        <v>8</v>
      </c>
      <c r="B517" s="3" t="s">
        <v>6166</v>
      </c>
      <c r="C517" s="14" t="s">
        <v>0</v>
      </c>
      <c r="D517" s="14" t="s">
        <v>163</v>
      </c>
      <c r="E517" s="14" t="s">
        <v>6167</v>
      </c>
      <c r="F517" s="14" t="s">
        <v>164</v>
      </c>
      <c r="G517" s="14" t="s">
        <v>3</v>
      </c>
      <c r="H517" s="14" t="s">
        <v>6168</v>
      </c>
      <c r="I517" s="14" t="s">
        <v>165</v>
      </c>
      <c r="J517" s="14" t="s">
        <v>60</v>
      </c>
      <c r="K517" s="14" t="s">
        <v>60</v>
      </c>
      <c r="L517" s="14" t="s">
        <v>60</v>
      </c>
      <c r="M517" s="14" t="s">
        <v>60</v>
      </c>
      <c r="N517" s="14" t="s">
        <v>60</v>
      </c>
      <c r="O517" s="14" t="s">
        <v>25</v>
      </c>
      <c r="P517" s="14" t="s">
        <v>6169</v>
      </c>
      <c r="Q517" s="14" t="s">
        <v>11</v>
      </c>
      <c r="R517" s="3" t="s">
        <v>4170</v>
      </c>
      <c r="S517" s="3">
        <f t="shared" si="26"/>
        <v>550</v>
      </c>
      <c r="T517" s="3">
        <f t="shared" si="27"/>
        <v>17050</v>
      </c>
      <c r="U517" s="3" t="s">
        <v>60</v>
      </c>
      <c r="V517" s="14" t="s">
        <v>6</v>
      </c>
      <c r="W517" s="14" t="s">
        <v>4985</v>
      </c>
      <c r="X517" s="14" t="s">
        <v>60</v>
      </c>
    </row>
    <row r="518" spans="1:24" ht="15" x14ac:dyDescent="0.3">
      <c r="A518" s="3">
        <v>9</v>
      </c>
      <c r="B518" s="3" t="s">
        <v>6170</v>
      </c>
      <c r="C518" s="14" t="s">
        <v>0</v>
      </c>
      <c r="D518" s="14" t="s">
        <v>6171</v>
      </c>
      <c r="E518" s="14" t="s">
        <v>6172</v>
      </c>
      <c r="F518" s="14" t="s">
        <v>3447</v>
      </c>
      <c r="G518" s="14" t="s">
        <v>3</v>
      </c>
      <c r="H518" s="14" t="s">
        <v>6173</v>
      </c>
      <c r="I518" s="14" t="s">
        <v>3765</v>
      </c>
      <c r="J518" s="14" t="s">
        <v>60</v>
      </c>
      <c r="K518" s="14" t="s">
        <v>60</v>
      </c>
      <c r="L518" s="14" t="s">
        <v>60</v>
      </c>
      <c r="M518" s="14" t="s">
        <v>3766</v>
      </c>
      <c r="N518" s="14" t="s">
        <v>60</v>
      </c>
      <c r="O518" s="14" t="s">
        <v>60</v>
      </c>
      <c r="P518" s="14" t="s">
        <v>6174</v>
      </c>
      <c r="Q518" s="14" t="s">
        <v>11</v>
      </c>
      <c r="R518" s="3" t="s">
        <v>4170</v>
      </c>
      <c r="S518" s="3">
        <f t="shared" si="26"/>
        <v>550</v>
      </c>
      <c r="T518" s="3">
        <f t="shared" si="27"/>
        <v>17050</v>
      </c>
      <c r="U518" s="3" t="s">
        <v>60</v>
      </c>
      <c r="V518" s="14" t="s">
        <v>6</v>
      </c>
      <c r="W518" s="14" t="s">
        <v>6096</v>
      </c>
      <c r="X518" s="14" t="s">
        <v>60</v>
      </c>
    </row>
    <row r="519" spans="1:24" ht="15" x14ac:dyDescent="0.3">
      <c r="A519" s="3">
        <v>10</v>
      </c>
      <c r="B519" s="3" t="s">
        <v>6175</v>
      </c>
      <c r="C519" s="14" t="s">
        <v>0</v>
      </c>
      <c r="D519" s="14" t="s">
        <v>3446</v>
      </c>
      <c r="E519" s="14" t="s">
        <v>4928</v>
      </c>
      <c r="F519" s="14" t="s">
        <v>2846</v>
      </c>
      <c r="G519" s="14" t="s">
        <v>3</v>
      </c>
      <c r="H519" s="14" t="s">
        <v>6176</v>
      </c>
      <c r="I519" s="14" t="s">
        <v>3767</v>
      </c>
      <c r="J519" s="14" t="s">
        <v>60</v>
      </c>
      <c r="K519" s="14" t="s">
        <v>60</v>
      </c>
      <c r="L519" s="14" t="s">
        <v>60</v>
      </c>
      <c r="M519" s="14" t="s">
        <v>3768</v>
      </c>
      <c r="N519" s="14" t="s">
        <v>60</v>
      </c>
      <c r="O519" s="14" t="s">
        <v>60</v>
      </c>
      <c r="P519" s="14" t="s">
        <v>6177</v>
      </c>
      <c r="Q519" s="14" t="s">
        <v>11</v>
      </c>
      <c r="R519" s="3" t="s">
        <v>4170</v>
      </c>
      <c r="S519" s="3">
        <f t="shared" si="26"/>
        <v>550</v>
      </c>
      <c r="T519" s="3">
        <f t="shared" si="27"/>
        <v>17050</v>
      </c>
      <c r="U519" s="3" t="s">
        <v>60</v>
      </c>
      <c r="V519" s="14" t="s">
        <v>6</v>
      </c>
      <c r="W519" s="14" t="s">
        <v>6096</v>
      </c>
      <c r="X519" s="14" t="s">
        <v>60</v>
      </c>
    </row>
    <row r="520" spans="1:24" ht="15" x14ac:dyDescent="0.3">
      <c r="A520" s="3">
        <v>11</v>
      </c>
      <c r="B520" s="3" t="s">
        <v>6178</v>
      </c>
      <c r="C520" s="14" t="s">
        <v>0</v>
      </c>
      <c r="D520" s="14" t="s">
        <v>3483</v>
      </c>
      <c r="E520" s="14" t="s">
        <v>6179</v>
      </c>
      <c r="F520" s="14" t="s">
        <v>3498</v>
      </c>
      <c r="G520" s="14" t="s">
        <v>3</v>
      </c>
      <c r="H520" s="14" t="s">
        <v>3705</v>
      </c>
      <c r="I520" s="14" t="s">
        <v>3706</v>
      </c>
      <c r="J520" s="14" t="s">
        <v>60</v>
      </c>
      <c r="K520" s="14" t="s">
        <v>60</v>
      </c>
      <c r="L520" s="14" t="s">
        <v>60</v>
      </c>
      <c r="M520" s="14" t="s">
        <v>3707</v>
      </c>
      <c r="N520" s="14" t="s">
        <v>60</v>
      </c>
      <c r="O520" s="14" t="s">
        <v>60</v>
      </c>
      <c r="P520" s="14" t="s">
        <v>6180</v>
      </c>
      <c r="Q520" s="14" t="s">
        <v>11</v>
      </c>
      <c r="R520" s="3" t="s">
        <v>6100</v>
      </c>
      <c r="S520" s="3">
        <f t="shared" si="26"/>
        <v>550</v>
      </c>
      <c r="T520" s="3">
        <f t="shared" si="27"/>
        <v>1650</v>
      </c>
      <c r="U520" s="3" t="s">
        <v>60</v>
      </c>
      <c r="V520" s="14" t="s">
        <v>6</v>
      </c>
      <c r="W520" s="14" t="s">
        <v>6101</v>
      </c>
      <c r="X520" s="14" t="s">
        <v>5085</v>
      </c>
    </row>
    <row r="521" spans="1:24" ht="15" x14ac:dyDescent="0.3">
      <c r="A521" s="3">
        <v>12</v>
      </c>
      <c r="B521" s="3" t="s">
        <v>6181</v>
      </c>
      <c r="C521" s="14" t="s">
        <v>0</v>
      </c>
      <c r="D521" s="14" t="s">
        <v>3484</v>
      </c>
      <c r="E521" s="14" t="s">
        <v>6182</v>
      </c>
      <c r="F521" s="14" t="s">
        <v>3499</v>
      </c>
      <c r="G521" s="14" t="s">
        <v>3</v>
      </c>
      <c r="H521" s="14" t="s">
        <v>3708</v>
      </c>
      <c r="I521" s="14" t="s">
        <v>3709</v>
      </c>
      <c r="J521" s="14" t="s">
        <v>60</v>
      </c>
      <c r="K521" s="14" t="s">
        <v>60</v>
      </c>
      <c r="L521" s="14" t="s">
        <v>60</v>
      </c>
      <c r="M521" s="14" t="s">
        <v>3710</v>
      </c>
      <c r="N521" s="14" t="s">
        <v>60</v>
      </c>
      <c r="O521" s="14" t="s">
        <v>60</v>
      </c>
      <c r="P521" s="14" t="s">
        <v>6183</v>
      </c>
      <c r="Q521" s="14" t="s">
        <v>11</v>
      </c>
      <c r="R521" s="3" t="s">
        <v>6100</v>
      </c>
      <c r="S521" s="3">
        <f t="shared" si="26"/>
        <v>550</v>
      </c>
      <c r="T521" s="3">
        <f t="shared" si="27"/>
        <v>1650</v>
      </c>
      <c r="U521" s="3" t="s">
        <v>60</v>
      </c>
      <c r="V521" s="14" t="s">
        <v>6</v>
      </c>
      <c r="W521" s="14" t="s">
        <v>6101</v>
      </c>
      <c r="X521" s="14" t="s">
        <v>5085</v>
      </c>
    </row>
    <row r="522" spans="1:24" ht="15" x14ac:dyDescent="0.3">
      <c r="A522" s="3">
        <v>13</v>
      </c>
      <c r="B522" s="3" t="s">
        <v>6184</v>
      </c>
      <c r="C522" s="14" t="s">
        <v>0</v>
      </c>
      <c r="D522" s="14" t="s">
        <v>3485</v>
      </c>
      <c r="E522" s="14" t="s">
        <v>6185</v>
      </c>
      <c r="F522" s="14" t="s">
        <v>3500</v>
      </c>
      <c r="G522" s="14" t="s">
        <v>3</v>
      </c>
      <c r="H522" s="14" t="s">
        <v>3711</v>
      </c>
      <c r="I522" s="14" t="s">
        <v>3712</v>
      </c>
      <c r="J522" s="14" t="s">
        <v>60</v>
      </c>
      <c r="K522" s="14" t="s">
        <v>60</v>
      </c>
      <c r="L522" s="14" t="s">
        <v>60</v>
      </c>
      <c r="M522" s="14" t="s">
        <v>3713</v>
      </c>
      <c r="N522" s="14" t="s">
        <v>60</v>
      </c>
      <c r="O522" s="14" t="s">
        <v>60</v>
      </c>
      <c r="P522" s="14" t="s">
        <v>6186</v>
      </c>
      <c r="Q522" s="14" t="s">
        <v>11</v>
      </c>
      <c r="R522" s="3" t="s">
        <v>6100</v>
      </c>
      <c r="S522" s="3">
        <f t="shared" si="26"/>
        <v>550</v>
      </c>
      <c r="T522" s="3">
        <f t="shared" si="27"/>
        <v>1650</v>
      </c>
      <c r="U522" s="3" t="s">
        <v>60</v>
      </c>
      <c r="V522" s="14" t="s">
        <v>6</v>
      </c>
      <c r="W522" s="14" t="s">
        <v>6101</v>
      </c>
      <c r="X522" s="14" t="s">
        <v>5085</v>
      </c>
    </row>
    <row r="523" spans="1:24" ht="15" x14ac:dyDescent="0.3">
      <c r="A523" s="3">
        <v>14</v>
      </c>
      <c r="B523" s="3" t="s">
        <v>6187</v>
      </c>
      <c r="C523" s="14" t="s">
        <v>0</v>
      </c>
      <c r="D523" s="14" t="s">
        <v>3618</v>
      </c>
      <c r="E523" s="14" t="s">
        <v>6188</v>
      </c>
      <c r="F523" s="14" t="s">
        <v>3617</v>
      </c>
      <c r="G523" s="14" t="s">
        <v>3</v>
      </c>
      <c r="H523" s="14" t="s">
        <v>3714</v>
      </c>
      <c r="I523" s="14" t="s">
        <v>3715</v>
      </c>
      <c r="J523" s="14" t="s">
        <v>60</v>
      </c>
      <c r="K523" s="14" t="s">
        <v>60</v>
      </c>
      <c r="L523" s="14" t="s">
        <v>60</v>
      </c>
      <c r="M523" s="14" t="s">
        <v>3716</v>
      </c>
      <c r="N523" s="14" t="s">
        <v>60</v>
      </c>
      <c r="O523" s="14" t="s">
        <v>60</v>
      </c>
      <c r="P523" s="14" t="s">
        <v>6189</v>
      </c>
      <c r="Q523" s="14" t="s">
        <v>11</v>
      </c>
      <c r="R523" s="3" t="s">
        <v>6100</v>
      </c>
      <c r="S523" s="3">
        <f t="shared" si="26"/>
        <v>550</v>
      </c>
      <c r="T523" s="3">
        <f t="shared" si="27"/>
        <v>1650</v>
      </c>
      <c r="U523" s="3" t="s">
        <v>60</v>
      </c>
      <c r="V523" s="14" t="s">
        <v>6</v>
      </c>
      <c r="W523" s="14" t="s">
        <v>6101</v>
      </c>
      <c r="X523" s="14" t="s">
        <v>5085</v>
      </c>
    </row>
    <row r="524" spans="1:24" ht="15" x14ac:dyDescent="0.3">
      <c r="A524" s="3">
        <v>15</v>
      </c>
      <c r="B524" s="3" t="s">
        <v>6190</v>
      </c>
      <c r="C524" s="14" t="s">
        <v>0</v>
      </c>
      <c r="D524" s="14" t="s">
        <v>3486</v>
      </c>
      <c r="E524" s="14" t="s">
        <v>6191</v>
      </c>
      <c r="F524" s="14" t="s">
        <v>3501</v>
      </c>
      <c r="G524" s="14" t="s">
        <v>3</v>
      </c>
      <c r="H524" s="14" t="s">
        <v>3717</v>
      </c>
      <c r="I524" s="14" t="s">
        <v>3718</v>
      </c>
      <c r="J524" s="14" t="s">
        <v>60</v>
      </c>
      <c r="K524" s="14" t="s">
        <v>60</v>
      </c>
      <c r="L524" s="14" t="s">
        <v>60</v>
      </c>
      <c r="M524" s="14" t="s">
        <v>3719</v>
      </c>
      <c r="N524" s="14" t="s">
        <v>60</v>
      </c>
      <c r="O524" s="14" t="s">
        <v>60</v>
      </c>
      <c r="P524" s="14" t="s">
        <v>6192</v>
      </c>
      <c r="Q524" s="14" t="s">
        <v>11</v>
      </c>
      <c r="R524" s="3" t="s">
        <v>6100</v>
      </c>
      <c r="S524" s="3">
        <f t="shared" si="26"/>
        <v>550</v>
      </c>
      <c r="T524" s="3">
        <f t="shared" si="27"/>
        <v>1650</v>
      </c>
      <c r="U524" s="3" t="s">
        <v>60</v>
      </c>
      <c r="V524" s="14" t="s">
        <v>6</v>
      </c>
      <c r="W524" s="14" t="s">
        <v>6101</v>
      </c>
      <c r="X524" s="14" t="s">
        <v>5085</v>
      </c>
    </row>
    <row r="525" spans="1:24" ht="15" x14ac:dyDescent="0.3">
      <c r="A525" s="3">
        <v>16</v>
      </c>
      <c r="B525" s="3" t="s">
        <v>6193</v>
      </c>
      <c r="C525" s="14" t="s">
        <v>0</v>
      </c>
      <c r="D525" s="14" t="s">
        <v>3487</v>
      </c>
      <c r="E525" s="14" t="s">
        <v>6194</v>
      </c>
      <c r="F525" s="14" t="s">
        <v>6195</v>
      </c>
      <c r="G525" s="14" t="s">
        <v>3</v>
      </c>
      <c r="H525" s="14" t="s">
        <v>3720</v>
      </c>
      <c r="I525" s="14" t="s">
        <v>3721</v>
      </c>
      <c r="J525" s="14" t="s">
        <v>60</v>
      </c>
      <c r="K525" s="14" t="s">
        <v>60</v>
      </c>
      <c r="L525" s="14" t="s">
        <v>60</v>
      </c>
      <c r="M525" s="14" t="s">
        <v>3722</v>
      </c>
      <c r="N525" s="14" t="s">
        <v>60</v>
      </c>
      <c r="O525" s="14" t="s">
        <v>60</v>
      </c>
      <c r="P525" s="14" t="s">
        <v>6196</v>
      </c>
      <c r="Q525" s="14" t="s">
        <v>11</v>
      </c>
      <c r="R525" s="3" t="s">
        <v>6100</v>
      </c>
      <c r="S525" s="3">
        <f t="shared" si="26"/>
        <v>550</v>
      </c>
      <c r="T525" s="3">
        <f t="shared" si="27"/>
        <v>1650</v>
      </c>
      <c r="U525" s="3" t="s">
        <v>6197</v>
      </c>
      <c r="V525" s="14" t="s">
        <v>6</v>
      </c>
      <c r="W525" s="14" t="s">
        <v>6101</v>
      </c>
      <c r="X525" s="14" t="s">
        <v>5085</v>
      </c>
    </row>
    <row r="526" spans="1:24" ht="15.6" x14ac:dyDescent="0.3">
      <c r="A526" s="26" t="s">
        <v>60</v>
      </c>
      <c r="B526" s="26" t="s">
        <v>60</v>
      </c>
      <c r="C526" s="27" t="s">
        <v>60</v>
      </c>
      <c r="D526" s="27" t="s">
        <v>60</v>
      </c>
      <c r="E526" s="27" t="s">
        <v>60</v>
      </c>
      <c r="F526" s="27" t="s">
        <v>60</v>
      </c>
      <c r="G526" s="27" t="s">
        <v>60</v>
      </c>
      <c r="H526" s="27" t="s">
        <v>60</v>
      </c>
      <c r="I526" s="27" t="s">
        <v>60</v>
      </c>
      <c r="J526" s="27" t="s">
        <v>60</v>
      </c>
      <c r="K526" s="27" t="s">
        <v>60</v>
      </c>
      <c r="L526" s="27" t="s">
        <v>60</v>
      </c>
      <c r="M526" s="27" t="s">
        <v>60</v>
      </c>
      <c r="N526" s="27" t="s">
        <v>60</v>
      </c>
      <c r="O526" s="27" t="s">
        <v>60</v>
      </c>
      <c r="P526" s="27" t="s">
        <v>60</v>
      </c>
      <c r="Q526" s="27" t="s">
        <v>60</v>
      </c>
      <c r="R526" s="35" t="s">
        <v>2009</v>
      </c>
      <c r="S526" s="35" t="s">
        <v>60</v>
      </c>
      <c r="T526" s="26">
        <f>SUM(T509:T525)</f>
        <v>174970</v>
      </c>
      <c r="U526" s="26" t="s">
        <v>6197</v>
      </c>
      <c r="V526" s="27" t="s">
        <v>60</v>
      </c>
      <c r="W526" s="27" t="s">
        <v>60</v>
      </c>
      <c r="X526" s="27" t="s">
        <v>60</v>
      </c>
    </row>
    <row r="527" spans="1:24" ht="15.6" x14ac:dyDescent="0.3">
      <c r="A527" s="34" t="s">
        <v>6198</v>
      </c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 spans="1:24" ht="109.2" x14ac:dyDescent="0.3">
      <c r="A528" s="23" t="s">
        <v>42</v>
      </c>
      <c r="B528" s="23" t="s">
        <v>43</v>
      </c>
      <c r="C528" s="24" t="s">
        <v>44</v>
      </c>
      <c r="D528" s="24" t="s">
        <v>4154</v>
      </c>
      <c r="E528" s="24" t="s">
        <v>4155</v>
      </c>
      <c r="F528" s="24" t="s">
        <v>4156</v>
      </c>
      <c r="G528" s="24" t="s">
        <v>45</v>
      </c>
      <c r="H528" s="24" t="s">
        <v>4157</v>
      </c>
      <c r="I528" s="24" t="s">
        <v>46</v>
      </c>
      <c r="J528" s="24" t="s">
        <v>4158</v>
      </c>
      <c r="K528" s="24" t="s">
        <v>4159</v>
      </c>
      <c r="L528" s="24" t="s">
        <v>4160</v>
      </c>
      <c r="M528" s="24" t="s">
        <v>4161</v>
      </c>
      <c r="N528" s="24" t="s">
        <v>47</v>
      </c>
      <c r="O528" s="24" t="s">
        <v>48</v>
      </c>
      <c r="P528" s="24" t="s">
        <v>49</v>
      </c>
      <c r="Q528" s="24" t="s">
        <v>50</v>
      </c>
      <c r="R528" s="23" t="s">
        <v>4162</v>
      </c>
      <c r="S528" s="23" t="s">
        <v>4163</v>
      </c>
      <c r="T528" s="23" t="s">
        <v>4164</v>
      </c>
      <c r="U528" s="23" t="s">
        <v>4165</v>
      </c>
      <c r="V528" s="24" t="s">
        <v>51</v>
      </c>
      <c r="W528" s="24" t="s">
        <v>52</v>
      </c>
      <c r="X528" s="24" t="s">
        <v>53</v>
      </c>
    </row>
    <row r="529" spans="1:24" ht="15" x14ac:dyDescent="0.3">
      <c r="A529" s="3">
        <v>1</v>
      </c>
      <c r="B529" s="3" t="s">
        <v>6199</v>
      </c>
      <c r="C529" s="14" t="s">
        <v>0</v>
      </c>
      <c r="D529" s="14" t="s">
        <v>1062</v>
      </c>
      <c r="E529" s="14" t="s">
        <v>4895</v>
      </c>
      <c r="F529" s="14" t="s">
        <v>1063</v>
      </c>
      <c r="G529" s="14" t="s">
        <v>3</v>
      </c>
      <c r="H529" s="14" t="s">
        <v>6200</v>
      </c>
      <c r="I529" s="14" t="s">
        <v>1064</v>
      </c>
      <c r="J529" s="14" t="s">
        <v>60</v>
      </c>
      <c r="K529" s="14" t="s">
        <v>60</v>
      </c>
      <c r="L529" s="14" t="s">
        <v>60</v>
      </c>
      <c r="M529" s="14" t="s">
        <v>1065</v>
      </c>
      <c r="N529" s="14" t="s">
        <v>60</v>
      </c>
      <c r="O529" s="14" t="s">
        <v>339</v>
      </c>
      <c r="P529" s="14" t="s">
        <v>6201</v>
      </c>
      <c r="Q529" s="14" t="s">
        <v>11</v>
      </c>
      <c r="R529" s="3" t="s">
        <v>4170</v>
      </c>
      <c r="S529" s="3">
        <f t="shared" ref="S529:S589" si="28">IF(RIGHT(C529,3)="MAZ",550,IF(RIGHT(C529,4)="MATE",570,IF(RIGHT(C529,7)="SKD-III",640,IF(RIGHT(C529,6)="SKD-II",770,IF(RIGHT(C529,5)="SKD-I",900,IF(RIGHT(C529,5)="CPDVR",770,""))))))</f>
        <v>550</v>
      </c>
      <c r="T529" s="3">
        <f t="shared" ref="T529:T589" si="29">R529*S529</f>
        <v>17050</v>
      </c>
      <c r="U529" s="3" t="s">
        <v>60</v>
      </c>
      <c r="V529" s="14" t="s">
        <v>6</v>
      </c>
      <c r="W529" s="14" t="s">
        <v>5912</v>
      </c>
      <c r="X529" s="14" t="s">
        <v>60</v>
      </c>
    </row>
    <row r="530" spans="1:24" ht="15" x14ac:dyDescent="0.3">
      <c r="A530" s="3">
        <v>2</v>
      </c>
      <c r="B530" s="3" t="s">
        <v>6202</v>
      </c>
      <c r="C530" s="14" t="s">
        <v>0</v>
      </c>
      <c r="D530" s="14" t="s">
        <v>1070</v>
      </c>
      <c r="E530" s="14" t="s">
        <v>5073</v>
      </c>
      <c r="F530" s="14" t="s">
        <v>1071</v>
      </c>
      <c r="G530" s="14" t="s">
        <v>3</v>
      </c>
      <c r="H530" s="14" t="s">
        <v>1072</v>
      </c>
      <c r="I530" s="14" t="s">
        <v>1073</v>
      </c>
      <c r="J530" s="14" t="s">
        <v>60</v>
      </c>
      <c r="K530" s="14" t="s">
        <v>60</v>
      </c>
      <c r="L530" s="14" t="s">
        <v>60</v>
      </c>
      <c r="M530" s="14" t="s">
        <v>1074</v>
      </c>
      <c r="N530" s="14" t="s">
        <v>60</v>
      </c>
      <c r="O530" s="14" t="s">
        <v>339</v>
      </c>
      <c r="P530" s="14" t="s">
        <v>6203</v>
      </c>
      <c r="Q530" s="14" t="s">
        <v>11</v>
      </c>
      <c r="R530" s="3" t="s">
        <v>68</v>
      </c>
      <c r="S530" s="3">
        <f t="shared" si="28"/>
        <v>550</v>
      </c>
      <c r="T530" s="3">
        <f t="shared" si="29"/>
        <v>0</v>
      </c>
      <c r="U530" s="3" t="s">
        <v>60</v>
      </c>
      <c r="V530" s="14" t="s">
        <v>6</v>
      </c>
      <c r="W530" s="14" t="s">
        <v>5912</v>
      </c>
      <c r="X530" s="14" t="s">
        <v>4495</v>
      </c>
    </row>
    <row r="531" spans="1:24" ht="15" x14ac:dyDescent="0.3">
      <c r="A531" s="3">
        <v>3</v>
      </c>
      <c r="B531" s="3" t="s">
        <v>6204</v>
      </c>
      <c r="C531" s="14" t="s">
        <v>0</v>
      </c>
      <c r="D531" s="14" t="s">
        <v>1075</v>
      </c>
      <c r="E531" s="14" t="s">
        <v>5073</v>
      </c>
      <c r="F531" s="14" t="s">
        <v>1076</v>
      </c>
      <c r="G531" s="14" t="s">
        <v>3</v>
      </c>
      <c r="H531" s="14" t="s">
        <v>6205</v>
      </c>
      <c r="I531" s="14" t="s">
        <v>1077</v>
      </c>
      <c r="J531" s="14" t="s">
        <v>60</v>
      </c>
      <c r="K531" s="14" t="s">
        <v>60</v>
      </c>
      <c r="L531" s="14" t="s">
        <v>60</v>
      </c>
      <c r="M531" s="14" t="s">
        <v>1078</v>
      </c>
      <c r="N531" s="14" t="s">
        <v>60</v>
      </c>
      <c r="O531" s="14" t="s">
        <v>339</v>
      </c>
      <c r="P531" s="14" t="s">
        <v>6206</v>
      </c>
      <c r="Q531" s="14" t="s">
        <v>11</v>
      </c>
      <c r="R531" s="3" t="s">
        <v>4170</v>
      </c>
      <c r="S531" s="3">
        <f t="shared" si="28"/>
        <v>550</v>
      </c>
      <c r="T531" s="3">
        <f t="shared" si="29"/>
        <v>17050</v>
      </c>
      <c r="U531" s="3" t="s">
        <v>60</v>
      </c>
      <c r="V531" s="14" t="s">
        <v>6</v>
      </c>
      <c r="W531" s="14" t="s">
        <v>5912</v>
      </c>
      <c r="X531" s="14" t="s">
        <v>60</v>
      </c>
    </row>
    <row r="532" spans="1:24" ht="15" x14ac:dyDescent="0.3">
      <c r="A532" s="3">
        <v>4</v>
      </c>
      <c r="B532" s="3" t="s">
        <v>6207</v>
      </c>
      <c r="C532" s="14" t="s">
        <v>0</v>
      </c>
      <c r="D532" s="14" t="s">
        <v>1079</v>
      </c>
      <c r="E532" s="14" t="s">
        <v>6208</v>
      </c>
      <c r="F532" s="14" t="s">
        <v>1080</v>
      </c>
      <c r="G532" s="14" t="s">
        <v>3</v>
      </c>
      <c r="H532" s="14" t="s">
        <v>6209</v>
      </c>
      <c r="I532" s="14" t="s">
        <v>1081</v>
      </c>
      <c r="J532" s="14" t="s">
        <v>60</v>
      </c>
      <c r="K532" s="14" t="s">
        <v>60</v>
      </c>
      <c r="L532" s="14" t="s">
        <v>60</v>
      </c>
      <c r="M532" s="14" t="s">
        <v>1082</v>
      </c>
      <c r="N532" s="14" t="s">
        <v>60</v>
      </c>
      <c r="O532" s="14" t="s">
        <v>339</v>
      </c>
      <c r="P532" s="14" t="s">
        <v>6210</v>
      </c>
      <c r="Q532" s="14" t="s">
        <v>11</v>
      </c>
      <c r="R532" s="3" t="s">
        <v>4170</v>
      </c>
      <c r="S532" s="3">
        <f t="shared" si="28"/>
        <v>550</v>
      </c>
      <c r="T532" s="3">
        <f t="shared" si="29"/>
        <v>17050</v>
      </c>
      <c r="U532" s="3" t="s">
        <v>60</v>
      </c>
      <c r="V532" s="14" t="s">
        <v>6</v>
      </c>
      <c r="W532" s="14" t="s">
        <v>5912</v>
      </c>
      <c r="X532" s="14" t="s">
        <v>60</v>
      </c>
    </row>
    <row r="533" spans="1:24" ht="15" x14ac:dyDescent="0.3">
      <c r="A533" s="3">
        <v>5</v>
      </c>
      <c r="B533" s="3" t="s">
        <v>1083</v>
      </c>
      <c r="C533" s="14" t="s">
        <v>69</v>
      </c>
      <c r="D533" s="14" t="s">
        <v>1084</v>
      </c>
      <c r="E533" s="14" t="s">
        <v>6211</v>
      </c>
      <c r="F533" s="14" t="s">
        <v>1085</v>
      </c>
      <c r="G533" s="14" t="s">
        <v>3</v>
      </c>
      <c r="H533" s="14" t="s">
        <v>6212</v>
      </c>
      <c r="I533" s="14" t="s">
        <v>1086</v>
      </c>
      <c r="J533" s="14" t="s">
        <v>60</v>
      </c>
      <c r="K533" s="14" t="s">
        <v>60</v>
      </c>
      <c r="L533" s="14" t="s">
        <v>60</v>
      </c>
      <c r="M533" s="14" t="s">
        <v>1087</v>
      </c>
      <c r="N533" s="14" t="s">
        <v>60</v>
      </c>
      <c r="O533" s="14" t="s">
        <v>193</v>
      </c>
      <c r="P533" s="14" t="s">
        <v>6213</v>
      </c>
      <c r="Q533" s="14" t="s">
        <v>11</v>
      </c>
      <c r="R533" s="3" t="s">
        <v>4170</v>
      </c>
      <c r="S533" s="3">
        <f t="shared" si="28"/>
        <v>570</v>
      </c>
      <c r="T533" s="3">
        <f t="shared" si="29"/>
        <v>17670</v>
      </c>
      <c r="U533" s="3" t="s">
        <v>60</v>
      </c>
      <c r="V533" s="14" t="s">
        <v>6</v>
      </c>
      <c r="W533" s="14" t="s">
        <v>4287</v>
      </c>
      <c r="X533" s="14" t="s">
        <v>60</v>
      </c>
    </row>
    <row r="534" spans="1:24" ht="15" x14ac:dyDescent="0.3">
      <c r="A534" s="3">
        <v>6</v>
      </c>
      <c r="B534" s="3" t="s">
        <v>6214</v>
      </c>
      <c r="C534" s="14" t="s">
        <v>0</v>
      </c>
      <c r="D534" s="14" t="s">
        <v>1088</v>
      </c>
      <c r="E534" s="14" t="s">
        <v>5050</v>
      </c>
      <c r="F534" s="14" t="s">
        <v>1089</v>
      </c>
      <c r="G534" s="14" t="s">
        <v>3</v>
      </c>
      <c r="H534" s="14" t="s">
        <v>6215</v>
      </c>
      <c r="I534" s="14" t="s">
        <v>1090</v>
      </c>
      <c r="J534" s="14" t="s">
        <v>60</v>
      </c>
      <c r="K534" s="14" t="s">
        <v>60</v>
      </c>
      <c r="L534" s="14" t="s">
        <v>60</v>
      </c>
      <c r="M534" s="14" t="s">
        <v>1091</v>
      </c>
      <c r="N534" s="14" t="s">
        <v>60</v>
      </c>
      <c r="O534" s="14" t="s">
        <v>193</v>
      </c>
      <c r="P534" s="14" t="s">
        <v>6216</v>
      </c>
      <c r="Q534" s="14" t="s">
        <v>11</v>
      </c>
      <c r="R534" s="3" t="s">
        <v>4170</v>
      </c>
      <c r="S534" s="3">
        <f t="shared" si="28"/>
        <v>550</v>
      </c>
      <c r="T534" s="3">
        <f t="shared" si="29"/>
        <v>17050</v>
      </c>
      <c r="U534" s="3" t="s">
        <v>60</v>
      </c>
      <c r="V534" s="14" t="s">
        <v>6</v>
      </c>
      <c r="W534" s="14" t="s">
        <v>4287</v>
      </c>
      <c r="X534" s="14" t="s">
        <v>60</v>
      </c>
    </row>
    <row r="535" spans="1:24" ht="15" x14ac:dyDescent="0.3">
      <c r="A535" s="3">
        <v>7</v>
      </c>
      <c r="B535" s="3" t="s">
        <v>6217</v>
      </c>
      <c r="C535" s="14" t="s">
        <v>0</v>
      </c>
      <c r="D535" s="14" t="s">
        <v>1092</v>
      </c>
      <c r="E535" s="14" t="s">
        <v>6208</v>
      </c>
      <c r="F535" s="14" t="s">
        <v>1093</v>
      </c>
      <c r="G535" s="14" t="s">
        <v>3</v>
      </c>
      <c r="H535" s="14" t="s">
        <v>6218</v>
      </c>
      <c r="I535" s="14" t="s">
        <v>1094</v>
      </c>
      <c r="J535" s="14" t="s">
        <v>60</v>
      </c>
      <c r="K535" s="14" t="s">
        <v>60</v>
      </c>
      <c r="L535" s="14" t="s">
        <v>60</v>
      </c>
      <c r="M535" s="14" t="s">
        <v>1095</v>
      </c>
      <c r="N535" s="14" t="s">
        <v>60</v>
      </c>
      <c r="O535" s="14" t="s">
        <v>193</v>
      </c>
      <c r="P535" s="14" t="s">
        <v>6219</v>
      </c>
      <c r="Q535" s="14" t="s">
        <v>11</v>
      </c>
      <c r="R535" s="3" t="s">
        <v>4170</v>
      </c>
      <c r="S535" s="3">
        <f t="shared" si="28"/>
        <v>550</v>
      </c>
      <c r="T535" s="3">
        <f t="shared" si="29"/>
        <v>17050</v>
      </c>
      <c r="U535" s="3" t="s">
        <v>60</v>
      </c>
      <c r="V535" s="14" t="s">
        <v>6</v>
      </c>
      <c r="W535" s="14" t="s">
        <v>4287</v>
      </c>
      <c r="X535" s="14" t="s">
        <v>60</v>
      </c>
    </row>
    <row r="536" spans="1:24" ht="15" x14ac:dyDescent="0.3">
      <c r="A536" s="3">
        <v>8</v>
      </c>
      <c r="B536" s="3" t="s">
        <v>6220</v>
      </c>
      <c r="C536" s="14" t="s">
        <v>0</v>
      </c>
      <c r="D536" s="14" t="s">
        <v>1096</v>
      </c>
      <c r="E536" s="14" t="s">
        <v>4430</v>
      </c>
      <c r="F536" s="14" t="s">
        <v>1097</v>
      </c>
      <c r="G536" s="14" t="s">
        <v>3</v>
      </c>
      <c r="H536" s="14" t="s">
        <v>6221</v>
      </c>
      <c r="I536" s="14" t="s">
        <v>1098</v>
      </c>
      <c r="J536" s="14" t="s">
        <v>60</v>
      </c>
      <c r="K536" s="14" t="s">
        <v>60</v>
      </c>
      <c r="L536" s="14" t="s">
        <v>60</v>
      </c>
      <c r="M536" s="14" t="s">
        <v>1099</v>
      </c>
      <c r="N536" s="14" t="s">
        <v>60</v>
      </c>
      <c r="O536" s="14" t="s">
        <v>193</v>
      </c>
      <c r="P536" s="14" t="s">
        <v>6222</v>
      </c>
      <c r="Q536" s="14" t="s">
        <v>11</v>
      </c>
      <c r="R536" s="3" t="s">
        <v>4170</v>
      </c>
      <c r="S536" s="3">
        <f t="shared" si="28"/>
        <v>550</v>
      </c>
      <c r="T536" s="3">
        <f t="shared" si="29"/>
        <v>17050</v>
      </c>
      <c r="U536" s="3" t="s">
        <v>60</v>
      </c>
      <c r="V536" s="14" t="s">
        <v>6</v>
      </c>
      <c r="W536" s="14" t="s">
        <v>4287</v>
      </c>
      <c r="X536" s="14" t="s">
        <v>60</v>
      </c>
    </row>
    <row r="537" spans="1:24" ht="15" x14ac:dyDescent="0.3">
      <c r="A537" s="3">
        <v>9</v>
      </c>
      <c r="B537" s="3" t="s">
        <v>6223</v>
      </c>
      <c r="C537" s="14" t="s">
        <v>0</v>
      </c>
      <c r="D537" s="14" t="s">
        <v>1100</v>
      </c>
      <c r="E537" s="14" t="s">
        <v>5073</v>
      </c>
      <c r="F537" s="14" t="s">
        <v>1101</v>
      </c>
      <c r="G537" s="14" t="s">
        <v>3</v>
      </c>
      <c r="H537" s="14" t="s">
        <v>6224</v>
      </c>
      <c r="I537" s="14" t="s">
        <v>1102</v>
      </c>
      <c r="J537" s="14" t="s">
        <v>60</v>
      </c>
      <c r="K537" s="14" t="s">
        <v>60</v>
      </c>
      <c r="L537" s="14" t="s">
        <v>60</v>
      </c>
      <c r="M537" s="14" t="s">
        <v>1103</v>
      </c>
      <c r="N537" s="14" t="s">
        <v>60</v>
      </c>
      <c r="O537" s="14" t="s">
        <v>184</v>
      </c>
      <c r="P537" s="14" t="s">
        <v>6225</v>
      </c>
      <c r="Q537" s="14" t="s">
        <v>185</v>
      </c>
      <c r="R537" s="3" t="s">
        <v>4170</v>
      </c>
      <c r="S537" s="3">
        <f t="shared" si="28"/>
        <v>550</v>
      </c>
      <c r="T537" s="3">
        <f t="shared" si="29"/>
        <v>17050</v>
      </c>
      <c r="U537" s="3" t="s">
        <v>60</v>
      </c>
      <c r="V537" s="14" t="s">
        <v>6</v>
      </c>
      <c r="W537" s="14" t="s">
        <v>4287</v>
      </c>
      <c r="X537" s="14" t="s">
        <v>60</v>
      </c>
    </row>
    <row r="538" spans="1:24" ht="15" x14ac:dyDescent="0.3">
      <c r="A538" s="3">
        <v>10</v>
      </c>
      <c r="B538" s="3" t="s">
        <v>6226</v>
      </c>
      <c r="C538" s="14" t="s">
        <v>91</v>
      </c>
      <c r="D538" s="14" t="s">
        <v>1104</v>
      </c>
      <c r="E538" s="14" t="s">
        <v>6227</v>
      </c>
      <c r="F538" s="14" t="s">
        <v>1105</v>
      </c>
      <c r="G538" s="14" t="s">
        <v>3</v>
      </c>
      <c r="H538" s="14" t="s">
        <v>6228</v>
      </c>
      <c r="I538" s="14" t="s">
        <v>1106</v>
      </c>
      <c r="J538" s="14" t="s">
        <v>228</v>
      </c>
      <c r="K538" s="14" t="s">
        <v>60</v>
      </c>
      <c r="L538" s="14" t="s">
        <v>60</v>
      </c>
      <c r="M538" s="14" t="s">
        <v>1107</v>
      </c>
      <c r="N538" s="14" t="s">
        <v>60</v>
      </c>
      <c r="O538" s="14" t="s">
        <v>193</v>
      </c>
      <c r="P538" s="14" t="s">
        <v>6229</v>
      </c>
      <c r="Q538" s="14" t="s">
        <v>11</v>
      </c>
      <c r="R538" s="3" t="s">
        <v>4170</v>
      </c>
      <c r="S538" s="3">
        <f t="shared" si="28"/>
        <v>770</v>
      </c>
      <c r="T538" s="3">
        <f t="shared" si="29"/>
        <v>23870</v>
      </c>
      <c r="U538" s="3" t="s">
        <v>60</v>
      </c>
      <c r="V538" s="14" t="s">
        <v>6</v>
      </c>
      <c r="W538" s="14" t="s">
        <v>4287</v>
      </c>
      <c r="X538" s="14" t="s">
        <v>60</v>
      </c>
    </row>
    <row r="539" spans="1:24" ht="15" x14ac:dyDescent="0.3">
      <c r="A539" s="3">
        <v>11</v>
      </c>
      <c r="B539" s="3" t="s">
        <v>6230</v>
      </c>
      <c r="C539" s="14" t="s">
        <v>0</v>
      </c>
      <c r="D539" s="14" t="s">
        <v>1108</v>
      </c>
      <c r="E539" s="14" t="s">
        <v>4746</v>
      </c>
      <c r="F539" s="14" t="s">
        <v>1109</v>
      </c>
      <c r="G539" s="14" t="s">
        <v>3</v>
      </c>
      <c r="H539" s="14" t="s">
        <v>6231</v>
      </c>
      <c r="I539" s="14" t="s">
        <v>1110</v>
      </c>
      <c r="J539" s="14" t="s">
        <v>60</v>
      </c>
      <c r="K539" s="14" t="s">
        <v>60</v>
      </c>
      <c r="L539" s="14" t="s">
        <v>60</v>
      </c>
      <c r="M539" s="14" t="s">
        <v>1111</v>
      </c>
      <c r="N539" s="14" t="s">
        <v>60</v>
      </c>
      <c r="O539" s="14" t="s">
        <v>60</v>
      </c>
      <c r="P539" s="14" t="s">
        <v>6232</v>
      </c>
      <c r="Q539" s="14" t="s">
        <v>11</v>
      </c>
      <c r="R539" s="3" t="s">
        <v>4170</v>
      </c>
      <c r="S539" s="3">
        <f t="shared" si="28"/>
        <v>550</v>
      </c>
      <c r="T539" s="3">
        <f t="shared" si="29"/>
        <v>17050</v>
      </c>
      <c r="U539" s="3" t="s">
        <v>60</v>
      </c>
      <c r="V539" s="14" t="s">
        <v>6</v>
      </c>
      <c r="W539" s="14" t="s">
        <v>6233</v>
      </c>
      <c r="X539" s="14" t="s">
        <v>60</v>
      </c>
    </row>
    <row r="540" spans="1:24" ht="15" x14ac:dyDescent="0.3">
      <c r="A540" s="3">
        <v>12</v>
      </c>
      <c r="B540" s="3" t="s">
        <v>6234</v>
      </c>
      <c r="C540" s="14" t="s">
        <v>0</v>
      </c>
      <c r="D540" s="14" t="s">
        <v>1112</v>
      </c>
      <c r="E540" s="14" t="s">
        <v>4367</v>
      </c>
      <c r="F540" s="14" t="s">
        <v>1089</v>
      </c>
      <c r="G540" s="14" t="s">
        <v>3</v>
      </c>
      <c r="H540" s="14" t="s">
        <v>6235</v>
      </c>
      <c r="I540" s="14" t="s">
        <v>1113</v>
      </c>
      <c r="J540" s="14" t="s">
        <v>60</v>
      </c>
      <c r="K540" s="14" t="s">
        <v>60</v>
      </c>
      <c r="L540" s="14" t="s">
        <v>60</v>
      </c>
      <c r="M540" s="14" t="s">
        <v>1114</v>
      </c>
      <c r="N540" s="14" t="s">
        <v>60</v>
      </c>
      <c r="O540" s="14" t="s">
        <v>60</v>
      </c>
      <c r="P540" s="14" t="s">
        <v>6236</v>
      </c>
      <c r="Q540" s="14" t="s">
        <v>11</v>
      </c>
      <c r="R540" s="3" t="s">
        <v>4170</v>
      </c>
      <c r="S540" s="3">
        <f t="shared" si="28"/>
        <v>550</v>
      </c>
      <c r="T540" s="3">
        <f t="shared" si="29"/>
        <v>17050</v>
      </c>
      <c r="U540" s="3" t="s">
        <v>60</v>
      </c>
      <c r="V540" s="14" t="s">
        <v>6</v>
      </c>
      <c r="W540" s="14" t="s">
        <v>6233</v>
      </c>
      <c r="X540" s="14" t="s">
        <v>60</v>
      </c>
    </row>
    <row r="541" spans="1:24" ht="15" x14ac:dyDescent="0.3">
      <c r="A541" s="3">
        <v>13</v>
      </c>
      <c r="B541" s="3" t="s">
        <v>6237</v>
      </c>
      <c r="C541" s="14" t="s">
        <v>0</v>
      </c>
      <c r="D541" s="14" t="s">
        <v>1116</v>
      </c>
      <c r="E541" s="14" t="s">
        <v>6238</v>
      </c>
      <c r="F541" s="14" t="s">
        <v>1117</v>
      </c>
      <c r="G541" s="14" t="s">
        <v>3</v>
      </c>
      <c r="H541" s="14" t="s">
        <v>6239</v>
      </c>
      <c r="I541" s="14" t="s">
        <v>1118</v>
      </c>
      <c r="J541" s="14" t="s">
        <v>60</v>
      </c>
      <c r="K541" s="14" t="s">
        <v>60</v>
      </c>
      <c r="L541" s="14" t="s">
        <v>60</v>
      </c>
      <c r="M541" s="14" t="s">
        <v>1119</v>
      </c>
      <c r="N541" s="14" t="s">
        <v>60</v>
      </c>
      <c r="O541" s="14" t="s">
        <v>255</v>
      </c>
      <c r="P541" s="14" t="s">
        <v>6240</v>
      </c>
      <c r="Q541" s="14" t="s">
        <v>1120</v>
      </c>
      <c r="R541" s="3" t="s">
        <v>4170</v>
      </c>
      <c r="S541" s="3">
        <f t="shared" si="28"/>
        <v>550</v>
      </c>
      <c r="T541" s="3">
        <f t="shared" si="29"/>
        <v>17050</v>
      </c>
      <c r="U541" s="3" t="s">
        <v>60</v>
      </c>
      <c r="V541" s="14" t="s">
        <v>6241</v>
      </c>
      <c r="W541" s="14" t="s">
        <v>6242</v>
      </c>
      <c r="X541" s="14" t="s">
        <v>60</v>
      </c>
    </row>
    <row r="542" spans="1:24" ht="15" x14ac:dyDescent="0.3">
      <c r="A542" s="3">
        <v>14</v>
      </c>
      <c r="B542" s="3" t="s">
        <v>6243</v>
      </c>
      <c r="C542" s="14" t="s">
        <v>0</v>
      </c>
      <c r="D542" s="14" t="s">
        <v>1121</v>
      </c>
      <c r="E542" s="14" t="s">
        <v>4319</v>
      </c>
      <c r="F542" s="14" t="s">
        <v>1069</v>
      </c>
      <c r="G542" s="14" t="s">
        <v>3</v>
      </c>
      <c r="H542" s="14" t="s">
        <v>6244</v>
      </c>
      <c r="I542" s="14" t="s">
        <v>1122</v>
      </c>
      <c r="J542" s="14" t="s">
        <v>60</v>
      </c>
      <c r="K542" s="14" t="s">
        <v>60</v>
      </c>
      <c r="L542" s="14" t="s">
        <v>60</v>
      </c>
      <c r="M542" s="14" t="s">
        <v>1123</v>
      </c>
      <c r="N542" s="14" t="s">
        <v>60</v>
      </c>
      <c r="O542" s="14" t="s">
        <v>261</v>
      </c>
      <c r="P542" s="14" t="s">
        <v>6245</v>
      </c>
      <c r="Q542" s="14" t="s">
        <v>11</v>
      </c>
      <c r="R542" s="3" t="s">
        <v>4170</v>
      </c>
      <c r="S542" s="3">
        <f t="shared" si="28"/>
        <v>550</v>
      </c>
      <c r="T542" s="3">
        <f t="shared" si="29"/>
        <v>17050</v>
      </c>
      <c r="U542" s="3" t="s">
        <v>60</v>
      </c>
      <c r="V542" s="14" t="s">
        <v>6246</v>
      </c>
      <c r="W542" s="14" t="s">
        <v>4202</v>
      </c>
      <c r="X542" s="14" t="s">
        <v>60</v>
      </c>
    </row>
    <row r="543" spans="1:24" ht="15" x14ac:dyDescent="0.3">
      <c r="A543" s="3">
        <v>15</v>
      </c>
      <c r="B543" s="3" t="s">
        <v>1124</v>
      </c>
      <c r="C543" s="14" t="s">
        <v>0</v>
      </c>
      <c r="D543" s="14" t="s">
        <v>1125</v>
      </c>
      <c r="E543" s="14" t="s">
        <v>1126</v>
      </c>
      <c r="F543" s="14" t="s">
        <v>1127</v>
      </c>
      <c r="G543" s="14" t="s">
        <v>3</v>
      </c>
      <c r="H543" s="14" t="s">
        <v>6247</v>
      </c>
      <c r="I543" s="14" t="s">
        <v>6248</v>
      </c>
      <c r="J543" s="14" t="s">
        <v>60</v>
      </c>
      <c r="K543" s="14" t="s">
        <v>60</v>
      </c>
      <c r="L543" s="14" t="s">
        <v>60</v>
      </c>
      <c r="M543" s="14" t="s">
        <v>60</v>
      </c>
      <c r="N543" s="14" t="s">
        <v>60</v>
      </c>
      <c r="O543" s="14" t="s">
        <v>193</v>
      </c>
      <c r="P543" s="14" t="s">
        <v>6249</v>
      </c>
      <c r="Q543" s="14" t="s">
        <v>1128</v>
      </c>
      <c r="R543" s="3" t="s">
        <v>4170</v>
      </c>
      <c r="S543" s="3">
        <f t="shared" si="28"/>
        <v>550</v>
      </c>
      <c r="T543" s="3">
        <f t="shared" si="29"/>
        <v>17050</v>
      </c>
      <c r="U543" s="3" t="s">
        <v>60</v>
      </c>
      <c r="V543" s="14" t="s">
        <v>6</v>
      </c>
      <c r="W543" s="14" t="s">
        <v>4287</v>
      </c>
      <c r="X543" s="14" t="s">
        <v>60</v>
      </c>
    </row>
    <row r="544" spans="1:24" ht="15" x14ac:dyDescent="0.3">
      <c r="A544" s="3">
        <v>16</v>
      </c>
      <c r="B544" s="3" t="s">
        <v>6250</v>
      </c>
      <c r="C544" s="14" t="s">
        <v>0</v>
      </c>
      <c r="D544" s="14" t="s">
        <v>1129</v>
      </c>
      <c r="E544" s="14" t="s">
        <v>5839</v>
      </c>
      <c r="F544" s="14" t="s">
        <v>1130</v>
      </c>
      <c r="G544" s="14" t="s">
        <v>3</v>
      </c>
      <c r="H544" s="14" t="s">
        <v>6251</v>
      </c>
      <c r="I544" s="14" t="s">
        <v>6252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193</v>
      </c>
      <c r="P544" s="14" t="s">
        <v>6253</v>
      </c>
      <c r="Q544" s="14" t="s">
        <v>1131</v>
      </c>
      <c r="R544" s="3" t="s">
        <v>4170</v>
      </c>
      <c r="S544" s="3">
        <f t="shared" si="28"/>
        <v>550</v>
      </c>
      <c r="T544" s="3">
        <f t="shared" si="29"/>
        <v>17050</v>
      </c>
      <c r="U544" s="3" t="s">
        <v>60</v>
      </c>
      <c r="V544" s="14" t="s">
        <v>6</v>
      </c>
      <c r="W544" s="14" t="s">
        <v>4287</v>
      </c>
      <c r="X544" s="14" t="s">
        <v>60</v>
      </c>
    </row>
    <row r="545" spans="1:24" ht="15" x14ac:dyDescent="0.3">
      <c r="A545" s="3">
        <v>17</v>
      </c>
      <c r="B545" s="3" t="s">
        <v>6254</v>
      </c>
      <c r="C545" s="14" t="s">
        <v>0</v>
      </c>
      <c r="D545" s="14" t="s">
        <v>1132</v>
      </c>
      <c r="E545" s="14" t="s">
        <v>6255</v>
      </c>
      <c r="F545" s="14" t="s">
        <v>1133</v>
      </c>
      <c r="G545" s="14" t="s">
        <v>3</v>
      </c>
      <c r="H545" s="14" t="s">
        <v>6256</v>
      </c>
      <c r="I545" s="14" t="s">
        <v>1134</v>
      </c>
      <c r="J545" s="14" t="s">
        <v>60</v>
      </c>
      <c r="K545" s="14" t="s">
        <v>60</v>
      </c>
      <c r="L545" s="14" t="s">
        <v>60</v>
      </c>
      <c r="M545" s="14" t="s">
        <v>60</v>
      </c>
      <c r="N545" s="14" t="s">
        <v>60</v>
      </c>
      <c r="O545" s="14" t="s">
        <v>1135</v>
      </c>
      <c r="P545" s="14" t="s">
        <v>6257</v>
      </c>
      <c r="Q545" s="14" t="s">
        <v>1131</v>
      </c>
      <c r="R545" s="3" t="s">
        <v>4170</v>
      </c>
      <c r="S545" s="3">
        <f t="shared" si="28"/>
        <v>550</v>
      </c>
      <c r="T545" s="3">
        <f t="shared" si="29"/>
        <v>17050</v>
      </c>
      <c r="U545" s="3" t="s">
        <v>60</v>
      </c>
      <c r="V545" s="14" t="s">
        <v>6</v>
      </c>
      <c r="W545" s="14" t="s">
        <v>6258</v>
      </c>
      <c r="X545" s="14" t="s">
        <v>60</v>
      </c>
    </row>
    <row r="546" spans="1:24" ht="15" x14ac:dyDescent="0.3">
      <c r="A546" s="3">
        <v>18</v>
      </c>
      <c r="B546" s="3" t="s">
        <v>6259</v>
      </c>
      <c r="C546" s="14" t="s">
        <v>0</v>
      </c>
      <c r="D546" s="14" t="s">
        <v>1136</v>
      </c>
      <c r="E546" s="14" t="s">
        <v>6260</v>
      </c>
      <c r="F546" s="14" t="s">
        <v>1137</v>
      </c>
      <c r="G546" s="14" t="s">
        <v>3</v>
      </c>
      <c r="H546" s="14" t="s">
        <v>6261</v>
      </c>
      <c r="I546" s="14" t="s">
        <v>1138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1135</v>
      </c>
      <c r="P546" s="14" t="s">
        <v>6262</v>
      </c>
      <c r="Q546" s="14" t="s">
        <v>1131</v>
      </c>
      <c r="R546" s="3" t="s">
        <v>4170</v>
      </c>
      <c r="S546" s="3">
        <f t="shared" si="28"/>
        <v>550</v>
      </c>
      <c r="T546" s="3">
        <f t="shared" si="29"/>
        <v>17050</v>
      </c>
      <c r="U546" s="3" t="s">
        <v>60</v>
      </c>
      <c r="V546" s="14" t="s">
        <v>6</v>
      </c>
      <c r="W546" s="14" t="s">
        <v>6258</v>
      </c>
      <c r="X546" s="14" t="s">
        <v>60</v>
      </c>
    </row>
    <row r="547" spans="1:24" ht="15" x14ac:dyDescent="0.3">
      <c r="A547" s="3">
        <v>19</v>
      </c>
      <c r="B547" s="3" t="s">
        <v>6263</v>
      </c>
      <c r="C547" s="14" t="s">
        <v>0</v>
      </c>
      <c r="D547" s="14" t="s">
        <v>1139</v>
      </c>
      <c r="E547" s="14" t="s">
        <v>4778</v>
      </c>
      <c r="F547" s="14" t="s">
        <v>1140</v>
      </c>
      <c r="G547" s="14" t="s">
        <v>3</v>
      </c>
      <c r="H547" s="14" t="s">
        <v>1141</v>
      </c>
      <c r="I547" s="14" t="s">
        <v>1142</v>
      </c>
      <c r="J547" s="14" t="s">
        <v>60</v>
      </c>
      <c r="K547" s="14" t="s">
        <v>60</v>
      </c>
      <c r="L547" s="14" t="s">
        <v>60</v>
      </c>
      <c r="M547" s="14" t="s">
        <v>60</v>
      </c>
      <c r="N547" s="14" t="s">
        <v>60</v>
      </c>
      <c r="O547" s="14" t="s">
        <v>1143</v>
      </c>
      <c r="P547" s="14" t="s">
        <v>6264</v>
      </c>
      <c r="Q547" s="14" t="s">
        <v>1131</v>
      </c>
      <c r="R547" s="3" t="s">
        <v>5244</v>
      </c>
      <c r="S547" s="3">
        <f t="shared" si="28"/>
        <v>550</v>
      </c>
      <c r="T547" s="3">
        <f t="shared" si="29"/>
        <v>14850</v>
      </c>
      <c r="U547" s="3" t="s">
        <v>60</v>
      </c>
      <c r="V547" s="14" t="s">
        <v>6</v>
      </c>
      <c r="W547" s="14" t="s">
        <v>6265</v>
      </c>
      <c r="X547" s="14" t="s">
        <v>60</v>
      </c>
    </row>
    <row r="548" spans="1:24" ht="15" x14ac:dyDescent="0.3">
      <c r="A548" s="3">
        <v>20</v>
      </c>
      <c r="B548" s="3" t="s">
        <v>6266</v>
      </c>
      <c r="C548" s="14" t="s">
        <v>0</v>
      </c>
      <c r="D548" s="14" t="s">
        <v>1144</v>
      </c>
      <c r="E548" s="14" t="s">
        <v>6267</v>
      </c>
      <c r="F548" s="14" t="s">
        <v>1145</v>
      </c>
      <c r="G548" s="14" t="s">
        <v>3</v>
      </c>
      <c r="H548" s="14" t="s">
        <v>6268</v>
      </c>
      <c r="I548" s="14" t="s">
        <v>1146</v>
      </c>
      <c r="J548" s="14" t="s">
        <v>60</v>
      </c>
      <c r="K548" s="14" t="s">
        <v>60</v>
      </c>
      <c r="L548" s="14" t="s">
        <v>60</v>
      </c>
      <c r="M548" s="14" t="s">
        <v>1147</v>
      </c>
      <c r="N548" s="14" t="s">
        <v>60</v>
      </c>
      <c r="O548" s="14" t="s">
        <v>485</v>
      </c>
      <c r="P548" s="14" t="s">
        <v>6269</v>
      </c>
      <c r="Q548" s="14" t="s">
        <v>11</v>
      </c>
      <c r="R548" s="3" t="s">
        <v>4170</v>
      </c>
      <c r="S548" s="3">
        <f t="shared" si="28"/>
        <v>550</v>
      </c>
      <c r="T548" s="3">
        <f t="shared" si="29"/>
        <v>17050</v>
      </c>
      <c r="U548" s="3" t="s">
        <v>6270</v>
      </c>
      <c r="V548" s="14" t="s">
        <v>6</v>
      </c>
      <c r="W548" s="14" t="s">
        <v>6271</v>
      </c>
      <c r="X548" s="14" t="s">
        <v>60</v>
      </c>
    </row>
    <row r="549" spans="1:24" ht="15" x14ac:dyDescent="0.3">
      <c r="A549" s="3">
        <v>21</v>
      </c>
      <c r="B549" s="3" t="s">
        <v>6272</v>
      </c>
      <c r="C549" s="14" t="s">
        <v>0</v>
      </c>
      <c r="D549" s="14" t="s">
        <v>1148</v>
      </c>
      <c r="E549" s="14" t="s">
        <v>6273</v>
      </c>
      <c r="F549" s="14" t="s">
        <v>1149</v>
      </c>
      <c r="G549" s="14" t="s">
        <v>3</v>
      </c>
      <c r="H549" s="14" t="s">
        <v>6274</v>
      </c>
      <c r="I549" s="14" t="s">
        <v>1150</v>
      </c>
      <c r="J549" s="14" t="s">
        <v>60</v>
      </c>
      <c r="K549" s="14" t="s">
        <v>60</v>
      </c>
      <c r="L549" s="14" t="s">
        <v>60</v>
      </c>
      <c r="M549" s="14" t="s">
        <v>1151</v>
      </c>
      <c r="N549" s="14" t="s">
        <v>60</v>
      </c>
      <c r="O549" s="14" t="s">
        <v>485</v>
      </c>
      <c r="P549" s="14" t="s">
        <v>6275</v>
      </c>
      <c r="Q549" s="14" t="s">
        <v>11</v>
      </c>
      <c r="R549" s="3" t="s">
        <v>4170</v>
      </c>
      <c r="S549" s="3">
        <f t="shared" si="28"/>
        <v>550</v>
      </c>
      <c r="T549" s="3">
        <f t="shared" si="29"/>
        <v>17050</v>
      </c>
      <c r="U549" s="3" t="s">
        <v>60</v>
      </c>
      <c r="V549" s="14" t="s">
        <v>6</v>
      </c>
      <c r="W549" s="14" t="s">
        <v>6271</v>
      </c>
      <c r="X549" s="14" t="s">
        <v>60</v>
      </c>
    </row>
    <row r="550" spans="1:24" ht="15" x14ac:dyDescent="0.3">
      <c r="A550" s="3">
        <v>22</v>
      </c>
      <c r="B550" s="3" t="s">
        <v>6276</v>
      </c>
      <c r="C550" s="14" t="s">
        <v>0</v>
      </c>
      <c r="D550" s="14" t="s">
        <v>1155</v>
      </c>
      <c r="E550" s="14" t="s">
        <v>4419</v>
      </c>
      <c r="F550" s="14" t="s">
        <v>1156</v>
      </c>
      <c r="G550" s="14" t="s">
        <v>3</v>
      </c>
      <c r="H550" s="14" t="s">
        <v>6277</v>
      </c>
      <c r="I550" s="14" t="s">
        <v>1157</v>
      </c>
      <c r="J550" s="14" t="s">
        <v>6278</v>
      </c>
      <c r="K550" s="14" t="s">
        <v>60</v>
      </c>
      <c r="L550" s="14" t="s">
        <v>60</v>
      </c>
      <c r="M550" s="14" t="s">
        <v>1158</v>
      </c>
      <c r="N550" s="14" t="s">
        <v>60</v>
      </c>
      <c r="O550" s="14" t="s">
        <v>193</v>
      </c>
      <c r="P550" s="14" t="s">
        <v>6279</v>
      </c>
      <c r="Q550" s="14" t="s">
        <v>11</v>
      </c>
      <c r="R550" s="3" t="s">
        <v>4170</v>
      </c>
      <c r="S550" s="3">
        <f t="shared" si="28"/>
        <v>550</v>
      </c>
      <c r="T550" s="3">
        <f t="shared" si="29"/>
        <v>17050</v>
      </c>
      <c r="U550" s="3" t="s">
        <v>60</v>
      </c>
      <c r="V550" s="14" t="s">
        <v>6</v>
      </c>
      <c r="W550" s="14" t="s">
        <v>4287</v>
      </c>
      <c r="X550" s="14" t="s">
        <v>60</v>
      </c>
    </row>
    <row r="551" spans="1:24" ht="15" x14ac:dyDescent="0.3">
      <c r="A551" s="3">
        <v>23</v>
      </c>
      <c r="B551" s="3" t="s">
        <v>6280</v>
      </c>
      <c r="C551" s="14" t="s">
        <v>0</v>
      </c>
      <c r="D551" s="14" t="s">
        <v>1159</v>
      </c>
      <c r="E551" s="14" t="s">
        <v>6281</v>
      </c>
      <c r="F551" s="14" t="s">
        <v>1160</v>
      </c>
      <c r="G551" s="14" t="s">
        <v>3</v>
      </c>
      <c r="H551" s="14" t="s">
        <v>6282</v>
      </c>
      <c r="I551" s="14" t="s">
        <v>1161</v>
      </c>
      <c r="J551" s="14" t="s">
        <v>6278</v>
      </c>
      <c r="K551" s="14" t="s">
        <v>60</v>
      </c>
      <c r="L551" s="14" t="s">
        <v>60</v>
      </c>
      <c r="M551" s="14" t="s">
        <v>1162</v>
      </c>
      <c r="N551" s="14" t="s">
        <v>60</v>
      </c>
      <c r="O551" s="14" t="s">
        <v>193</v>
      </c>
      <c r="P551" s="14" t="s">
        <v>6283</v>
      </c>
      <c r="Q551" s="14" t="s">
        <v>1153</v>
      </c>
      <c r="R551" s="3" t="s">
        <v>4170</v>
      </c>
      <c r="S551" s="3">
        <f t="shared" si="28"/>
        <v>550</v>
      </c>
      <c r="T551" s="3">
        <f t="shared" si="29"/>
        <v>17050</v>
      </c>
      <c r="U551" s="3" t="s">
        <v>60</v>
      </c>
      <c r="V551" s="14" t="s">
        <v>6</v>
      </c>
      <c r="W551" s="14" t="s">
        <v>4287</v>
      </c>
      <c r="X551" s="14" t="s">
        <v>60</v>
      </c>
    </row>
    <row r="552" spans="1:24" ht="15" x14ac:dyDescent="0.3">
      <c r="A552" s="3">
        <v>24</v>
      </c>
      <c r="B552" s="3" t="s">
        <v>6284</v>
      </c>
      <c r="C552" s="14" t="s">
        <v>0</v>
      </c>
      <c r="D552" s="14" t="s">
        <v>1163</v>
      </c>
      <c r="E552" s="14" t="s">
        <v>6285</v>
      </c>
      <c r="F552" s="14" t="s">
        <v>1164</v>
      </c>
      <c r="G552" s="14" t="s">
        <v>3</v>
      </c>
      <c r="H552" s="14" t="s">
        <v>6286</v>
      </c>
      <c r="I552" s="14" t="s">
        <v>1165</v>
      </c>
      <c r="J552" s="14" t="s">
        <v>60</v>
      </c>
      <c r="K552" s="14" t="s">
        <v>60</v>
      </c>
      <c r="L552" s="14" t="s">
        <v>60</v>
      </c>
      <c r="M552" s="14" t="s">
        <v>60</v>
      </c>
      <c r="N552" s="14" t="s">
        <v>60</v>
      </c>
      <c r="O552" s="14" t="s">
        <v>6287</v>
      </c>
      <c r="P552" s="14" t="s">
        <v>6288</v>
      </c>
      <c r="Q552" s="14" t="s">
        <v>1166</v>
      </c>
      <c r="R552" s="3" t="s">
        <v>4170</v>
      </c>
      <c r="S552" s="3">
        <f t="shared" si="28"/>
        <v>550</v>
      </c>
      <c r="T552" s="3">
        <f t="shared" si="29"/>
        <v>17050</v>
      </c>
      <c r="U552" s="3" t="s">
        <v>60</v>
      </c>
      <c r="V552" s="14" t="s">
        <v>6</v>
      </c>
      <c r="W552" s="14" t="s">
        <v>4287</v>
      </c>
      <c r="X552" s="14" t="s">
        <v>60</v>
      </c>
    </row>
    <row r="553" spans="1:24" ht="15" x14ac:dyDescent="0.3">
      <c r="A553" s="3">
        <v>25</v>
      </c>
      <c r="B553" s="3" t="s">
        <v>6289</v>
      </c>
      <c r="C553" s="14" t="s">
        <v>0</v>
      </c>
      <c r="D553" s="14" t="s">
        <v>1167</v>
      </c>
      <c r="E553" s="14" t="s">
        <v>5594</v>
      </c>
      <c r="F553" s="14" t="s">
        <v>1168</v>
      </c>
      <c r="G553" s="14" t="s">
        <v>3</v>
      </c>
      <c r="H553" s="14" t="s">
        <v>6290</v>
      </c>
      <c r="I553" s="14" t="s">
        <v>1169</v>
      </c>
      <c r="J553" s="14" t="s">
        <v>228</v>
      </c>
      <c r="K553" s="14" t="s">
        <v>60</v>
      </c>
      <c r="L553" s="14" t="s">
        <v>60</v>
      </c>
      <c r="M553" s="14" t="s">
        <v>1170</v>
      </c>
      <c r="N553" s="14" t="s">
        <v>60</v>
      </c>
      <c r="O553" s="14" t="s">
        <v>193</v>
      </c>
      <c r="P553" s="14" t="s">
        <v>6291</v>
      </c>
      <c r="Q553" s="14" t="s">
        <v>11</v>
      </c>
      <c r="R553" s="3" t="s">
        <v>4300</v>
      </c>
      <c r="S553" s="3">
        <f t="shared" si="28"/>
        <v>550</v>
      </c>
      <c r="T553" s="3">
        <f t="shared" si="29"/>
        <v>15950</v>
      </c>
      <c r="U553" s="3" t="s">
        <v>60</v>
      </c>
      <c r="V553" s="14" t="s">
        <v>6</v>
      </c>
      <c r="W553" s="14" t="s">
        <v>4287</v>
      </c>
      <c r="X553" s="14" t="s">
        <v>60</v>
      </c>
    </row>
    <row r="554" spans="1:24" ht="15" x14ac:dyDescent="0.3">
      <c r="A554" s="3">
        <v>26</v>
      </c>
      <c r="B554" s="3" t="s">
        <v>6292</v>
      </c>
      <c r="C554" s="14" t="s">
        <v>0</v>
      </c>
      <c r="D554" s="14" t="s">
        <v>1171</v>
      </c>
      <c r="E554" s="14" t="s">
        <v>6293</v>
      </c>
      <c r="F554" s="14" t="s">
        <v>1172</v>
      </c>
      <c r="G554" s="14" t="s">
        <v>3</v>
      </c>
      <c r="H554" s="14" t="s">
        <v>6294</v>
      </c>
      <c r="I554" s="14" t="s">
        <v>1173</v>
      </c>
      <c r="J554" s="14" t="s">
        <v>60</v>
      </c>
      <c r="K554" s="14" t="s">
        <v>60</v>
      </c>
      <c r="L554" s="14" t="s">
        <v>60</v>
      </c>
      <c r="M554" s="14" t="s">
        <v>1174</v>
      </c>
      <c r="N554" s="14" t="s">
        <v>60</v>
      </c>
      <c r="O554" s="14" t="s">
        <v>193</v>
      </c>
      <c r="P554" s="14" t="s">
        <v>6295</v>
      </c>
      <c r="Q554" s="14" t="s">
        <v>1175</v>
      </c>
      <c r="R554" s="3" t="s">
        <v>4300</v>
      </c>
      <c r="S554" s="3">
        <f t="shared" si="28"/>
        <v>550</v>
      </c>
      <c r="T554" s="3">
        <f t="shared" si="29"/>
        <v>15950</v>
      </c>
      <c r="U554" s="3" t="s">
        <v>60</v>
      </c>
      <c r="V554" s="14" t="s">
        <v>6</v>
      </c>
      <c r="W554" s="14" t="s">
        <v>4287</v>
      </c>
      <c r="X554" s="14" t="s">
        <v>60</v>
      </c>
    </row>
    <row r="555" spans="1:24" ht="15" x14ac:dyDescent="0.3">
      <c r="A555" s="3">
        <v>27</v>
      </c>
      <c r="B555" s="3" t="s">
        <v>6296</v>
      </c>
      <c r="C555" s="14" t="s">
        <v>0</v>
      </c>
      <c r="D555" s="14" t="s">
        <v>1176</v>
      </c>
      <c r="E555" s="14" t="s">
        <v>6297</v>
      </c>
      <c r="F555" s="14" t="s">
        <v>1177</v>
      </c>
      <c r="G555" s="14" t="s">
        <v>3</v>
      </c>
      <c r="H555" s="14" t="s">
        <v>6298</v>
      </c>
      <c r="I555" s="14" t="s">
        <v>1178</v>
      </c>
      <c r="J555" s="14" t="s">
        <v>60</v>
      </c>
      <c r="K555" s="14" t="s">
        <v>1152</v>
      </c>
      <c r="L555" s="14" t="s">
        <v>60</v>
      </c>
      <c r="M555" s="14" t="s">
        <v>1179</v>
      </c>
      <c r="N555" s="14" t="s">
        <v>60</v>
      </c>
      <c r="O555" s="14" t="s">
        <v>193</v>
      </c>
      <c r="P555" s="14" t="s">
        <v>6299</v>
      </c>
      <c r="Q555" s="14" t="s">
        <v>1153</v>
      </c>
      <c r="R555" s="3" t="s">
        <v>4300</v>
      </c>
      <c r="S555" s="3">
        <f t="shared" si="28"/>
        <v>550</v>
      </c>
      <c r="T555" s="3">
        <f t="shared" si="29"/>
        <v>15950</v>
      </c>
      <c r="U555" s="3" t="s">
        <v>60</v>
      </c>
      <c r="V555" s="14" t="s">
        <v>6</v>
      </c>
      <c r="W555" s="14" t="s">
        <v>4287</v>
      </c>
      <c r="X555" s="14" t="s">
        <v>60</v>
      </c>
    </row>
    <row r="556" spans="1:24" ht="15" x14ac:dyDescent="0.3">
      <c r="A556" s="3">
        <v>28</v>
      </c>
      <c r="B556" s="3" t="s">
        <v>6300</v>
      </c>
      <c r="C556" s="14" t="s">
        <v>69</v>
      </c>
      <c r="D556" s="14" t="s">
        <v>1180</v>
      </c>
      <c r="E556" s="14" t="s">
        <v>4707</v>
      </c>
      <c r="F556" s="14" t="s">
        <v>1181</v>
      </c>
      <c r="G556" s="14" t="s">
        <v>3</v>
      </c>
      <c r="H556" s="14" t="s">
        <v>6301</v>
      </c>
      <c r="I556" s="14" t="s">
        <v>1182</v>
      </c>
      <c r="J556" s="14" t="s">
        <v>1183</v>
      </c>
      <c r="K556" s="14" t="s">
        <v>60</v>
      </c>
      <c r="L556" s="14" t="s">
        <v>60</v>
      </c>
      <c r="M556" s="14" t="s">
        <v>1184</v>
      </c>
      <c r="N556" s="14" t="s">
        <v>60</v>
      </c>
      <c r="O556" s="14" t="s">
        <v>193</v>
      </c>
      <c r="P556" s="14" t="s">
        <v>6302</v>
      </c>
      <c r="Q556" s="14" t="s">
        <v>1153</v>
      </c>
      <c r="R556" s="3" t="s">
        <v>4170</v>
      </c>
      <c r="S556" s="3">
        <f t="shared" si="28"/>
        <v>570</v>
      </c>
      <c r="T556" s="3">
        <f t="shared" si="29"/>
        <v>17670</v>
      </c>
      <c r="U556" s="3" t="s">
        <v>60</v>
      </c>
      <c r="V556" s="14" t="s">
        <v>6</v>
      </c>
      <c r="W556" s="14" t="s">
        <v>4287</v>
      </c>
      <c r="X556" s="14" t="s">
        <v>60</v>
      </c>
    </row>
    <row r="557" spans="1:24" ht="15" x14ac:dyDescent="0.3">
      <c r="A557" s="3">
        <v>29</v>
      </c>
      <c r="B557" s="3" t="s">
        <v>6303</v>
      </c>
      <c r="C557" s="14" t="s">
        <v>0</v>
      </c>
      <c r="D557" s="14" t="s">
        <v>1185</v>
      </c>
      <c r="E557" s="14" t="s">
        <v>6304</v>
      </c>
      <c r="F557" s="14" t="s">
        <v>1186</v>
      </c>
      <c r="G557" s="14" t="s">
        <v>3</v>
      </c>
      <c r="H557" s="14" t="s">
        <v>6305</v>
      </c>
      <c r="I557" s="14" t="s">
        <v>6306</v>
      </c>
      <c r="J557" s="14" t="s">
        <v>60</v>
      </c>
      <c r="K557" s="14" t="s">
        <v>60</v>
      </c>
      <c r="L557" s="14" t="s">
        <v>60</v>
      </c>
      <c r="M557" s="14" t="s">
        <v>60</v>
      </c>
      <c r="N557" s="14" t="s">
        <v>60</v>
      </c>
      <c r="O557" s="14" t="s">
        <v>184</v>
      </c>
      <c r="P557" s="14" t="s">
        <v>6307</v>
      </c>
      <c r="Q557" s="14" t="s">
        <v>1153</v>
      </c>
      <c r="R557" s="3" t="s">
        <v>4300</v>
      </c>
      <c r="S557" s="3">
        <f t="shared" si="28"/>
        <v>550</v>
      </c>
      <c r="T557" s="3">
        <f t="shared" si="29"/>
        <v>15950</v>
      </c>
      <c r="U557" s="3" t="s">
        <v>60</v>
      </c>
      <c r="V557" s="14" t="s">
        <v>6</v>
      </c>
      <c r="W557" s="14" t="s">
        <v>4287</v>
      </c>
      <c r="X557" s="14" t="s">
        <v>60</v>
      </c>
    </row>
    <row r="558" spans="1:24" ht="15" x14ac:dyDescent="0.3">
      <c r="A558" s="3">
        <v>30</v>
      </c>
      <c r="B558" s="3" t="s">
        <v>1187</v>
      </c>
      <c r="C558" s="14" t="s">
        <v>0</v>
      </c>
      <c r="D558" s="14" t="s">
        <v>1188</v>
      </c>
      <c r="E558" s="14" t="s">
        <v>6308</v>
      </c>
      <c r="F558" s="14" t="s">
        <v>1189</v>
      </c>
      <c r="G558" s="14" t="s">
        <v>3</v>
      </c>
      <c r="H558" s="14" t="s">
        <v>6309</v>
      </c>
      <c r="I558" s="14" t="s">
        <v>1190</v>
      </c>
      <c r="J558" s="14" t="s">
        <v>1183</v>
      </c>
      <c r="K558" s="14" t="s">
        <v>60</v>
      </c>
      <c r="L558" s="14" t="s">
        <v>60</v>
      </c>
      <c r="M558" s="14" t="s">
        <v>1191</v>
      </c>
      <c r="N558" s="14" t="s">
        <v>60</v>
      </c>
      <c r="O558" s="14" t="s">
        <v>193</v>
      </c>
      <c r="P558" s="14" t="s">
        <v>6310</v>
      </c>
      <c r="Q558" s="14" t="s">
        <v>11</v>
      </c>
      <c r="R558" s="3" t="s">
        <v>4170</v>
      </c>
      <c r="S558" s="3">
        <f t="shared" si="28"/>
        <v>550</v>
      </c>
      <c r="T558" s="3">
        <f t="shared" si="29"/>
        <v>17050</v>
      </c>
      <c r="U558" s="3" t="s">
        <v>60</v>
      </c>
      <c r="V558" s="14" t="s">
        <v>6</v>
      </c>
      <c r="W558" s="14" t="s">
        <v>4287</v>
      </c>
      <c r="X558" s="14" t="s">
        <v>60</v>
      </c>
    </row>
    <row r="559" spans="1:24" ht="15" x14ac:dyDescent="0.3">
      <c r="A559" s="3">
        <v>31</v>
      </c>
      <c r="B559" s="3" t="s">
        <v>6311</v>
      </c>
      <c r="C559" s="14" t="s">
        <v>0</v>
      </c>
      <c r="D559" s="14" t="s">
        <v>1192</v>
      </c>
      <c r="E559" s="14" t="s">
        <v>6312</v>
      </c>
      <c r="F559" s="14" t="s">
        <v>1193</v>
      </c>
      <c r="G559" s="14" t="s">
        <v>3</v>
      </c>
      <c r="H559" s="14" t="s">
        <v>6313</v>
      </c>
      <c r="I559" s="14" t="s">
        <v>1098</v>
      </c>
      <c r="J559" s="14" t="s">
        <v>60</v>
      </c>
      <c r="K559" s="14" t="s">
        <v>60</v>
      </c>
      <c r="L559" s="14" t="s">
        <v>60</v>
      </c>
      <c r="M559" s="14" t="s">
        <v>1194</v>
      </c>
      <c r="N559" s="14" t="s">
        <v>60</v>
      </c>
      <c r="O559" s="14" t="s">
        <v>193</v>
      </c>
      <c r="P559" s="14" t="s">
        <v>6314</v>
      </c>
      <c r="Q559" s="14" t="s">
        <v>11</v>
      </c>
      <c r="R559" s="3" t="s">
        <v>5244</v>
      </c>
      <c r="S559" s="3">
        <f t="shared" si="28"/>
        <v>550</v>
      </c>
      <c r="T559" s="3">
        <f t="shared" si="29"/>
        <v>14850</v>
      </c>
      <c r="U559" s="3" t="s">
        <v>60</v>
      </c>
      <c r="V559" s="14" t="s">
        <v>6</v>
      </c>
      <c r="W559" s="14" t="s">
        <v>4287</v>
      </c>
      <c r="X559" s="14" t="s">
        <v>60</v>
      </c>
    </row>
    <row r="560" spans="1:24" ht="15" x14ac:dyDescent="0.3">
      <c r="A560" s="3">
        <v>32</v>
      </c>
      <c r="B560" s="3" t="s">
        <v>6315</v>
      </c>
      <c r="C560" s="14" t="s">
        <v>0</v>
      </c>
      <c r="D560" s="14" t="s">
        <v>1195</v>
      </c>
      <c r="E560" s="14" t="s">
        <v>4815</v>
      </c>
      <c r="F560" s="14" t="s">
        <v>1196</v>
      </c>
      <c r="G560" s="14" t="s">
        <v>3</v>
      </c>
      <c r="H560" s="14" t="s">
        <v>6316</v>
      </c>
      <c r="I560" s="14" t="s">
        <v>1197</v>
      </c>
      <c r="J560" s="14" t="s">
        <v>60</v>
      </c>
      <c r="K560" s="14" t="s">
        <v>60</v>
      </c>
      <c r="L560" s="14" t="s">
        <v>60</v>
      </c>
      <c r="M560" s="14" t="s">
        <v>1198</v>
      </c>
      <c r="N560" s="14" t="s">
        <v>60</v>
      </c>
      <c r="O560" s="14" t="s">
        <v>487</v>
      </c>
      <c r="P560" s="14" t="s">
        <v>6317</v>
      </c>
      <c r="Q560" s="14" t="s">
        <v>1199</v>
      </c>
      <c r="R560" s="3" t="s">
        <v>4170</v>
      </c>
      <c r="S560" s="3">
        <f t="shared" si="28"/>
        <v>550</v>
      </c>
      <c r="T560" s="3">
        <f t="shared" si="29"/>
        <v>17050</v>
      </c>
      <c r="U560" s="3" t="s">
        <v>60</v>
      </c>
      <c r="V560" s="14" t="s">
        <v>6</v>
      </c>
      <c r="W560" s="14" t="s">
        <v>6318</v>
      </c>
      <c r="X560" s="14" t="s">
        <v>60</v>
      </c>
    </row>
    <row r="561" spans="1:24" ht="15" x14ac:dyDescent="0.3">
      <c r="A561" s="3">
        <v>33</v>
      </c>
      <c r="B561" s="3" t="s">
        <v>6319</v>
      </c>
      <c r="C561" s="14" t="s">
        <v>0</v>
      </c>
      <c r="D561" s="14" t="s">
        <v>1200</v>
      </c>
      <c r="E561" s="14" t="s">
        <v>4293</v>
      </c>
      <c r="F561" s="14" t="s">
        <v>1201</v>
      </c>
      <c r="G561" s="14" t="s">
        <v>3</v>
      </c>
      <c r="H561" s="14" t="s">
        <v>6320</v>
      </c>
      <c r="I561" s="14" t="s">
        <v>1202</v>
      </c>
      <c r="J561" s="14" t="s">
        <v>60</v>
      </c>
      <c r="K561" s="14" t="s">
        <v>60</v>
      </c>
      <c r="L561" s="14" t="s">
        <v>60</v>
      </c>
      <c r="M561" s="14" t="s">
        <v>60</v>
      </c>
      <c r="N561" s="14" t="s">
        <v>60</v>
      </c>
      <c r="O561" s="14" t="s">
        <v>60</v>
      </c>
      <c r="P561" s="14" t="s">
        <v>6321</v>
      </c>
      <c r="Q561" s="14" t="s">
        <v>11</v>
      </c>
      <c r="R561" s="3" t="s">
        <v>4170</v>
      </c>
      <c r="S561" s="3">
        <f t="shared" si="28"/>
        <v>550</v>
      </c>
      <c r="T561" s="3">
        <f t="shared" si="29"/>
        <v>17050</v>
      </c>
      <c r="U561" s="3" t="s">
        <v>60</v>
      </c>
      <c r="V561" s="14" t="s">
        <v>6</v>
      </c>
      <c r="W561" s="14" t="s">
        <v>4731</v>
      </c>
      <c r="X561" s="14" t="s">
        <v>60</v>
      </c>
    </row>
    <row r="562" spans="1:24" ht="15" x14ac:dyDescent="0.3">
      <c r="A562" s="3">
        <v>34</v>
      </c>
      <c r="B562" s="3" t="s">
        <v>6322</v>
      </c>
      <c r="C562" s="14" t="s">
        <v>26</v>
      </c>
      <c r="D562" s="14" t="s">
        <v>1203</v>
      </c>
      <c r="E562" s="14" t="s">
        <v>6323</v>
      </c>
      <c r="F562" s="14" t="s">
        <v>1204</v>
      </c>
      <c r="G562" s="14" t="s">
        <v>3</v>
      </c>
      <c r="H562" s="14" t="s">
        <v>6324</v>
      </c>
      <c r="I562" s="14" t="s">
        <v>1205</v>
      </c>
      <c r="J562" s="14" t="s">
        <v>60</v>
      </c>
      <c r="K562" s="14" t="s">
        <v>60</v>
      </c>
      <c r="L562" s="14" t="s">
        <v>60</v>
      </c>
      <c r="M562" s="14" t="s">
        <v>60</v>
      </c>
      <c r="N562" s="14" t="s">
        <v>60</v>
      </c>
      <c r="O562" s="14" t="s">
        <v>60</v>
      </c>
      <c r="P562" s="14" t="s">
        <v>6325</v>
      </c>
      <c r="Q562" s="14" t="s">
        <v>1206</v>
      </c>
      <c r="R562" s="3" t="s">
        <v>4170</v>
      </c>
      <c r="S562" s="3">
        <f t="shared" si="28"/>
        <v>770</v>
      </c>
      <c r="T562" s="3">
        <f t="shared" si="29"/>
        <v>23870</v>
      </c>
      <c r="U562" s="3" t="s">
        <v>60</v>
      </c>
      <c r="V562" s="14" t="s">
        <v>6</v>
      </c>
      <c r="W562" s="14" t="s">
        <v>6326</v>
      </c>
      <c r="X562" s="14" t="s">
        <v>60</v>
      </c>
    </row>
    <row r="563" spans="1:24" ht="15" x14ac:dyDescent="0.3">
      <c r="A563" s="3">
        <v>35</v>
      </c>
      <c r="B563" s="3" t="s">
        <v>6327</v>
      </c>
      <c r="C563" s="14" t="s">
        <v>0</v>
      </c>
      <c r="D563" s="14" t="s">
        <v>1207</v>
      </c>
      <c r="E563" s="14" t="s">
        <v>6050</v>
      </c>
      <c r="F563" s="14" t="s">
        <v>1104</v>
      </c>
      <c r="G563" s="14" t="s">
        <v>121</v>
      </c>
      <c r="H563" s="14" t="s">
        <v>6328</v>
      </c>
      <c r="I563" s="14" t="s">
        <v>1208</v>
      </c>
      <c r="J563" s="14" t="s">
        <v>60</v>
      </c>
      <c r="K563" s="14" t="s">
        <v>60</v>
      </c>
      <c r="L563" s="14" t="s">
        <v>60</v>
      </c>
      <c r="M563" s="14" t="s">
        <v>60</v>
      </c>
      <c r="N563" s="14" t="s">
        <v>60</v>
      </c>
      <c r="O563" s="14" t="s">
        <v>1209</v>
      </c>
      <c r="P563" s="14" t="s">
        <v>6329</v>
      </c>
      <c r="Q563" s="14" t="s">
        <v>11</v>
      </c>
      <c r="R563" s="3" t="s">
        <v>4170</v>
      </c>
      <c r="S563" s="3">
        <f t="shared" si="28"/>
        <v>550</v>
      </c>
      <c r="T563" s="3">
        <f t="shared" si="29"/>
        <v>17050</v>
      </c>
      <c r="U563" s="3" t="s">
        <v>60</v>
      </c>
      <c r="V563" s="14" t="s">
        <v>6</v>
      </c>
      <c r="W563" s="14" t="s">
        <v>6330</v>
      </c>
      <c r="X563" s="14" t="s">
        <v>60</v>
      </c>
    </row>
    <row r="564" spans="1:24" ht="15" x14ac:dyDescent="0.3">
      <c r="A564" s="3">
        <v>36</v>
      </c>
      <c r="B564" s="3" t="s">
        <v>6331</v>
      </c>
      <c r="C564" s="14" t="s">
        <v>0</v>
      </c>
      <c r="D564" s="14" t="s">
        <v>1210</v>
      </c>
      <c r="E564" s="14" t="s">
        <v>1211</v>
      </c>
      <c r="F564" s="14" t="s">
        <v>1212</v>
      </c>
      <c r="G564" s="14" t="s">
        <v>121</v>
      </c>
      <c r="H564" s="14" t="s">
        <v>6332</v>
      </c>
      <c r="I564" s="14" t="s">
        <v>1213</v>
      </c>
      <c r="J564" s="14" t="s">
        <v>60</v>
      </c>
      <c r="K564" s="14" t="s">
        <v>60</v>
      </c>
      <c r="L564" s="14" t="s">
        <v>60</v>
      </c>
      <c r="M564" s="14" t="s">
        <v>60</v>
      </c>
      <c r="N564" s="14" t="s">
        <v>60</v>
      </c>
      <c r="O564" s="14" t="s">
        <v>1209</v>
      </c>
      <c r="P564" s="14" t="s">
        <v>6333</v>
      </c>
      <c r="Q564" s="14" t="s">
        <v>11</v>
      </c>
      <c r="R564" s="3" t="s">
        <v>4170</v>
      </c>
      <c r="S564" s="3">
        <f t="shared" si="28"/>
        <v>550</v>
      </c>
      <c r="T564" s="3">
        <f t="shared" si="29"/>
        <v>17050</v>
      </c>
      <c r="U564" s="3" t="s">
        <v>60</v>
      </c>
      <c r="V564" s="14" t="s">
        <v>6</v>
      </c>
      <c r="W564" s="14" t="s">
        <v>6330</v>
      </c>
      <c r="X564" s="14" t="s">
        <v>60</v>
      </c>
    </row>
    <row r="565" spans="1:24" ht="15" x14ac:dyDescent="0.3">
      <c r="A565" s="3">
        <v>37</v>
      </c>
      <c r="B565" s="3" t="s">
        <v>6334</v>
      </c>
      <c r="C565" s="14" t="s">
        <v>0</v>
      </c>
      <c r="D565" s="14" t="s">
        <v>1214</v>
      </c>
      <c r="E565" s="14" t="s">
        <v>6335</v>
      </c>
      <c r="F565" s="14" t="s">
        <v>1104</v>
      </c>
      <c r="G565" s="14" t="s">
        <v>3</v>
      </c>
      <c r="H565" s="14" t="s">
        <v>6328</v>
      </c>
      <c r="I565" s="14" t="s">
        <v>1215</v>
      </c>
      <c r="J565" s="14" t="s">
        <v>60</v>
      </c>
      <c r="K565" s="14" t="s">
        <v>60</v>
      </c>
      <c r="L565" s="14" t="s">
        <v>60</v>
      </c>
      <c r="M565" s="14" t="s">
        <v>60</v>
      </c>
      <c r="N565" s="14" t="s">
        <v>60</v>
      </c>
      <c r="O565" s="14" t="s">
        <v>1209</v>
      </c>
      <c r="P565" s="14" t="s">
        <v>6336</v>
      </c>
      <c r="Q565" s="14" t="s">
        <v>11</v>
      </c>
      <c r="R565" s="3" t="s">
        <v>4170</v>
      </c>
      <c r="S565" s="3">
        <f t="shared" si="28"/>
        <v>550</v>
      </c>
      <c r="T565" s="3">
        <f t="shared" si="29"/>
        <v>17050</v>
      </c>
      <c r="U565" s="3" t="s">
        <v>60</v>
      </c>
      <c r="V565" s="14" t="s">
        <v>6</v>
      </c>
      <c r="W565" s="14" t="s">
        <v>6330</v>
      </c>
      <c r="X565" s="14" t="s">
        <v>60</v>
      </c>
    </row>
    <row r="566" spans="1:24" ht="15" x14ac:dyDescent="0.3">
      <c r="A566" s="3">
        <v>38</v>
      </c>
      <c r="B566" s="3" t="s">
        <v>6337</v>
      </c>
      <c r="C566" s="14" t="s">
        <v>0</v>
      </c>
      <c r="D566" s="14" t="s">
        <v>1216</v>
      </c>
      <c r="E566" s="14" t="s">
        <v>6335</v>
      </c>
      <c r="F566" s="14" t="s">
        <v>1104</v>
      </c>
      <c r="G566" s="14" t="s">
        <v>121</v>
      </c>
      <c r="H566" s="14" t="s">
        <v>6328</v>
      </c>
      <c r="I566" s="14" t="s">
        <v>1217</v>
      </c>
      <c r="J566" s="14" t="s">
        <v>60</v>
      </c>
      <c r="K566" s="14" t="s">
        <v>60</v>
      </c>
      <c r="L566" s="14" t="s">
        <v>60</v>
      </c>
      <c r="M566" s="14" t="s">
        <v>60</v>
      </c>
      <c r="N566" s="14" t="s">
        <v>60</v>
      </c>
      <c r="O566" s="14" t="s">
        <v>1209</v>
      </c>
      <c r="P566" s="14" t="s">
        <v>6338</v>
      </c>
      <c r="Q566" s="14" t="s">
        <v>11</v>
      </c>
      <c r="R566" s="3" t="s">
        <v>4170</v>
      </c>
      <c r="S566" s="3">
        <f t="shared" si="28"/>
        <v>550</v>
      </c>
      <c r="T566" s="3">
        <f t="shared" si="29"/>
        <v>17050</v>
      </c>
      <c r="U566" s="3" t="s">
        <v>60</v>
      </c>
      <c r="V566" s="14" t="s">
        <v>6</v>
      </c>
      <c r="W566" s="14" t="s">
        <v>6330</v>
      </c>
      <c r="X566" s="14" t="s">
        <v>60</v>
      </c>
    </row>
    <row r="567" spans="1:24" ht="15" x14ac:dyDescent="0.3">
      <c r="A567" s="3">
        <v>39</v>
      </c>
      <c r="B567" s="3" t="s">
        <v>6339</v>
      </c>
      <c r="C567" s="14" t="s">
        <v>0</v>
      </c>
      <c r="D567" s="14" t="s">
        <v>1218</v>
      </c>
      <c r="E567" s="14" t="s">
        <v>6340</v>
      </c>
      <c r="F567" s="14" t="s">
        <v>1219</v>
      </c>
      <c r="G567" s="14" t="s">
        <v>121</v>
      </c>
      <c r="H567" s="14" t="s">
        <v>6341</v>
      </c>
      <c r="I567" s="14" t="s">
        <v>1220</v>
      </c>
      <c r="J567" s="14" t="s">
        <v>60</v>
      </c>
      <c r="K567" s="14" t="s">
        <v>60</v>
      </c>
      <c r="L567" s="14" t="s">
        <v>60</v>
      </c>
      <c r="M567" s="14" t="s">
        <v>60</v>
      </c>
      <c r="N567" s="14" t="s">
        <v>60</v>
      </c>
      <c r="O567" s="14" t="s">
        <v>1209</v>
      </c>
      <c r="P567" s="14" t="s">
        <v>6342</v>
      </c>
      <c r="Q567" s="14" t="s">
        <v>11</v>
      </c>
      <c r="R567" s="3" t="s">
        <v>4170</v>
      </c>
      <c r="S567" s="3">
        <f t="shared" si="28"/>
        <v>550</v>
      </c>
      <c r="T567" s="3">
        <f t="shared" si="29"/>
        <v>17050</v>
      </c>
      <c r="U567" s="3" t="s">
        <v>60</v>
      </c>
      <c r="V567" s="14" t="s">
        <v>6</v>
      </c>
      <c r="W567" s="14" t="s">
        <v>6330</v>
      </c>
      <c r="X567" s="14" t="s">
        <v>60</v>
      </c>
    </row>
    <row r="568" spans="1:24" ht="15" x14ac:dyDescent="0.3">
      <c r="A568" s="3">
        <v>40</v>
      </c>
      <c r="B568" s="3" t="s">
        <v>6343</v>
      </c>
      <c r="C568" s="14" t="s">
        <v>0</v>
      </c>
      <c r="D568" s="14" t="s">
        <v>1336</v>
      </c>
      <c r="E568" s="14" t="s">
        <v>6344</v>
      </c>
      <c r="F568" s="14" t="s">
        <v>1337</v>
      </c>
      <c r="G568" s="14" t="s">
        <v>3</v>
      </c>
      <c r="H568" s="14" t="s">
        <v>6345</v>
      </c>
      <c r="I568" s="14" t="s">
        <v>1338</v>
      </c>
      <c r="J568" s="14" t="s">
        <v>60</v>
      </c>
      <c r="K568" s="14" t="s">
        <v>60</v>
      </c>
      <c r="L568" s="14" t="s">
        <v>60</v>
      </c>
      <c r="M568" s="14" t="s">
        <v>6346</v>
      </c>
      <c r="N568" s="14" t="s">
        <v>60</v>
      </c>
      <c r="O568" s="14" t="s">
        <v>193</v>
      </c>
      <c r="P568" s="14" t="s">
        <v>6347</v>
      </c>
      <c r="Q568" s="14" t="s">
        <v>11</v>
      </c>
      <c r="R568" s="3" t="s">
        <v>4170</v>
      </c>
      <c r="S568" s="3">
        <f t="shared" si="28"/>
        <v>550</v>
      </c>
      <c r="T568" s="3">
        <f t="shared" si="29"/>
        <v>17050</v>
      </c>
      <c r="U568" s="3" t="s">
        <v>6348</v>
      </c>
      <c r="V568" s="14" t="s">
        <v>6</v>
      </c>
      <c r="W568" s="14" t="s">
        <v>6349</v>
      </c>
      <c r="X568" s="14" t="s">
        <v>60</v>
      </c>
    </row>
    <row r="569" spans="1:24" ht="15" x14ac:dyDescent="0.3">
      <c r="A569" s="3">
        <v>41</v>
      </c>
      <c r="B569" s="3" t="s">
        <v>6350</v>
      </c>
      <c r="C569" s="14" t="s">
        <v>0</v>
      </c>
      <c r="D569" s="14" t="s">
        <v>1342</v>
      </c>
      <c r="E569" s="14" t="s">
        <v>6351</v>
      </c>
      <c r="F569" s="14" t="s">
        <v>1343</v>
      </c>
      <c r="G569" s="14" t="s">
        <v>3</v>
      </c>
      <c r="H569" s="14" t="s">
        <v>6352</v>
      </c>
      <c r="I569" s="14" t="s">
        <v>1344</v>
      </c>
      <c r="J569" s="14" t="s">
        <v>60</v>
      </c>
      <c r="K569" s="14" t="s">
        <v>1152</v>
      </c>
      <c r="L569" s="14" t="s">
        <v>60</v>
      </c>
      <c r="M569" s="14" t="s">
        <v>6353</v>
      </c>
      <c r="N569" s="14" t="s">
        <v>60</v>
      </c>
      <c r="O569" s="14" t="s">
        <v>193</v>
      </c>
      <c r="P569" s="14" t="s">
        <v>6354</v>
      </c>
      <c r="Q569" s="14" t="s">
        <v>11</v>
      </c>
      <c r="R569" s="3" t="s">
        <v>6355</v>
      </c>
      <c r="S569" s="3">
        <f t="shared" si="28"/>
        <v>550</v>
      </c>
      <c r="T569" s="3">
        <f t="shared" si="29"/>
        <v>12100</v>
      </c>
      <c r="U569" s="3" t="s">
        <v>60</v>
      </c>
      <c r="V569" s="14" t="s">
        <v>6</v>
      </c>
      <c r="W569" s="14" t="s">
        <v>6349</v>
      </c>
      <c r="X569" s="14" t="s">
        <v>60</v>
      </c>
    </row>
    <row r="570" spans="1:24" ht="15" x14ac:dyDescent="0.3">
      <c r="A570" s="3">
        <v>42</v>
      </c>
      <c r="B570" s="3" t="s">
        <v>6356</v>
      </c>
      <c r="C570" s="14" t="s">
        <v>0</v>
      </c>
      <c r="D570" s="14" t="s">
        <v>1345</v>
      </c>
      <c r="E570" s="14" t="s">
        <v>6357</v>
      </c>
      <c r="F570" s="14" t="s">
        <v>1346</v>
      </c>
      <c r="G570" s="14" t="s">
        <v>121</v>
      </c>
      <c r="H570" s="14" t="s">
        <v>6358</v>
      </c>
      <c r="I570" s="14" t="s">
        <v>1347</v>
      </c>
      <c r="J570" s="14" t="s">
        <v>60</v>
      </c>
      <c r="K570" s="14" t="s">
        <v>60</v>
      </c>
      <c r="L570" s="14" t="s">
        <v>60</v>
      </c>
      <c r="M570" s="14" t="s">
        <v>1348</v>
      </c>
      <c r="N570" s="14" t="s">
        <v>60</v>
      </c>
      <c r="O570" s="14" t="s">
        <v>193</v>
      </c>
      <c r="P570" s="14" t="s">
        <v>6359</v>
      </c>
      <c r="Q570" s="14" t="s">
        <v>1153</v>
      </c>
      <c r="R570" s="3" t="s">
        <v>4316</v>
      </c>
      <c r="S570" s="3">
        <f t="shared" si="28"/>
        <v>550</v>
      </c>
      <c r="T570" s="3">
        <f t="shared" si="29"/>
        <v>13750</v>
      </c>
      <c r="U570" s="3" t="s">
        <v>60</v>
      </c>
      <c r="V570" s="14" t="s">
        <v>6</v>
      </c>
      <c r="W570" s="14" t="s">
        <v>6349</v>
      </c>
      <c r="X570" s="14" t="s">
        <v>60</v>
      </c>
    </row>
    <row r="571" spans="1:24" ht="15" x14ac:dyDescent="0.3">
      <c r="A571" s="3">
        <v>43</v>
      </c>
      <c r="B571" s="3" t="s">
        <v>6360</v>
      </c>
      <c r="C571" s="14" t="s">
        <v>0</v>
      </c>
      <c r="D571" s="14" t="s">
        <v>1349</v>
      </c>
      <c r="E571" s="14" t="s">
        <v>6361</v>
      </c>
      <c r="F571" s="14" t="s">
        <v>1346</v>
      </c>
      <c r="G571" s="14" t="s">
        <v>3</v>
      </c>
      <c r="H571" s="14" t="s">
        <v>6362</v>
      </c>
      <c r="I571" s="14" t="s">
        <v>1350</v>
      </c>
      <c r="J571" s="14" t="s">
        <v>60</v>
      </c>
      <c r="K571" s="14" t="s">
        <v>60</v>
      </c>
      <c r="L571" s="14" t="s">
        <v>60</v>
      </c>
      <c r="M571" s="14" t="s">
        <v>60</v>
      </c>
      <c r="N571" s="14" t="s">
        <v>60</v>
      </c>
      <c r="O571" s="14" t="s">
        <v>193</v>
      </c>
      <c r="P571" s="14" t="s">
        <v>6363</v>
      </c>
      <c r="Q571" s="14" t="s">
        <v>1153</v>
      </c>
      <c r="R571" s="3" t="s">
        <v>4316</v>
      </c>
      <c r="S571" s="3">
        <f t="shared" si="28"/>
        <v>550</v>
      </c>
      <c r="T571" s="3">
        <f t="shared" si="29"/>
        <v>13750</v>
      </c>
      <c r="U571" s="3" t="s">
        <v>60</v>
      </c>
      <c r="V571" s="14" t="s">
        <v>6</v>
      </c>
      <c r="W571" s="14" t="s">
        <v>6349</v>
      </c>
      <c r="X571" s="14" t="s">
        <v>60</v>
      </c>
    </row>
    <row r="572" spans="1:24" ht="15" x14ac:dyDescent="0.3">
      <c r="A572" s="3">
        <v>44</v>
      </c>
      <c r="B572" s="3" t="s">
        <v>1351</v>
      </c>
      <c r="C572" s="14" t="s">
        <v>0</v>
      </c>
      <c r="D572" s="14" t="s">
        <v>1352</v>
      </c>
      <c r="E572" s="14" t="s">
        <v>6364</v>
      </c>
      <c r="F572" s="14" t="s">
        <v>1346</v>
      </c>
      <c r="G572" s="14" t="s">
        <v>3</v>
      </c>
      <c r="H572" s="14" t="s">
        <v>6365</v>
      </c>
      <c r="I572" s="14" t="s">
        <v>1353</v>
      </c>
      <c r="J572" s="14" t="s">
        <v>60</v>
      </c>
      <c r="K572" s="14" t="s">
        <v>60</v>
      </c>
      <c r="L572" s="14" t="s">
        <v>60</v>
      </c>
      <c r="M572" s="14" t="s">
        <v>60</v>
      </c>
      <c r="N572" s="14" t="s">
        <v>60</v>
      </c>
      <c r="O572" s="14" t="s">
        <v>193</v>
      </c>
      <c r="P572" s="14" t="s">
        <v>6366</v>
      </c>
      <c r="Q572" s="14" t="s">
        <v>11</v>
      </c>
      <c r="R572" s="3" t="s">
        <v>4316</v>
      </c>
      <c r="S572" s="3">
        <f t="shared" si="28"/>
        <v>550</v>
      </c>
      <c r="T572" s="3">
        <f t="shared" si="29"/>
        <v>13750</v>
      </c>
      <c r="U572" s="3" t="s">
        <v>60</v>
      </c>
      <c r="V572" s="14" t="s">
        <v>6</v>
      </c>
      <c r="W572" s="14" t="s">
        <v>6349</v>
      </c>
      <c r="X572" s="14" t="s">
        <v>60</v>
      </c>
    </row>
    <row r="573" spans="1:24" ht="15" x14ac:dyDescent="0.3">
      <c r="A573" s="3">
        <v>45</v>
      </c>
      <c r="B573" s="3" t="s">
        <v>6367</v>
      </c>
      <c r="C573" s="14" t="s">
        <v>0</v>
      </c>
      <c r="D573" s="14" t="s">
        <v>1354</v>
      </c>
      <c r="E573" s="14" t="s">
        <v>6368</v>
      </c>
      <c r="F573" s="14" t="s">
        <v>1355</v>
      </c>
      <c r="G573" s="14" t="s">
        <v>3</v>
      </c>
      <c r="H573" s="14" t="s">
        <v>6369</v>
      </c>
      <c r="I573" s="14" t="s">
        <v>1356</v>
      </c>
      <c r="J573" s="14" t="s">
        <v>60</v>
      </c>
      <c r="K573" s="14" t="s">
        <v>60</v>
      </c>
      <c r="L573" s="14" t="s">
        <v>60</v>
      </c>
      <c r="M573" s="14" t="s">
        <v>1357</v>
      </c>
      <c r="N573" s="14" t="s">
        <v>60</v>
      </c>
      <c r="O573" s="14" t="s">
        <v>193</v>
      </c>
      <c r="P573" s="14" t="s">
        <v>6370</v>
      </c>
      <c r="Q573" s="14" t="s">
        <v>11</v>
      </c>
      <c r="R573" s="3" t="s">
        <v>4316</v>
      </c>
      <c r="S573" s="3">
        <f t="shared" si="28"/>
        <v>550</v>
      </c>
      <c r="T573" s="3">
        <f t="shared" si="29"/>
        <v>13750</v>
      </c>
      <c r="U573" s="3" t="s">
        <v>60</v>
      </c>
      <c r="V573" s="14" t="s">
        <v>6</v>
      </c>
      <c r="W573" s="14" t="s">
        <v>6349</v>
      </c>
      <c r="X573" s="14" t="s">
        <v>60</v>
      </c>
    </row>
    <row r="574" spans="1:24" ht="15" x14ac:dyDescent="0.3">
      <c r="A574" s="3">
        <v>46</v>
      </c>
      <c r="B574" s="3" t="s">
        <v>6371</v>
      </c>
      <c r="C574" s="14" t="s">
        <v>0</v>
      </c>
      <c r="D574" s="14" t="s">
        <v>1371</v>
      </c>
      <c r="E574" s="14" t="s">
        <v>6372</v>
      </c>
      <c r="F574" s="14" t="s">
        <v>1395</v>
      </c>
      <c r="G574" s="14" t="s">
        <v>3</v>
      </c>
      <c r="H574" s="14" t="s">
        <v>6373</v>
      </c>
      <c r="I574" s="14" t="s">
        <v>1396</v>
      </c>
      <c r="J574" s="14" t="s">
        <v>60</v>
      </c>
      <c r="K574" s="14" t="s">
        <v>60</v>
      </c>
      <c r="L574" s="14" t="s">
        <v>60</v>
      </c>
      <c r="M574" s="14" t="s">
        <v>1397</v>
      </c>
      <c r="N574" s="14" t="s">
        <v>60</v>
      </c>
      <c r="O574" s="14" t="s">
        <v>193</v>
      </c>
      <c r="P574" s="14" t="s">
        <v>6374</v>
      </c>
      <c r="Q574" s="14" t="s">
        <v>11</v>
      </c>
      <c r="R574" s="3" t="s">
        <v>4170</v>
      </c>
      <c r="S574" s="3">
        <f t="shared" si="28"/>
        <v>550</v>
      </c>
      <c r="T574" s="3">
        <f t="shared" si="29"/>
        <v>17050</v>
      </c>
      <c r="U574" s="3" t="s">
        <v>60</v>
      </c>
      <c r="V574" s="14" t="s">
        <v>6</v>
      </c>
      <c r="W574" s="14" t="s">
        <v>6349</v>
      </c>
      <c r="X574" s="14" t="s">
        <v>60</v>
      </c>
    </row>
    <row r="575" spans="1:24" ht="15" x14ac:dyDescent="0.3">
      <c r="A575" s="3">
        <v>47</v>
      </c>
      <c r="B575" s="3" t="s">
        <v>6375</v>
      </c>
      <c r="C575" s="14" t="s">
        <v>0</v>
      </c>
      <c r="D575" s="14" t="s">
        <v>1422</v>
      </c>
      <c r="E575" s="14" t="s">
        <v>6376</v>
      </c>
      <c r="F575" s="14" t="s">
        <v>1423</v>
      </c>
      <c r="G575" s="14" t="s">
        <v>3</v>
      </c>
      <c r="H575" s="14" t="s">
        <v>6377</v>
      </c>
      <c r="I575" s="14" t="s">
        <v>1424</v>
      </c>
      <c r="J575" s="14" t="s">
        <v>60</v>
      </c>
      <c r="K575" s="14" t="s">
        <v>60</v>
      </c>
      <c r="L575" s="14" t="s">
        <v>60</v>
      </c>
      <c r="M575" s="14" t="s">
        <v>1425</v>
      </c>
      <c r="N575" s="14" t="s">
        <v>60</v>
      </c>
      <c r="O575" s="14" t="s">
        <v>3629</v>
      </c>
      <c r="P575" s="14" t="s">
        <v>6378</v>
      </c>
      <c r="Q575" s="14" t="s">
        <v>1153</v>
      </c>
      <c r="R575" s="3" t="s">
        <v>4170</v>
      </c>
      <c r="S575" s="3">
        <f t="shared" si="28"/>
        <v>550</v>
      </c>
      <c r="T575" s="3">
        <f t="shared" si="29"/>
        <v>17050</v>
      </c>
      <c r="U575" s="3" t="s">
        <v>60</v>
      </c>
      <c r="V575" s="14" t="s">
        <v>6</v>
      </c>
      <c r="W575" s="14" t="s">
        <v>6379</v>
      </c>
      <c r="X575" s="14" t="s">
        <v>60</v>
      </c>
    </row>
    <row r="576" spans="1:24" ht="15" x14ac:dyDescent="0.3">
      <c r="A576" s="3">
        <v>48</v>
      </c>
      <c r="B576" s="3" t="s">
        <v>6380</v>
      </c>
      <c r="C576" s="14" t="s">
        <v>0</v>
      </c>
      <c r="D576" s="14" t="s">
        <v>1433</v>
      </c>
      <c r="E576" s="14" t="s">
        <v>6381</v>
      </c>
      <c r="F576" s="14" t="s">
        <v>1434</v>
      </c>
      <c r="G576" s="14" t="s">
        <v>3</v>
      </c>
      <c r="H576" s="14" t="s">
        <v>6382</v>
      </c>
      <c r="I576" s="14" t="s">
        <v>1435</v>
      </c>
      <c r="J576" s="14" t="s">
        <v>60</v>
      </c>
      <c r="K576" s="14" t="s">
        <v>60</v>
      </c>
      <c r="L576" s="14" t="s">
        <v>60</v>
      </c>
      <c r="M576" s="14" t="s">
        <v>1436</v>
      </c>
      <c r="N576" s="14" t="s">
        <v>60</v>
      </c>
      <c r="O576" s="14" t="s">
        <v>454</v>
      </c>
      <c r="P576" s="14" t="s">
        <v>6383</v>
      </c>
      <c r="Q576" s="14" t="s">
        <v>1153</v>
      </c>
      <c r="R576" s="3" t="s">
        <v>4170</v>
      </c>
      <c r="S576" s="3">
        <f t="shared" si="28"/>
        <v>550</v>
      </c>
      <c r="T576" s="3">
        <f t="shared" si="29"/>
        <v>17050</v>
      </c>
      <c r="U576" s="3" t="s">
        <v>60</v>
      </c>
      <c r="V576" s="14" t="s">
        <v>6</v>
      </c>
      <c r="W576" s="14" t="s">
        <v>6379</v>
      </c>
      <c r="X576" s="14" t="s">
        <v>60</v>
      </c>
    </row>
    <row r="577" spans="1:24" ht="15" x14ac:dyDescent="0.3">
      <c r="A577" s="3">
        <v>49</v>
      </c>
      <c r="B577" s="3" t="s">
        <v>6384</v>
      </c>
      <c r="C577" s="14" t="s">
        <v>0</v>
      </c>
      <c r="D577" s="14" t="s">
        <v>1629</v>
      </c>
      <c r="E577" s="14" t="s">
        <v>6385</v>
      </c>
      <c r="F577" s="14" t="s">
        <v>101</v>
      </c>
      <c r="G577" s="14" t="s">
        <v>121</v>
      </c>
      <c r="H577" s="14" t="s">
        <v>6386</v>
      </c>
      <c r="I577" s="14" t="s">
        <v>1630</v>
      </c>
      <c r="J577" s="14" t="s">
        <v>60</v>
      </c>
      <c r="K577" s="14" t="s">
        <v>60</v>
      </c>
      <c r="L577" s="14" t="s">
        <v>60</v>
      </c>
      <c r="M577" s="14" t="s">
        <v>60</v>
      </c>
      <c r="N577" s="14" t="s">
        <v>60</v>
      </c>
      <c r="O577" s="14" t="s">
        <v>261</v>
      </c>
      <c r="P577" s="14" t="s">
        <v>6387</v>
      </c>
      <c r="Q577" s="14" t="s">
        <v>588</v>
      </c>
      <c r="R577" s="3" t="s">
        <v>4170</v>
      </c>
      <c r="S577" s="3">
        <f t="shared" si="28"/>
        <v>550</v>
      </c>
      <c r="T577" s="3">
        <f t="shared" si="29"/>
        <v>17050</v>
      </c>
      <c r="U577" s="3" t="s">
        <v>60</v>
      </c>
      <c r="V577" s="14" t="s">
        <v>4301</v>
      </c>
      <c r="W577" s="14" t="s">
        <v>4202</v>
      </c>
      <c r="X577" s="14" t="s">
        <v>60</v>
      </c>
    </row>
    <row r="578" spans="1:24" ht="15" x14ac:dyDescent="0.3">
      <c r="A578" s="3">
        <v>50</v>
      </c>
      <c r="B578" s="3">
        <v>8255</v>
      </c>
      <c r="C578" s="14" t="s">
        <v>0</v>
      </c>
      <c r="D578" s="14" t="s">
        <v>1642</v>
      </c>
      <c r="E578" s="14" t="s">
        <v>4293</v>
      </c>
      <c r="F578" s="14" t="s">
        <v>1643</v>
      </c>
      <c r="G578" s="14" t="s">
        <v>3</v>
      </c>
      <c r="H578" s="14" t="s">
        <v>6388</v>
      </c>
      <c r="I578" s="14" t="s">
        <v>1644</v>
      </c>
      <c r="J578" s="14" t="s">
        <v>60</v>
      </c>
      <c r="K578" s="14" t="s">
        <v>60</v>
      </c>
      <c r="L578" s="14" t="s">
        <v>60</v>
      </c>
      <c r="M578" s="14" t="s">
        <v>1645</v>
      </c>
      <c r="N578" s="14" t="s">
        <v>60</v>
      </c>
      <c r="O578" s="14" t="s">
        <v>60</v>
      </c>
      <c r="P578" s="14" t="s">
        <v>6389</v>
      </c>
      <c r="Q578" s="14" t="s">
        <v>185</v>
      </c>
      <c r="R578" s="3" t="s">
        <v>4300</v>
      </c>
      <c r="S578" s="3">
        <f t="shared" si="28"/>
        <v>550</v>
      </c>
      <c r="T578" s="3">
        <f t="shared" si="29"/>
        <v>15950</v>
      </c>
      <c r="U578" s="3" t="s">
        <v>60</v>
      </c>
      <c r="V578" s="14" t="s">
        <v>6</v>
      </c>
      <c r="W578" s="14" t="s">
        <v>4634</v>
      </c>
      <c r="X578" s="14" t="s">
        <v>60</v>
      </c>
    </row>
    <row r="579" spans="1:24" ht="15" x14ac:dyDescent="0.3">
      <c r="A579" s="3">
        <v>51</v>
      </c>
      <c r="B579" s="3" t="s">
        <v>6390</v>
      </c>
      <c r="C579" s="14" t="s">
        <v>0</v>
      </c>
      <c r="D579" s="14" t="s">
        <v>1066</v>
      </c>
      <c r="E579" s="14" t="s">
        <v>4195</v>
      </c>
      <c r="F579" s="14" t="s">
        <v>1067</v>
      </c>
      <c r="G579" s="14" t="s">
        <v>3</v>
      </c>
      <c r="H579" s="14" t="s">
        <v>6391</v>
      </c>
      <c r="I579" s="14" t="s">
        <v>3782</v>
      </c>
      <c r="J579" s="14" t="s">
        <v>60</v>
      </c>
      <c r="K579" s="14" t="s">
        <v>60</v>
      </c>
      <c r="L579" s="14" t="s">
        <v>60</v>
      </c>
      <c r="M579" s="14" t="s">
        <v>1068</v>
      </c>
      <c r="N579" s="14" t="s">
        <v>60</v>
      </c>
      <c r="O579" s="14" t="s">
        <v>60</v>
      </c>
      <c r="P579" s="14" t="s">
        <v>6392</v>
      </c>
      <c r="Q579" s="14" t="s">
        <v>175</v>
      </c>
      <c r="R579" s="3" t="s">
        <v>4170</v>
      </c>
      <c r="S579" s="3">
        <f t="shared" si="28"/>
        <v>550</v>
      </c>
      <c r="T579" s="3">
        <f t="shared" si="29"/>
        <v>17050</v>
      </c>
      <c r="U579" s="3" t="s">
        <v>60</v>
      </c>
      <c r="V579" s="14" t="s">
        <v>6</v>
      </c>
      <c r="W579" s="14" t="s">
        <v>4444</v>
      </c>
      <c r="X579" s="14" t="s">
        <v>60</v>
      </c>
    </row>
    <row r="580" spans="1:24" ht="15" x14ac:dyDescent="0.3">
      <c r="A580" s="3">
        <v>52</v>
      </c>
      <c r="B580" s="3" t="s">
        <v>6393</v>
      </c>
      <c r="C580" s="14" t="s">
        <v>0</v>
      </c>
      <c r="D580" s="14" t="s">
        <v>3574</v>
      </c>
      <c r="E580" s="14" t="s">
        <v>4644</v>
      </c>
      <c r="F580" s="14" t="s">
        <v>3576</v>
      </c>
      <c r="G580" s="14" t="s">
        <v>3</v>
      </c>
      <c r="H580" s="14" t="s">
        <v>6394</v>
      </c>
      <c r="I580" s="14" t="s">
        <v>3783</v>
      </c>
      <c r="J580" s="14" t="s">
        <v>60</v>
      </c>
      <c r="K580" s="14" t="s">
        <v>60</v>
      </c>
      <c r="L580" s="14" t="s">
        <v>60</v>
      </c>
      <c r="M580" s="14" t="s">
        <v>3784</v>
      </c>
      <c r="N580" s="14" t="s">
        <v>60</v>
      </c>
      <c r="O580" s="14" t="s">
        <v>60</v>
      </c>
      <c r="P580" s="14" t="s">
        <v>6395</v>
      </c>
      <c r="Q580" s="14" t="s">
        <v>1637</v>
      </c>
      <c r="R580" s="3" t="s">
        <v>4170</v>
      </c>
      <c r="S580" s="3">
        <f t="shared" si="28"/>
        <v>550</v>
      </c>
      <c r="T580" s="3">
        <f t="shared" si="29"/>
        <v>17050</v>
      </c>
      <c r="U580" s="3" t="s">
        <v>60</v>
      </c>
      <c r="V580" s="14" t="s">
        <v>6</v>
      </c>
      <c r="W580" s="14" t="s">
        <v>4444</v>
      </c>
      <c r="X580" s="14" t="s">
        <v>60</v>
      </c>
    </row>
    <row r="581" spans="1:24" ht="15" x14ac:dyDescent="0.3">
      <c r="A581" s="3">
        <v>53</v>
      </c>
      <c r="B581" s="3" t="s">
        <v>6396</v>
      </c>
      <c r="C581" s="14" t="s">
        <v>0</v>
      </c>
      <c r="D581" s="14" t="s">
        <v>3575</v>
      </c>
      <c r="E581" s="14" t="s">
        <v>5435</v>
      </c>
      <c r="F581" s="14" t="s">
        <v>1584</v>
      </c>
      <c r="G581" s="14" t="s">
        <v>3</v>
      </c>
      <c r="H581" s="14" t="s">
        <v>6397</v>
      </c>
      <c r="I581" s="14" t="s">
        <v>3785</v>
      </c>
      <c r="J581" s="14" t="s">
        <v>60</v>
      </c>
      <c r="K581" s="14" t="s">
        <v>60</v>
      </c>
      <c r="L581" s="14" t="s">
        <v>60</v>
      </c>
      <c r="M581" s="14" t="s">
        <v>3786</v>
      </c>
      <c r="N581" s="14" t="s">
        <v>60</v>
      </c>
      <c r="O581" s="14" t="s">
        <v>60</v>
      </c>
      <c r="P581" s="14" t="s">
        <v>6398</v>
      </c>
      <c r="Q581" s="14" t="s">
        <v>175</v>
      </c>
      <c r="R581" s="3" t="s">
        <v>4170</v>
      </c>
      <c r="S581" s="3">
        <f t="shared" si="28"/>
        <v>550</v>
      </c>
      <c r="T581" s="3">
        <f t="shared" si="29"/>
        <v>17050</v>
      </c>
      <c r="U581" s="3" t="s">
        <v>60</v>
      </c>
      <c r="V581" s="14" t="s">
        <v>6</v>
      </c>
      <c r="W581" s="14" t="s">
        <v>4444</v>
      </c>
      <c r="X581" s="14" t="s">
        <v>60</v>
      </c>
    </row>
    <row r="582" spans="1:24" ht="15" x14ac:dyDescent="0.3">
      <c r="A582" s="3">
        <v>54</v>
      </c>
      <c r="B582" s="3" t="s">
        <v>6399</v>
      </c>
      <c r="C582" s="14" t="s">
        <v>0</v>
      </c>
      <c r="D582" s="14" t="s">
        <v>3992</v>
      </c>
      <c r="E582" s="14" t="s">
        <v>6400</v>
      </c>
      <c r="F582" s="14" t="s">
        <v>1632</v>
      </c>
      <c r="G582" s="14" t="s">
        <v>121</v>
      </c>
      <c r="H582" s="14" t="s">
        <v>6401</v>
      </c>
      <c r="I582" s="14" t="s">
        <v>4003</v>
      </c>
      <c r="J582" s="14" t="s">
        <v>60</v>
      </c>
      <c r="K582" s="14" t="s">
        <v>60</v>
      </c>
      <c r="L582" s="14" t="s">
        <v>60</v>
      </c>
      <c r="M582" s="14" t="s">
        <v>60</v>
      </c>
      <c r="N582" s="14" t="s">
        <v>60</v>
      </c>
      <c r="O582" s="14" t="s">
        <v>3910</v>
      </c>
      <c r="P582" s="14" t="s">
        <v>6402</v>
      </c>
      <c r="Q582" s="14" t="s">
        <v>11</v>
      </c>
      <c r="R582" s="3" t="s">
        <v>4170</v>
      </c>
      <c r="S582" s="3">
        <f t="shared" si="28"/>
        <v>550</v>
      </c>
      <c r="T582" s="3">
        <f t="shared" si="29"/>
        <v>17050</v>
      </c>
      <c r="U582" s="3" t="s">
        <v>60</v>
      </c>
      <c r="V582" s="14" t="s">
        <v>6</v>
      </c>
      <c r="W582" s="14" t="s">
        <v>5755</v>
      </c>
      <c r="X582" s="14" t="s">
        <v>60</v>
      </c>
    </row>
    <row r="583" spans="1:24" ht="15" x14ac:dyDescent="0.3">
      <c r="A583" s="3">
        <v>55</v>
      </c>
      <c r="B583" s="3" t="s">
        <v>6403</v>
      </c>
      <c r="C583" s="14" t="s">
        <v>0</v>
      </c>
      <c r="D583" s="14" t="s">
        <v>3993</v>
      </c>
      <c r="E583" s="14" t="s">
        <v>6404</v>
      </c>
      <c r="F583" s="14" t="s">
        <v>3994</v>
      </c>
      <c r="G583" s="14" t="s">
        <v>3</v>
      </c>
      <c r="H583" s="14" t="s">
        <v>6405</v>
      </c>
      <c r="I583" s="14" t="s">
        <v>4004</v>
      </c>
      <c r="J583" s="14" t="s">
        <v>60</v>
      </c>
      <c r="K583" s="14" t="s">
        <v>60</v>
      </c>
      <c r="L583" s="14" t="s">
        <v>60</v>
      </c>
      <c r="M583" s="14" t="s">
        <v>60</v>
      </c>
      <c r="N583" s="14" t="s">
        <v>60</v>
      </c>
      <c r="O583" s="14" t="s">
        <v>3910</v>
      </c>
      <c r="P583" s="14" t="s">
        <v>6406</v>
      </c>
      <c r="Q583" s="14" t="s">
        <v>11</v>
      </c>
      <c r="R583" s="3" t="s">
        <v>4170</v>
      </c>
      <c r="S583" s="3">
        <f t="shared" si="28"/>
        <v>550</v>
      </c>
      <c r="T583" s="3">
        <f t="shared" si="29"/>
        <v>17050</v>
      </c>
      <c r="U583" s="3" t="s">
        <v>60</v>
      </c>
      <c r="V583" s="14" t="s">
        <v>6</v>
      </c>
      <c r="W583" s="14" t="s">
        <v>5755</v>
      </c>
      <c r="X583" s="14" t="s">
        <v>60</v>
      </c>
    </row>
    <row r="584" spans="1:24" ht="15" x14ac:dyDescent="0.3">
      <c r="A584" s="3">
        <v>56</v>
      </c>
      <c r="B584" s="3" t="s">
        <v>6407</v>
      </c>
      <c r="C584" s="14" t="s">
        <v>0</v>
      </c>
      <c r="D584" s="14" t="s">
        <v>3995</v>
      </c>
      <c r="E584" s="14" t="s">
        <v>6408</v>
      </c>
      <c r="F584" s="14" t="s">
        <v>3996</v>
      </c>
      <c r="G584" s="14" t="s">
        <v>3</v>
      </c>
      <c r="H584" s="14" t="s">
        <v>6409</v>
      </c>
      <c r="I584" s="14" t="s">
        <v>4005</v>
      </c>
      <c r="J584" s="14" t="s">
        <v>60</v>
      </c>
      <c r="K584" s="14" t="s">
        <v>60</v>
      </c>
      <c r="L584" s="14" t="s">
        <v>60</v>
      </c>
      <c r="M584" s="14" t="s">
        <v>4006</v>
      </c>
      <c r="N584" s="14" t="s">
        <v>60</v>
      </c>
      <c r="O584" s="14" t="s">
        <v>3910</v>
      </c>
      <c r="P584" s="14" t="s">
        <v>6410</v>
      </c>
      <c r="Q584" s="14" t="s">
        <v>11</v>
      </c>
      <c r="R584" s="3" t="s">
        <v>4170</v>
      </c>
      <c r="S584" s="3">
        <f t="shared" si="28"/>
        <v>550</v>
      </c>
      <c r="T584" s="3">
        <f t="shared" si="29"/>
        <v>17050</v>
      </c>
      <c r="U584" s="3" t="s">
        <v>60</v>
      </c>
      <c r="V584" s="14" t="s">
        <v>6</v>
      </c>
      <c r="W584" s="14" t="s">
        <v>5755</v>
      </c>
      <c r="X584" s="14" t="s">
        <v>60</v>
      </c>
    </row>
    <row r="585" spans="1:24" ht="15" x14ac:dyDescent="0.3">
      <c r="A585" s="3">
        <v>57</v>
      </c>
      <c r="B585" s="3" t="s">
        <v>6411</v>
      </c>
      <c r="C585" s="14" t="s">
        <v>0</v>
      </c>
      <c r="D585" s="14" t="s">
        <v>3997</v>
      </c>
      <c r="E585" s="14" t="s">
        <v>6412</v>
      </c>
      <c r="F585" s="14" t="s">
        <v>3998</v>
      </c>
      <c r="G585" s="14" t="s">
        <v>3</v>
      </c>
      <c r="H585" s="14" t="s">
        <v>6413</v>
      </c>
      <c r="I585" s="14" t="s">
        <v>4007</v>
      </c>
      <c r="J585" s="14" t="s">
        <v>60</v>
      </c>
      <c r="K585" s="14" t="s">
        <v>60</v>
      </c>
      <c r="L585" s="14" t="s">
        <v>60</v>
      </c>
      <c r="M585" s="14" t="s">
        <v>4008</v>
      </c>
      <c r="N585" s="14" t="s">
        <v>60</v>
      </c>
      <c r="O585" s="14" t="s">
        <v>3910</v>
      </c>
      <c r="P585" s="14" t="s">
        <v>6414</v>
      </c>
      <c r="Q585" s="14" t="s">
        <v>11</v>
      </c>
      <c r="R585" s="3" t="s">
        <v>4170</v>
      </c>
      <c r="S585" s="3">
        <f t="shared" si="28"/>
        <v>550</v>
      </c>
      <c r="T585" s="3">
        <f t="shared" si="29"/>
        <v>17050</v>
      </c>
      <c r="U585" s="3" t="s">
        <v>60</v>
      </c>
      <c r="V585" s="14" t="s">
        <v>6</v>
      </c>
      <c r="W585" s="14" t="s">
        <v>5755</v>
      </c>
      <c r="X585" s="14" t="s">
        <v>60</v>
      </c>
    </row>
    <row r="586" spans="1:24" ht="15" x14ac:dyDescent="0.3">
      <c r="A586" s="3">
        <v>58</v>
      </c>
      <c r="B586" s="3" t="s">
        <v>6415</v>
      </c>
      <c r="C586" s="14" t="s">
        <v>0</v>
      </c>
      <c r="D586" s="14" t="s">
        <v>3999</v>
      </c>
      <c r="E586" s="14" t="s">
        <v>6416</v>
      </c>
      <c r="F586" s="14" t="s">
        <v>4000</v>
      </c>
      <c r="G586" s="14" t="s">
        <v>3</v>
      </c>
      <c r="H586" s="14" t="s">
        <v>6417</v>
      </c>
      <c r="I586" s="14" t="s">
        <v>4009</v>
      </c>
      <c r="J586" s="14" t="s">
        <v>60</v>
      </c>
      <c r="K586" s="14" t="s">
        <v>60</v>
      </c>
      <c r="L586" s="14" t="s">
        <v>60</v>
      </c>
      <c r="M586" s="14" t="s">
        <v>4010</v>
      </c>
      <c r="N586" s="14" t="s">
        <v>60</v>
      </c>
      <c r="O586" s="14" t="s">
        <v>3910</v>
      </c>
      <c r="P586" s="14" t="s">
        <v>6418</v>
      </c>
      <c r="Q586" s="14" t="s">
        <v>11</v>
      </c>
      <c r="R586" s="3" t="s">
        <v>4170</v>
      </c>
      <c r="S586" s="3">
        <f t="shared" si="28"/>
        <v>550</v>
      </c>
      <c r="T586" s="3">
        <f t="shared" si="29"/>
        <v>17050</v>
      </c>
      <c r="U586" s="3" t="s">
        <v>60</v>
      </c>
      <c r="V586" s="14" t="s">
        <v>6</v>
      </c>
      <c r="W586" s="14" t="s">
        <v>5755</v>
      </c>
      <c r="X586" s="14" t="s">
        <v>60</v>
      </c>
    </row>
    <row r="587" spans="1:24" ht="15" x14ac:dyDescent="0.3">
      <c r="A587" s="3">
        <v>59</v>
      </c>
      <c r="B587" s="3" t="s">
        <v>6419</v>
      </c>
      <c r="C587" s="14" t="s">
        <v>0</v>
      </c>
      <c r="D587" s="14" t="s">
        <v>4001</v>
      </c>
      <c r="E587" s="14" t="s">
        <v>6420</v>
      </c>
      <c r="F587" s="14" t="s">
        <v>4002</v>
      </c>
      <c r="G587" s="14" t="s">
        <v>3</v>
      </c>
      <c r="H587" s="14" t="s">
        <v>6421</v>
      </c>
      <c r="I587" s="14" t="s">
        <v>4011</v>
      </c>
      <c r="J587" s="14" t="s">
        <v>60</v>
      </c>
      <c r="K587" s="14" t="s">
        <v>60</v>
      </c>
      <c r="L587" s="14" t="s">
        <v>60</v>
      </c>
      <c r="M587" s="14" t="s">
        <v>4012</v>
      </c>
      <c r="N587" s="14" t="s">
        <v>60</v>
      </c>
      <c r="O587" s="14" t="s">
        <v>3910</v>
      </c>
      <c r="P587" s="14" t="s">
        <v>6422</v>
      </c>
      <c r="Q587" s="14" t="s">
        <v>11</v>
      </c>
      <c r="R587" s="3" t="s">
        <v>4170</v>
      </c>
      <c r="S587" s="3">
        <f t="shared" si="28"/>
        <v>550</v>
      </c>
      <c r="T587" s="3">
        <f t="shared" si="29"/>
        <v>17050</v>
      </c>
      <c r="U587" s="3" t="s">
        <v>60</v>
      </c>
      <c r="V587" s="14" t="s">
        <v>6</v>
      </c>
      <c r="W587" s="14" t="s">
        <v>5755</v>
      </c>
      <c r="X587" s="14" t="s">
        <v>60</v>
      </c>
    </row>
    <row r="588" spans="1:24" ht="15.6" x14ac:dyDescent="0.3">
      <c r="A588" s="3">
        <v>60</v>
      </c>
      <c r="B588" s="25" t="s">
        <v>6423</v>
      </c>
      <c r="C588" s="14" t="s">
        <v>0</v>
      </c>
      <c r="D588" s="14" t="s">
        <v>6424</v>
      </c>
      <c r="E588" s="31">
        <v>46168</v>
      </c>
      <c r="F588" s="14" t="s">
        <v>6425</v>
      </c>
      <c r="G588" s="14" t="s">
        <v>3</v>
      </c>
      <c r="H588" s="14" t="s">
        <v>6426</v>
      </c>
      <c r="I588" s="14" t="s">
        <v>6427</v>
      </c>
      <c r="J588" s="14" t="s">
        <v>60</v>
      </c>
      <c r="K588" s="14" t="s">
        <v>60</v>
      </c>
      <c r="L588" s="14" t="s">
        <v>60</v>
      </c>
      <c r="M588" s="14" t="s">
        <v>6428</v>
      </c>
      <c r="N588" s="14" t="s">
        <v>60</v>
      </c>
      <c r="O588" s="14" t="s">
        <v>60</v>
      </c>
      <c r="P588" s="14" t="s">
        <v>6429</v>
      </c>
      <c r="Q588" s="14" t="s">
        <v>11</v>
      </c>
      <c r="R588" s="3" t="s">
        <v>4311</v>
      </c>
      <c r="S588" s="3">
        <f t="shared" si="28"/>
        <v>550</v>
      </c>
      <c r="T588" s="3">
        <f t="shared" si="29"/>
        <v>16500</v>
      </c>
      <c r="U588" s="3" t="s">
        <v>60</v>
      </c>
      <c r="V588" s="14" t="s">
        <v>6</v>
      </c>
      <c r="W588" s="14" t="s">
        <v>4495</v>
      </c>
      <c r="X588" s="14" t="s">
        <v>60</v>
      </c>
    </row>
    <row r="589" spans="1:24" ht="15.6" x14ac:dyDescent="0.3">
      <c r="A589" s="3">
        <v>61</v>
      </c>
      <c r="B589" s="25" t="s">
        <v>6430</v>
      </c>
      <c r="C589" s="14" t="s">
        <v>0</v>
      </c>
      <c r="D589" s="14" t="s">
        <v>6431</v>
      </c>
      <c r="E589" s="31">
        <v>33079</v>
      </c>
      <c r="F589" s="14" t="s">
        <v>6432</v>
      </c>
      <c r="G589" s="14" t="s">
        <v>3</v>
      </c>
      <c r="H589" s="14" t="s">
        <v>6433</v>
      </c>
      <c r="I589" s="14" t="s">
        <v>6434</v>
      </c>
      <c r="J589" s="14" t="s">
        <v>60</v>
      </c>
      <c r="K589" s="14" t="s">
        <v>60</v>
      </c>
      <c r="L589" s="14" t="s">
        <v>60</v>
      </c>
      <c r="M589" s="14" t="s">
        <v>6435</v>
      </c>
      <c r="N589" s="14" t="s">
        <v>60</v>
      </c>
      <c r="O589" s="14" t="s">
        <v>60</v>
      </c>
      <c r="P589" s="14" t="s">
        <v>6436</v>
      </c>
      <c r="Q589" s="14" t="s">
        <v>11</v>
      </c>
      <c r="R589" s="3" t="s">
        <v>6437</v>
      </c>
      <c r="S589" s="3">
        <f t="shared" si="28"/>
        <v>550</v>
      </c>
      <c r="T589" s="3">
        <f t="shared" si="29"/>
        <v>7150</v>
      </c>
      <c r="U589" s="3" t="s">
        <v>6438</v>
      </c>
      <c r="V589" s="14" t="s">
        <v>6</v>
      </c>
      <c r="W589" s="14" t="s">
        <v>4870</v>
      </c>
      <c r="X589" s="14" t="s">
        <v>60</v>
      </c>
    </row>
    <row r="590" spans="1:24" ht="15.6" x14ac:dyDescent="0.3">
      <c r="A590" s="26" t="s">
        <v>60</v>
      </c>
      <c r="B590" s="26" t="s">
        <v>60</v>
      </c>
      <c r="C590" s="27" t="s">
        <v>60</v>
      </c>
      <c r="D590" s="27" t="s">
        <v>60</v>
      </c>
      <c r="E590" s="27" t="s">
        <v>60</v>
      </c>
      <c r="F590" s="27" t="s">
        <v>60</v>
      </c>
      <c r="G590" s="27" t="s">
        <v>60</v>
      </c>
      <c r="H590" s="27" t="s">
        <v>60</v>
      </c>
      <c r="I590" s="27" t="s">
        <v>60</v>
      </c>
      <c r="J590" s="27" t="s">
        <v>60</v>
      </c>
      <c r="K590" s="27" t="s">
        <v>60</v>
      </c>
      <c r="L590" s="27" t="s">
        <v>60</v>
      </c>
      <c r="M590" s="27" t="s">
        <v>60</v>
      </c>
      <c r="N590" s="27" t="s">
        <v>60</v>
      </c>
      <c r="O590" s="27" t="s">
        <v>60</v>
      </c>
      <c r="P590" s="27" t="s">
        <v>60</v>
      </c>
      <c r="Q590" s="27" t="s">
        <v>60</v>
      </c>
      <c r="R590" s="35" t="s">
        <v>2009</v>
      </c>
      <c r="S590" s="35" t="s">
        <v>60</v>
      </c>
      <c r="T590" s="26">
        <f>SUM(T528:T589)</f>
        <v>999380</v>
      </c>
      <c r="U590" s="26" t="s">
        <v>6439</v>
      </c>
      <c r="V590" s="27" t="s">
        <v>60</v>
      </c>
      <c r="W590" s="27" t="s">
        <v>60</v>
      </c>
      <c r="X590" s="27" t="s">
        <v>60</v>
      </c>
    </row>
    <row r="591" spans="1:24" ht="15.6" x14ac:dyDescent="0.3">
      <c r="A591" s="34" t="s">
        <v>6440</v>
      </c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 spans="1:24" ht="109.2" x14ac:dyDescent="0.3">
      <c r="A592" s="23" t="s">
        <v>42</v>
      </c>
      <c r="B592" s="23" t="s">
        <v>43</v>
      </c>
      <c r="C592" s="24" t="s">
        <v>44</v>
      </c>
      <c r="D592" s="24" t="s">
        <v>4154</v>
      </c>
      <c r="E592" s="24" t="s">
        <v>4155</v>
      </c>
      <c r="F592" s="24" t="s">
        <v>4156</v>
      </c>
      <c r="G592" s="24" t="s">
        <v>45</v>
      </c>
      <c r="H592" s="24" t="s">
        <v>4157</v>
      </c>
      <c r="I592" s="24" t="s">
        <v>46</v>
      </c>
      <c r="J592" s="24" t="s">
        <v>4158</v>
      </c>
      <c r="K592" s="24" t="s">
        <v>4159</v>
      </c>
      <c r="L592" s="24" t="s">
        <v>4160</v>
      </c>
      <c r="M592" s="24" t="s">
        <v>4161</v>
      </c>
      <c r="N592" s="24" t="s">
        <v>47</v>
      </c>
      <c r="O592" s="24" t="s">
        <v>48</v>
      </c>
      <c r="P592" s="24" t="s">
        <v>49</v>
      </c>
      <c r="Q592" s="24" t="s">
        <v>50</v>
      </c>
      <c r="R592" s="23" t="s">
        <v>4162</v>
      </c>
      <c r="S592" s="23" t="s">
        <v>4163</v>
      </c>
      <c r="T592" s="23" t="s">
        <v>4164</v>
      </c>
      <c r="U592" s="23" t="s">
        <v>4165</v>
      </c>
      <c r="V592" s="24" t="s">
        <v>51</v>
      </c>
      <c r="W592" s="24" t="s">
        <v>52</v>
      </c>
      <c r="X592" s="24" t="s">
        <v>53</v>
      </c>
    </row>
    <row r="593" spans="1:24" ht="15" x14ac:dyDescent="0.3">
      <c r="A593" s="3">
        <v>1</v>
      </c>
      <c r="B593" s="3" t="s">
        <v>6441</v>
      </c>
      <c r="C593" s="14" t="s">
        <v>0</v>
      </c>
      <c r="D593" s="14" t="s">
        <v>1610</v>
      </c>
      <c r="E593" s="14" t="s">
        <v>6442</v>
      </c>
      <c r="F593" s="14" t="s">
        <v>1611</v>
      </c>
      <c r="G593" s="14" t="s">
        <v>3</v>
      </c>
      <c r="H593" s="14" t="s">
        <v>6443</v>
      </c>
      <c r="I593" s="14" t="s">
        <v>1612</v>
      </c>
      <c r="J593" s="14" t="s">
        <v>60</v>
      </c>
      <c r="K593" s="14" t="s">
        <v>60</v>
      </c>
      <c r="L593" s="14" t="s">
        <v>60</v>
      </c>
      <c r="M593" s="14" t="s">
        <v>1613</v>
      </c>
      <c r="N593" s="14" t="s">
        <v>60</v>
      </c>
      <c r="O593" s="14" t="s">
        <v>60</v>
      </c>
      <c r="P593" s="14" t="s">
        <v>6444</v>
      </c>
      <c r="Q593" s="14" t="s">
        <v>11</v>
      </c>
      <c r="R593" s="3" t="s">
        <v>4170</v>
      </c>
      <c r="S593" s="3">
        <f t="shared" ref="S593:S632" si="30">IF(RIGHT(C593,3)="MAZ",550,IF(RIGHT(C593,4)="MATE",570,IF(RIGHT(C593,7)="SKD-III",640,IF(RIGHT(C593,6)="SKD-II",770,IF(RIGHT(C593,5)="SKD-I",900,IF(RIGHT(C593,5)="CPDVR",770,""))))))</f>
        <v>550</v>
      </c>
      <c r="T593" s="3">
        <f t="shared" ref="T593:T632" si="31">R593*S593</f>
        <v>17050</v>
      </c>
      <c r="U593" s="3" t="s">
        <v>60</v>
      </c>
      <c r="V593" s="14" t="s">
        <v>6</v>
      </c>
      <c r="W593" s="14" t="s">
        <v>5601</v>
      </c>
      <c r="X593" s="14" t="s">
        <v>60</v>
      </c>
    </row>
    <row r="594" spans="1:24" ht="15" x14ac:dyDescent="0.3">
      <c r="A594" s="3">
        <v>2</v>
      </c>
      <c r="B594" s="3" t="s">
        <v>6445</v>
      </c>
      <c r="C594" s="14" t="s">
        <v>2079</v>
      </c>
      <c r="D594" s="14" t="s">
        <v>3563</v>
      </c>
      <c r="E594" s="14" t="s">
        <v>6446</v>
      </c>
      <c r="F594" s="14" t="s">
        <v>3568</v>
      </c>
      <c r="G594" s="14" t="s">
        <v>3</v>
      </c>
      <c r="H594" s="14" t="s">
        <v>3804</v>
      </c>
      <c r="I594" s="14" t="s">
        <v>3805</v>
      </c>
      <c r="J594" s="14" t="s">
        <v>60</v>
      </c>
      <c r="K594" s="14" t="s">
        <v>60</v>
      </c>
      <c r="L594" s="14" t="s">
        <v>60</v>
      </c>
      <c r="M594" s="14" t="s">
        <v>3806</v>
      </c>
      <c r="N594" s="14" t="s">
        <v>60</v>
      </c>
      <c r="O594" s="14" t="s">
        <v>60</v>
      </c>
      <c r="P594" s="14" t="s">
        <v>6447</v>
      </c>
      <c r="Q594" s="14" t="s">
        <v>11</v>
      </c>
      <c r="R594" s="3" t="s">
        <v>4170</v>
      </c>
      <c r="S594" s="3">
        <f t="shared" si="30"/>
        <v>640</v>
      </c>
      <c r="T594" s="3">
        <f t="shared" si="31"/>
        <v>19840</v>
      </c>
      <c r="U594" s="3" t="s">
        <v>60</v>
      </c>
      <c r="V594" s="14" t="s">
        <v>6</v>
      </c>
      <c r="W594" s="14" t="s">
        <v>4444</v>
      </c>
      <c r="X594" s="14" t="s">
        <v>60</v>
      </c>
    </row>
    <row r="595" spans="1:24" ht="15" x14ac:dyDescent="0.3">
      <c r="A595" s="3">
        <v>3</v>
      </c>
      <c r="B595" s="3" t="s">
        <v>6448</v>
      </c>
      <c r="C595" s="14" t="s">
        <v>0</v>
      </c>
      <c r="D595" s="14" t="s">
        <v>1296</v>
      </c>
      <c r="E595" s="14" t="s">
        <v>4195</v>
      </c>
      <c r="F595" s="14" t="s">
        <v>3569</v>
      </c>
      <c r="G595" s="14" t="s">
        <v>3</v>
      </c>
      <c r="H595" s="14" t="s">
        <v>6449</v>
      </c>
      <c r="I595" s="14" t="s">
        <v>3807</v>
      </c>
      <c r="J595" s="14" t="s">
        <v>60</v>
      </c>
      <c r="K595" s="14" t="s">
        <v>60</v>
      </c>
      <c r="L595" s="14" t="s">
        <v>60</v>
      </c>
      <c r="M595" s="14" t="s">
        <v>3808</v>
      </c>
      <c r="N595" s="14" t="s">
        <v>60</v>
      </c>
      <c r="O595" s="14" t="s">
        <v>60</v>
      </c>
      <c r="P595" s="14" t="s">
        <v>6450</v>
      </c>
      <c r="Q595" s="14" t="s">
        <v>11</v>
      </c>
      <c r="R595" s="3" t="s">
        <v>4170</v>
      </c>
      <c r="S595" s="3">
        <f t="shared" si="30"/>
        <v>550</v>
      </c>
      <c r="T595" s="3">
        <f t="shared" si="31"/>
        <v>17050</v>
      </c>
      <c r="U595" s="3" t="s">
        <v>60</v>
      </c>
      <c r="V595" s="14" t="s">
        <v>6</v>
      </c>
      <c r="W595" s="14" t="s">
        <v>4444</v>
      </c>
      <c r="X595" s="14" t="s">
        <v>60</v>
      </c>
    </row>
    <row r="596" spans="1:24" ht="15" x14ac:dyDescent="0.3">
      <c r="A596" s="3">
        <v>4</v>
      </c>
      <c r="B596" s="3" t="s">
        <v>6451</v>
      </c>
      <c r="C596" s="14" t="s">
        <v>2079</v>
      </c>
      <c r="D596" s="14" t="s">
        <v>3564</v>
      </c>
      <c r="E596" s="14" t="s">
        <v>6452</v>
      </c>
      <c r="F596" s="14" t="s">
        <v>3570</v>
      </c>
      <c r="G596" s="14" t="s">
        <v>3</v>
      </c>
      <c r="H596" s="14" t="s">
        <v>3809</v>
      </c>
      <c r="I596" s="14" t="s">
        <v>3810</v>
      </c>
      <c r="J596" s="14" t="s">
        <v>60</v>
      </c>
      <c r="K596" s="14" t="s">
        <v>60</v>
      </c>
      <c r="L596" s="14" t="s">
        <v>60</v>
      </c>
      <c r="M596" s="14" t="s">
        <v>3811</v>
      </c>
      <c r="N596" s="14" t="s">
        <v>60</v>
      </c>
      <c r="O596" s="14" t="s">
        <v>60</v>
      </c>
      <c r="P596" s="14" t="s">
        <v>6453</v>
      </c>
      <c r="Q596" s="14" t="s">
        <v>11</v>
      </c>
      <c r="R596" s="3" t="s">
        <v>4170</v>
      </c>
      <c r="S596" s="3">
        <f t="shared" si="30"/>
        <v>640</v>
      </c>
      <c r="T596" s="3">
        <f t="shared" si="31"/>
        <v>19840</v>
      </c>
      <c r="U596" s="3" t="s">
        <v>60</v>
      </c>
      <c r="V596" s="14" t="s">
        <v>6</v>
      </c>
      <c r="W596" s="14" t="s">
        <v>4444</v>
      </c>
      <c r="X596" s="14" t="s">
        <v>60</v>
      </c>
    </row>
    <row r="597" spans="1:24" ht="15" x14ac:dyDescent="0.3">
      <c r="A597" s="3">
        <v>5</v>
      </c>
      <c r="B597" s="3" t="s">
        <v>6454</v>
      </c>
      <c r="C597" s="14" t="s">
        <v>0</v>
      </c>
      <c r="D597" s="14" t="s">
        <v>2899</v>
      </c>
      <c r="E597" s="14" t="s">
        <v>6455</v>
      </c>
      <c r="F597" s="14" t="s">
        <v>3571</v>
      </c>
      <c r="G597" s="14" t="s">
        <v>3</v>
      </c>
      <c r="H597" s="14" t="s">
        <v>6456</v>
      </c>
      <c r="I597" s="14" t="s">
        <v>3812</v>
      </c>
      <c r="J597" s="14" t="s">
        <v>60</v>
      </c>
      <c r="K597" s="14" t="s">
        <v>60</v>
      </c>
      <c r="L597" s="14" t="s">
        <v>60</v>
      </c>
      <c r="M597" s="14" t="s">
        <v>3813</v>
      </c>
      <c r="N597" s="14" t="s">
        <v>60</v>
      </c>
      <c r="O597" s="14" t="s">
        <v>60</v>
      </c>
      <c r="P597" s="14" t="s">
        <v>6457</v>
      </c>
      <c r="Q597" s="14" t="s">
        <v>11</v>
      </c>
      <c r="R597" s="3" t="s">
        <v>4170</v>
      </c>
      <c r="S597" s="3">
        <f t="shared" si="30"/>
        <v>550</v>
      </c>
      <c r="T597" s="3">
        <f t="shared" si="31"/>
        <v>17050</v>
      </c>
      <c r="U597" s="3" t="s">
        <v>60</v>
      </c>
      <c r="V597" s="14" t="s">
        <v>6</v>
      </c>
      <c r="W597" s="14" t="s">
        <v>4444</v>
      </c>
      <c r="X597" s="14" t="s">
        <v>60</v>
      </c>
    </row>
    <row r="598" spans="1:24" ht="15" x14ac:dyDescent="0.3">
      <c r="A598" s="3">
        <v>6</v>
      </c>
      <c r="B598" s="3" t="s">
        <v>6458</v>
      </c>
      <c r="C598" s="14" t="s">
        <v>0</v>
      </c>
      <c r="D598" s="14" t="s">
        <v>3565</v>
      </c>
      <c r="E598" s="14" t="s">
        <v>4304</v>
      </c>
      <c r="F598" s="14" t="s">
        <v>3572</v>
      </c>
      <c r="G598" s="14" t="s">
        <v>3</v>
      </c>
      <c r="H598" s="14" t="s">
        <v>6459</v>
      </c>
      <c r="I598" s="14" t="s">
        <v>3814</v>
      </c>
      <c r="J598" s="14" t="s">
        <v>60</v>
      </c>
      <c r="K598" s="14" t="s">
        <v>60</v>
      </c>
      <c r="L598" s="14" t="s">
        <v>60</v>
      </c>
      <c r="M598" s="14" t="s">
        <v>3815</v>
      </c>
      <c r="N598" s="14" t="s">
        <v>60</v>
      </c>
      <c r="O598" s="14" t="s">
        <v>60</v>
      </c>
      <c r="P598" s="14" t="s">
        <v>6460</v>
      </c>
      <c r="Q598" s="14" t="s">
        <v>11</v>
      </c>
      <c r="R598" s="3" t="s">
        <v>4170</v>
      </c>
      <c r="S598" s="3">
        <f t="shared" si="30"/>
        <v>550</v>
      </c>
      <c r="T598" s="3">
        <f t="shared" si="31"/>
        <v>17050</v>
      </c>
      <c r="U598" s="3" t="s">
        <v>60</v>
      </c>
      <c r="V598" s="14" t="s">
        <v>6</v>
      </c>
      <c r="W598" s="14" t="s">
        <v>4444</v>
      </c>
      <c r="X598" s="14" t="s">
        <v>60</v>
      </c>
    </row>
    <row r="599" spans="1:24" ht="15" x14ac:dyDescent="0.3">
      <c r="A599" s="3">
        <v>7</v>
      </c>
      <c r="B599" s="3" t="s">
        <v>6461</v>
      </c>
      <c r="C599" s="14" t="s">
        <v>0</v>
      </c>
      <c r="D599" s="14" t="s">
        <v>3566</v>
      </c>
      <c r="E599" s="14" t="s">
        <v>4304</v>
      </c>
      <c r="F599" s="14" t="s">
        <v>2602</v>
      </c>
      <c r="G599" s="14" t="s">
        <v>3</v>
      </c>
      <c r="H599" s="14" t="s">
        <v>6462</v>
      </c>
      <c r="I599" s="14" t="s">
        <v>3816</v>
      </c>
      <c r="J599" s="14" t="s">
        <v>60</v>
      </c>
      <c r="K599" s="14" t="s">
        <v>60</v>
      </c>
      <c r="L599" s="14" t="s">
        <v>60</v>
      </c>
      <c r="M599" s="14" t="s">
        <v>3817</v>
      </c>
      <c r="N599" s="14" t="s">
        <v>60</v>
      </c>
      <c r="O599" s="14" t="s">
        <v>60</v>
      </c>
      <c r="P599" s="14" t="s">
        <v>6463</v>
      </c>
      <c r="Q599" s="14" t="s">
        <v>11</v>
      </c>
      <c r="R599" s="3" t="s">
        <v>4170</v>
      </c>
      <c r="S599" s="3">
        <f t="shared" si="30"/>
        <v>550</v>
      </c>
      <c r="T599" s="3">
        <f t="shared" si="31"/>
        <v>17050</v>
      </c>
      <c r="U599" s="3" t="s">
        <v>60</v>
      </c>
      <c r="V599" s="14" t="s">
        <v>6</v>
      </c>
      <c r="W599" s="14" t="s">
        <v>4444</v>
      </c>
      <c r="X599" s="14" t="s">
        <v>60</v>
      </c>
    </row>
    <row r="600" spans="1:24" ht="15" x14ac:dyDescent="0.3">
      <c r="A600" s="3">
        <v>8</v>
      </c>
      <c r="B600" s="3" t="s">
        <v>6464</v>
      </c>
      <c r="C600" s="14" t="s">
        <v>390</v>
      </c>
      <c r="D600" s="14" t="s">
        <v>3567</v>
      </c>
      <c r="E600" s="14" t="s">
        <v>4319</v>
      </c>
      <c r="F600" s="14" t="s">
        <v>3573</v>
      </c>
      <c r="G600" s="14" t="s">
        <v>3</v>
      </c>
      <c r="H600" s="14" t="s">
        <v>3818</v>
      </c>
      <c r="I600" s="14" t="s">
        <v>3819</v>
      </c>
      <c r="J600" s="14" t="s">
        <v>60</v>
      </c>
      <c r="K600" s="14" t="s">
        <v>60</v>
      </c>
      <c r="L600" s="14" t="s">
        <v>60</v>
      </c>
      <c r="M600" s="14" t="s">
        <v>3820</v>
      </c>
      <c r="N600" s="14" t="s">
        <v>60</v>
      </c>
      <c r="O600" s="14" t="s">
        <v>60</v>
      </c>
      <c r="P600" s="14" t="s">
        <v>6465</v>
      </c>
      <c r="Q600" s="14" t="s">
        <v>11</v>
      </c>
      <c r="R600" s="3" t="s">
        <v>4170</v>
      </c>
      <c r="S600" s="3">
        <f t="shared" si="30"/>
        <v>770</v>
      </c>
      <c r="T600" s="3">
        <f t="shared" si="31"/>
        <v>23870</v>
      </c>
      <c r="U600" s="3" t="s">
        <v>60</v>
      </c>
      <c r="V600" s="14" t="s">
        <v>6</v>
      </c>
      <c r="W600" s="14" t="s">
        <v>4444</v>
      </c>
      <c r="X600" s="14" t="s">
        <v>60</v>
      </c>
    </row>
    <row r="601" spans="1:24" ht="15" x14ac:dyDescent="0.3">
      <c r="A601" s="3">
        <v>9</v>
      </c>
      <c r="B601" s="3" t="s">
        <v>6466</v>
      </c>
      <c r="C601" s="14" t="s">
        <v>0</v>
      </c>
      <c r="D601" s="14" t="s">
        <v>3979</v>
      </c>
      <c r="E601" s="14" t="s">
        <v>6467</v>
      </c>
      <c r="F601" s="14" t="s">
        <v>3980</v>
      </c>
      <c r="G601" s="14" t="s">
        <v>121</v>
      </c>
      <c r="H601" s="14" t="s">
        <v>3981</v>
      </c>
      <c r="I601" s="14" t="s">
        <v>3985</v>
      </c>
      <c r="J601" s="14" t="s">
        <v>60</v>
      </c>
      <c r="K601" s="14" t="s">
        <v>60</v>
      </c>
      <c r="L601" s="14" t="s">
        <v>60</v>
      </c>
      <c r="M601" s="14" t="s">
        <v>60</v>
      </c>
      <c r="N601" s="14" t="s">
        <v>60</v>
      </c>
      <c r="O601" s="14" t="s">
        <v>3910</v>
      </c>
      <c r="P601" s="14" t="s">
        <v>3986</v>
      </c>
      <c r="Q601" s="14" t="s">
        <v>3982</v>
      </c>
      <c r="R601" s="3" t="s">
        <v>4170</v>
      </c>
      <c r="S601" s="3">
        <f t="shared" si="30"/>
        <v>550</v>
      </c>
      <c r="T601" s="3">
        <f t="shared" si="31"/>
        <v>17050</v>
      </c>
      <c r="U601" s="3" t="s">
        <v>60</v>
      </c>
      <c r="V601" s="14" t="s">
        <v>6</v>
      </c>
      <c r="W601" s="14" t="s">
        <v>6468</v>
      </c>
      <c r="X601" s="14" t="s">
        <v>60</v>
      </c>
    </row>
    <row r="602" spans="1:24" ht="15" x14ac:dyDescent="0.3">
      <c r="A602" s="3">
        <v>10</v>
      </c>
      <c r="B602" s="3" t="s">
        <v>6469</v>
      </c>
      <c r="C602" s="14" t="s">
        <v>0</v>
      </c>
      <c r="D602" s="14" t="s">
        <v>3983</v>
      </c>
      <c r="E602" s="14" t="s">
        <v>6470</v>
      </c>
      <c r="F602" s="14" t="s">
        <v>101</v>
      </c>
      <c r="G602" s="14" t="s">
        <v>3</v>
      </c>
      <c r="H602" s="14" t="s">
        <v>6471</v>
      </c>
      <c r="I602" s="14" t="s">
        <v>3987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3910</v>
      </c>
      <c r="P602" s="14" t="s">
        <v>6472</v>
      </c>
      <c r="Q602" s="14" t="s">
        <v>11</v>
      </c>
      <c r="R602" s="3" t="s">
        <v>4170</v>
      </c>
      <c r="S602" s="3">
        <f t="shared" si="30"/>
        <v>550</v>
      </c>
      <c r="T602" s="3">
        <f t="shared" si="31"/>
        <v>17050</v>
      </c>
      <c r="U602" s="3" t="s">
        <v>60</v>
      </c>
      <c r="V602" s="14" t="s">
        <v>6</v>
      </c>
      <c r="W602" s="14" t="s">
        <v>6473</v>
      </c>
      <c r="X602" s="14" t="s">
        <v>60</v>
      </c>
    </row>
    <row r="603" spans="1:24" ht="15" x14ac:dyDescent="0.3">
      <c r="A603" s="3">
        <v>11</v>
      </c>
      <c r="B603" s="3" t="s">
        <v>6474</v>
      </c>
      <c r="C603" s="14" t="s">
        <v>2079</v>
      </c>
      <c r="D603" s="14" t="s">
        <v>3543</v>
      </c>
      <c r="E603" s="14" t="s">
        <v>5073</v>
      </c>
      <c r="F603" s="14" t="s">
        <v>3552</v>
      </c>
      <c r="G603" s="14" t="s">
        <v>3</v>
      </c>
      <c r="H603" s="14" t="s">
        <v>3790</v>
      </c>
      <c r="I603" s="14" t="s">
        <v>60</v>
      </c>
      <c r="J603" s="14" t="s">
        <v>60</v>
      </c>
      <c r="K603" s="14" t="s">
        <v>60</v>
      </c>
      <c r="L603" s="14" t="s">
        <v>60</v>
      </c>
      <c r="M603" s="14" t="s">
        <v>3791</v>
      </c>
      <c r="N603" s="14" t="s">
        <v>60</v>
      </c>
      <c r="O603" s="14" t="s">
        <v>60</v>
      </c>
      <c r="P603" s="14" t="s">
        <v>6475</v>
      </c>
      <c r="Q603" s="14" t="s">
        <v>389</v>
      </c>
      <c r="R603" s="3" t="s">
        <v>4170</v>
      </c>
      <c r="S603" s="3">
        <f t="shared" si="30"/>
        <v>640</v>
      </c>
      <c r="T603" s="3">
        <f t="shared" si="31"/>
        <v>19840</v>
      </c>
      <c r="U603" s="3" t="s">
        <v>60</v>
      </c>
      <c r="V603" s="14" t="s">
        <v>6</v>
      </c>
      <c r="W603" s="14" t="s">
        <v>6476</v>
      </c>
      <c r="X603" s="14" t="s">
        <v>60</v>
      </c>
    </row>
    <row r="604" spans="1:24" ht="15" x14ac:dyDescent="0.3">
      <c r="A604" s="3">
        <v>12</v>
      </c>
      <c r="B604" s="3" t="s">
        <v>6477</v>
      </c>
      <c r="C604" s="14" t="s">
        <v>0</v>
      </c>
      <c r="D604" s="14" t="s">
        <v>3544</v>
      </c>
      <c r="E604" s="14" t="s">
        <v>4430</v>
      </c>
      <c r="F604" s="14" t="s">
        <v>3553</v>
      </c>
      <c r="G604" s="14" t="s">
        <v>3</v>
      </c>
      <c r="H604" s="14" t="s">
        <v>6478</v>
      </c>
      <c r="I604" s="14" t="s">
        <v>3792</v>
      </c>
      <c r="J604" s="14" t="s">
        <v>60</v>
      </c>
      <c r="K604" s="14" t="s">
        <v>60</v>
      </c>
      <c r="L604" s="14" t="s">
        <v>60</v>
      </c>
      <c r="M604" s="14" t="s">
        <v>3793</v>
      </c>
      <c r="N604" s="14" t="s">
        <v>60</v>
      </c>
      <c r="O604" s="14" t="s">
        <v>60</v>
      </c>
      <c r="P604" s="14" t="s">
        <v>6479</v>
      </c>
      <c r="Q604" s="14" t="s">
        <v>11</v>
      </c>
      <c r="R604" s="3" t="s">
        <v>4300</v>
      </c>
      <c r="S604" s="3">
        <f t="shared" si="30"/>
        <v>550</v>
      </c>
      <c r="T604" s="3">
        <f t="shared" si="31"/>
        <v>15950</v>
      </c>
      <c r="U604" s="3" t="s">
        <v>60</v>
      </c>
      <c r="V604" s="14" t="s">
        <v>6</v>
      </c>
      <c r="W604" s="14" t="s">
        <v>6476</v>
      </c>
      <c r="X604" s="14" t="s">
        <v>60</v>
      </c>
    </row>
    <row r="605" spans="1:24" ht="15" x14ac:dyDescent="0.3">
      <c r="A605" s="3">
        <v>13</v>
      </c>
      <c r="B605" s="3" t="s">
        <v>6480</v>
      </c>
      <c r="C605" s="14" t="s">
        <v>0</v>
      </c>
      <c r="D605" s="14" t="s">
        <v>3545</v>
      </c>
      <c r="E605" s="14" t="s">
        <v>4430</v>
      </c>
      <c r="F605" s="14" t="s">
        <v>3554</v>
      </c>
      <c r="G605" s="14" t="s">
        <v>3</v>
      </c>
      <c r="H605" s="14" t="s">
        <v>6481</v>
      </c>
      <c r="I605" s="14" t="s">
        <v>3794</v>
      </c>
      <c r="J605" s="14" t="s">
        <v>60</v>
      </c>
      <c r="K605" s="14" t="s">
        <v>60</v>
      </c>
      <c r="L605" s="14" t="s">
        <v>60</v>
      </c>
      <c r="M605" s="14" t="s">
        <v>3795</v>
      </c>
      <c r="N605" s="14" t="s">
        <v>60</v>
      </c>
      <c r="O605" s="14" t="s">
        <v>60</v>
      </c>
      <c r="P605" s="14" t="s">
        <v>6482</v>
      </c>
      <c r="Q605" s="14" t="s">
        <v>11</v>
      </c>
      <c r="R605" s="3" t="s">
        <v>4170</v>
      </c>
      <c r="S605" s="3">
        <f t="shared" si="30"/>
        <v>550</v>
      </c>
      <c r="T605" s="3">
        <f t="shared" si="31"/>
        <v>17050</v>
      </c>
      <c r="U605" s="3" t="s">
        <v>60</v>
      </c>
      <c r="V605" s="14" t="s">
        <v>6</v>
      </c>
      <c r="W605" s="14" t="s">
        <v>6476</v>
      </c>
      <c r="X605" s="14" t="s">
        <v>60</v>
      </c>
    </row>
    <row r="606" spans="1:24" ht="15" x14ac:dyDescent="0.3">
      <c r="A606" s="3">
        <v>14</v>
      </c>
      <c r="B606" s="3" t="s">
        <v>6483</v>
      </c>
      <c r="C606" s="14" t="s">
        <v>0</v>
      </c>
      <c r="D606" s="14" t="s">
        <v>3546</v>
      </c>
      <c r="E606" s="14" t="s">
        <v>6484</v>
      </c>
      <c r="F606" s="14" t="s">
        <v>1301</v>
      </c>
      <c r="G606" s="14" t="s">
        <v>3</v>
      </c>
      <c r="H606" s="14" t="s">
        <v>6485</v>
      </c>
      <c r="I606" s="14" t="s">
        <v>3796</v>
      </c>
      <c r="J606" s="14" t="s">
        <v>60</v>
      </c>
      <c r="K606" s="14" t="s">
        <v>60</v>
      </c>
      <c r="L606" s="14" t="s">
        <v>60</v>
      </c>
      <c r="M606" s="14" t="s">
        <v>3797</v>
      </c>
      <c r="N606" s="14" t="s">
        <v>60</v>
      </c>
      <c r="O606" s="14" t="s">
        <v>60</v>
      </c>
      <c r="P606" s="14" t="s">
        <v>6486</v>
      </c>
      <c r="Q606" s="14" t="s">
        <v>11</v>
      </c>
      <c r="R606" s="3" t="s">
        <v>4300</v>
      </c>
      <c r="S606" s="3">
        <f t="shared" si="30"/>
        <v>550</v>
      </c>
      <c r="T606" s="3">
        <f t="shared" si="31"/>
        <v>15950</v>
      </c>
      <c r="U606" s="3" t="s">
        <v>60</v>
      </c>
      <c r="V606" s="14" t="s">
        <v>6</v>
      </c>
      <c r="W606" s="14" t="s">
        <v>6476</v>
      </c>
      <c r="X606" s="14" t="s">
        <v>60</v>
      </c>
    </row>
    <row r="607" spans="1:24" ht="15" x14ac:dyDescent="0.3">
      <c r="A607" s="3">
        <v>15</v>
      </c>
      <c r="B607" s="3" t="s">
        <v>6487</v>
      </c>
      <c r="C607" s="14" t="s">
        <v>0</v>
      </c>
      <c r="D607" s="14" t="s">
        <v>3547</v>
      </c>
      <c r="E607" s="14" t="s">
        <v>5557</v>
      </c>
      <c r="F607" s="14" t="s">
        <v>3555</v>
      </c>
      <c r="G607" s="14" t="s">
        <v>3</v>
      </c>
      <c r="H607" s="14" t="s">
        <v>6488</v>
      </c>
      <c r="I607" s="14" t="s">
        <v>3798</v>
      </c>
      <c r="J607" s="14" t="s">
        <v>60</v>
      </c>
      <c r="K607" s="14" t="s">
        <v>60</v>
      </c>
      <c r="L607" s="14" t="s">
        <v>60</v>
      </c>
      <c r="M607" s="14" t="s">
        <v>60</v>
      </c>
      <c r="N607" s="14" t="s">
        <v>60</v>
      </c>
      <c r="O607" s="14" t="s">
        <v>60</v>
      </c>
      <c r="P607" s="14" t="s">
        <v>6489</v>
      </c>
      <c r="Q607" s="14" t="s">
        <v>11</v>
      </c>
      <c r="R607" s="3" t="s">
        <v>4170</v>
      </c>
      <c r="S607" s="3">
        <f t="shared" si="30"/>
        <v>550</v>
      </c>
      <c r="T607" s="3">
        <f t="shared" si="31"/>
        <v>17050</v>
      </c>
      <c r="U607" s="3" t="s">
        <v>60</v>
      </c>
      <c r="V607" s="14" t="s">
        <v>6</v>
      </c>
      <c r="W607" s="14" t="s">
        <v>6476</v>
      </c>
      <c r="X607" s="14" t="s">
        <v>60</v>
      </c>
    </row>
    <row r="608" spans="1:24" ht="15" x14ac:dyDescent="0.3">
      <c r="A608" s="3">
        <v>16</v>
      </c>
      <c r="B608" s="3" t="s">
        <v>6490</v>
      </c>
      <c r="C608" s="14" t="s">
        <v>0</v>
      </c>
      <c r="D608" s="14" t="s">
        <v>455</v>
      </c>
      <c r="E608" s="14" t="s">
        <v>4895</v>
      </c>
      <c r="F608" s="14" t="s">
        <v>3546</v>
      </c>
      <c r="G608" s="14" t="s">
        <v>3</v>
      </c>
      <c r="H608" s="14" t="s">
        <v>6485</v>
      </c>
      <c r="I608" s="14" t="s">
        <v>3799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6491</v>
      </c>
      <c r="Q608" s="14" t="s">
        <v>11</v>
      </c>
      <c r="R608" s="3" t="s">
        <v>4170</v>
      </c>
      <c r="S608" s="3">
        <f t="shared" si="30"/>
        <v>550</v>
      </c>
      <c r="T608" s="3">
        <f t="shared" si="31"/>
        <v>17050</v>
      </c>
      <c r="U608" s="3" t="s">
        <v>60</v>
      </c>
      <c r="V608" s="14" t="s">
        <v>6</v>
      </c>
      <c r="W608" s="14" t="s">
        <v>6476</v>
      </c>
      <c r="X608" s="14" t="s">
        <v>60</v>
      </c>
    </row>
    <row r="609" spans="1:24" ht="15" x14ac:dyDescent="0.3">
      <c r="A609" s="3">
        <v>17</v>
      </c>
      <c r="B609" s="3" t="s">
        <v>6492</v>
      </c>
      <c r="C609" s="14" t="s">
        <v>0</v>
      </c>
      <c r="D609" s="14" t="s">
        <v>3548</v>
      </c>
      <c r="E609" s="14" t="s">
        <v>5435</v>
      </c>
      <c r="F609" s="14" t="s">
        <v>3556</v>
      </c>
      <c r="G609" s="14" t="s">
        <v>3</v>
      </c>
      <c r="H609" s="14" t="s">
        <v>6493</v>
      </c>
      <c r="I609" s="14" t="s">
        <v>3800</v>
      </c>
      <c r="J609" s="14" t="s">
        <v>60</v>
      </c>
      <c r="K609" s="14" t="s">
        <v>60</v>
      </c>
      <c r="L609" s="14" t="s">
        <v>60</v>
      </c>
      <c r="M609" s="14" t="s">
        <v>3801</v>
      </c>
      <c r="N609" s="14" t="s">
        <v>60</v>
      </c>
      <c r="O609" s="14" t="s">
        <v>60</v>
      </c>
      <c r="P609" s="14" t="s">
        <v>6494</v>
      </c>
      <c r="Q609" s="14" t="s">
        <v>11</v>
      </c>
      <c r="R609" s="3" t="s">
        <v>4170</v>
      </c>
      <c r="S609" s="3">
        <f t="shared" si="30"/>
        <v>550</v>
      </c>
      <c r="T609" s="3">
        <f t="shared" si="31"/>
        <v>17050</v>
      </c>
      <c r="U609" s="3" t="s">
        <v>60</v>
      </c>
      <c r="V609" s="14" t="s">
        <v>6</v>
      </c>
      <c r="W609" s="14" t="s">
        <v>6476</v>
      </c>
      <c r="X609" s="14" t="s">
        <v>60</v>
      </c>
    </row>
    <row r="610" spans="1:24" ht="15" x14ac:dyDescent="0.3">
      <c r="A610" s="3">
        <v>18</v>
      </c>
      <c r="B610" s="3" t="s">
        <v>6495</v>
      </c>
      <c r="C610" s="14" t="s">
        <v>0</v>
      </c>
      <c r="D610" s="14" t="s">
        <v>3549</v>
      </c>
      <c r="E610" s="14" t="s">
        <v>4304</v>
      </c>
      <c r="F610" s="14" t="s">
        <v>3557</v>
      </c>
      <c r="G610" s="14" t="s">
        <v>3</v>
      </c>
      <c r="H610" s="14" t="s">
        <v>6496</v>
      </c>
      <c r="I610" s="14" t="s">
        <v>3802</v>
      </c>
      <c r="J610" s="14" t="s">
        <v>60</v>
      </c>
      <c r="K610" s="14" t="s">
        <v>60</v>
      </c>
      <c r="L610" s="14" t="s">
        <v>60</v>
      </c>
      <c r="M610" s="14" t="s">
        <v>60</v>
      </c>
      <c r="N610" s="14" t="s">
        <v>60</v>
      </c>
      <c r="O610" s="14" t="s">
        <v>60</v>
      </c>
      <c r="P610" s="14" t="s">
        <v>6497</v>
      </c>
      <c r="Q610" s="14" t="s">
        <v>11</v>
      </c>
      <c r="R610" s="3" t="s">
        <v>4170</v>
      </c>
      <c r="S610" s="3">
        <f t="shared" si="30"/>
        <v>550</v>
      </c>
      <c r="T610" s="3">
        <f t="shared" si="31"/>
        <v>17050</v>
      </c>
      <c r="U610" s="3" t="s">
        <v>60</v>
      </c>
      <c r="V610" s="14" t="s">
        <v>6</v>
      </c>
      <c r="W610" s="14" t="s">
        <v>6476</v>
      </c>
      <c r="X610" s="14" t="s">
        <v>60</v>
      </c>
    </row>
    <row r="611" spans="1:24" ht="15" x14ac:dyDescent="0.3">
      <c r="A611" s="3">
        <v>19</v>
      </c>
      <c r="B611" s="3" t="s">
        <v>6498</v>
      </c>
      <c r="C611" s="14" t="s">
        <v>0</v>
      </c>
      <c r="D611" s="14" t="s">
        <v>3550</v>
      </c>
      <c r="E611" s="14" t="s">
        <v>4304</v>
      </c>
      <c r="F611" s="14" t="s">
        <v>3558</v>
      </c>
      <c r="G611" s="14" t="s">
        <v>3</v>
      </c>
      <c r="H611" s="14" t="s">
        <v>6499</v>
      </c>
      <c r="I611" s="14" t="s">
        <v>3803</v>
      </c>
      <c r="J611" s="14" t="s">
        <v>60</v>
      </c>
      <c r="K611" s="14" t="s">
        <v>60</v>
      </c>
      <c r="L611" s="14" t="s">
        <v>60</v>
      </c>
      <c r="M611" s="14" t="s">
        <v>60</v>
      </c>
      <c r="N611" s="14" t="s">
        <v>60</v>
      </c>
      <c r="O611" s="14" t="s">
        <v>60</v>
      </c>
      <c r="P611" s="14" t="s">
        <v>6500</v>
      </c>
      <c r="Q611" s="14" t="s">
        <v>11</v>
      </c>
      <c r="R611" s="3" t="s">
        <v>4300</v>
      </c>
      <c r="S611" s="3">
        <f t="shared" si="30"/>
        <v>550</v>
      </c>
      <c r="T611" s="3">
        <f t="shared" si="31"/>
        <v>15950</v>
      </c>
      <c r="U611" s="3" t="s">
        <v>60</v>
      </c>
      <c r="V611" s="14" t="s">
        <v>6</v>
      </c>
      <c r="W611" s="14" t="s">
        <v>6476</v>
      </c>
      <c r="X611" s="14" t="s">
        <v>60</v>
      </c>
    </row>
    <row r="612" spans="1:24" ht="15" x14ac:dyDescent="0.3">
      <c r="A612" s="3">
        <v>20</v>
      </c>
      <c r="B612" s="3" t="s">
        <v>6501</v>
      </c>
      <c r="C612" s="14" t="s">
        <v>0</v>
      </c>
      <c r="D612" s="14" t="s">
        <v>3551</v>
      </c>
      <c r="E612" s="14" t="s">
        <v>4304</v>
      </c>
      <c r="F612" s="14" t="s">
        <v>1619</v>
      </c>
      <c r="G612" s="14" t="s">
        <v>3</v>
      </c>
      <c r="H612" s="14" t="s">
        <v>6502</v>
      </c>
      <c r="I612" s="14" t="s">
        <v>3800</v>
      </c>
      <c r="J612" s="14" t="s">
        <v>60</v>
      </c>
      <c r="K612" s="14" t="s">
        <v>60</v>
      </c>
      <c r="L612" s="14" t="s">
        <v>60</v>
      </c>
      <c r="M612" s="14" t="s">
        <v>60</v>
      </c>
      <c r="N612" s="14" t="s">
        <v>60</v>
      </c>
      <c r="O612" s="14" t="s">
        <v>60</v>
      </c>
      <c r="P612" s="14" t="s">
        <v>6503</v>
      </c>
      <c r="Q612" s="14" t="s">
        <v>11</v>
      </c>
      <c r="R612" s="3" t="s">
        <v>4300</v>
      </c>
      <c r="S612" s="3">
        <f t="shared" si="30"/>
        <v>550</v>
      </c>
      <c r="T612" s="3">
        <f t="shared" si="31"/>
        <v>15950</v>
      </c>
      <c r="U612" s="3" t="s">
        <v>6504</v>
      </c>
      <c r="V612" s="14" t="s">
        <v>6</v>
      </c>
      <c r="W612" s="14" t="s">
        <v>6476</v>
      </c>
      <c r="X612" s="14" t="s">
        <v>60</v>
      </c>
    </row>
    <row r="613" spans="1:24" ht="15" x14ac:dyDescent="0.3">
      <c r="A613" s="3">
        <v>21</v>
      </c>
      <c r="B613" s="3" t="s">
        <v>6505</v>
      </c>
      <c r="C613" s="14" t="s">
        <v>3452</v>
      </c>
      <c r="D613" s="14" t="s">
        <v>1583</v>
      </c>
      <c r="E613" s="14" t="s">
        <v>6506</v>
      </c>
      <c r="F613" s="14" t="s">
        <v>1584</v>
      </c>
      <c r="G613" s="14" t="s">
        <v>3</v>
      </c>
      <c r="H613" s="14" t="s">
        <v>1585</v>
      </c>
      <c r="I613" s="14" t="s">
        <v>1586</v>
      </c>
      <c r="J613" s="14" t="s">
        <v>60</v>
      </c>
      <c r="K613" s="14" t="s">
        <v>60</v>
      </c>
      <c r="L613" s="14" t="s">
        <v>60</v>
      </c>
      <c r="M613" s="14" t="s">
        <v>1587</v>
      </c>
      <c r="N613" s="14" t="s">
        <v>60</v>
      </c>
      <c r="O613" s="14" t="s">
        <v>193</v>
      </c>
      <c r="P613" s="14" t="s">
        <v>6507</v>
      </c>
      <c r="Q613" s="14" t="s">
        <v>175</v>
      </c>
      <c r="R613" s="3" t="s">
        <v>4170</v>
      </c>
      <c r="S613" s="3">
        <f t="shared" si="30"/>
        <v>770</v>
      </c>
      <c r="T613" s="3">
        <f t="shared" si="31"/>
        <v>23870</v>
      </c>
      <c r="U613" s="3" t="s">
        <v>60</v>
      </c>
      <c r="V613" s="14" t="s">
        <v>6</v>
      </c>
      <c r="W613" s="14" t="s">
        <v>4287</v>
      </c>
      <c r="X613" s="14" t="s">
        <v>60</v>
      </c>
    </row>
    <row r="614" spans="1:24" ht="15" x14ac:dyDescent="0.3">
      <c r="A614" s="3">
        <v>22</v>
      </c>
      <c r="B614" s="3" t="s">
        <v>6508</v>
      </c>
      <c r="C614" s="14" t="s">
        <v>69</v>
      </c>
      <c r="D614" s="14" t="s">
        <v>1332</v>
      </c>
      <c r="E614" s="14" t="s">
        <v>6509</v>
      </c>
      <c r="F614" s="14" t="s">
        <v>1333</v>
      </c>
      <c r="G614" s="14" t="s">
        <v>3</v>
      </c>
      <c r="H614" s="14" t="s">
        <v>6510</v>
      </c>
      <c r="I614" s="14" t="s">
        <v>1334</v>
      </c>
      <c r="J614" s="14" t="s">
        <v>228</v>
      </c>
      <c r="K614" s="14" t="s">
        <v>1152</v>
      </c>
      <c r="L614" s="14" t="s">
        <v>60</v>
      </c>
      <c r="M614" s="14" t="s">
        <v>1335</v>
      </c>
      <c r="N614" s="14" t="s">
        <v>60</v>
      </c>
      <c r="O614" s="14" t="s">
        <v>193</v>
      </c>
      <c r="P614" s="14" t="s">
        <v>6511</v>
      </c>
      <c r="Q614" s="14" t="s">
        <v>11</v>
      </c>
      <c r="R614" s="3" t="s">
        <v>4300</v>
      </c>
      <c r="S614" s="3">
        <f t="shared" si="30"/>
        <v>570</v>
      </c>
      <c r="T614" s="3">
        <f t="shared" si="31"/>
        <v>16530</v>
      </c>
      <c r="U614" s="3" t="s">
        <v>60</v>
      </c>
      <c r="V614" s="14" t="s">
        <v>6</v>
      </c>
      <c r="W614" s="14" t="s">
        <v>6349</v>
      </c>
      <c r="X614" s="14" t="s">
        <v>60</v>
      </c>
    </row>
    <row r="615" spans="1:24" ht="15" x14ac:dyDescent="0.3">
      <c r="A615" s="3">
        <v>23</v>
      </c>
      <c r="B615" s="3" t="s">
        <v>6512</v>
      </c>
      <c r="C615" s="14" t="s">
        <v>5012</v>
      </c>
      <c r="D615" s="14" t="s">
        <v>101</v>
      </c>
      <c r="E615" s="14" t="s">
        <v>6513</v>
      </c>
      <c r="F615" s="14" t="s">
        <v>1379</v>
      </c>
      <c r="G615" s="14" t="s">
        <v>3</v>
      </c>
      <c r="H615" s="14" t="s">
        <v>1420</v>
      </c>
      <c r="I615" s="14" t="s">
        <v>1421</v>
      </c>
      <c r="J615" s="14" t="s">
        <v>60</v>
      </c>
      <c r="K615" s="14" t="s">
        <v>60</v>
      </c>
      <c r="L615" s="14" t="s">
        <v>60</v>
      </c>
      <c r="M615" s="14" t="s">
        <v>60</v>
      </c>
      <c r="N615" s="14" t="s">
        <v>60</v>
      </c>
      <c r="O615" s="14" t="s">
        <v>454</v>
      </c>
      <c r="P615" s="14" t="s">
        <v>6514</v>
      </c>
      <c r="Q615" s="14" t="s">
        <v>1153</v>
      </c>
      <c r="R615" s="3" t="s">
        <v>4170</v>
      </c>
      <c r="S615" s="3">
        <f t="shared" si="30"/>
        <v>570</v>
      </c>
      <c r="T615" s="3">
        <f t="shared" si="31"/>
        <v>17670</v>
      </c>
      <c r="U615" s="3" t="s">
        <v>60</v>
      </c>
      <c r="V615" s="14" t="s">
        <v>6</v>
      </c>
      <c r="W615" s="14" t="s">
        <v>6379</v>
      </c>
      <c r="X615" s="14" t="s">
        <v>60</v>
      </c>
    </row>
    <row r="616" spans="1:24" ht="15" x14ac:dyDescent="0.3">
      <c r="A616" s="3">
        <v>24</v>
      </c>
      <c r="B616" s="3" t="s">
        <v>6515</v>
      </c>
      <c r="C616" s="14" t="s">
        <v>0</v>
      </c>
      <c r="D616" s="14" t="s">
        <v>1365</v>
      </c>
      <c r="E616" s="14" t="s">
        <v>6516</v>
      </c>
      <c r="F616" s="14" t="s">
        <v>1366</v>
      </c>
      <c r="G616" s="14" t="s">
        <v>3</v>
      </c>
      <c r="H616" s="14" t="s">
        <v>6517</v>
      </c>
      <c r="I616" s="14" t="s">
        <v>1367</v>
      </c>
      <c r="J616" s="14" t="s">
        <v>60</v>
      </c>
      <c r="K616" s="14" t="s">
        <v>60</v>
      </c>
      <c r="L616" s="14" t="s">
        <v>60</v>
      </c>
      <c r="M616" s="14" t="s">
        <v>6518</v>
      </c>
      <c r="N616" s="14" t="s">
        <v>60</v>
      </c>
      <c r="O616" s="14" t="s">
        <v>193</v>
      </c>
      <c r="P616" s="14" t="s">
        <v>6519</v>
      </c>
      <c r="Q616" s="14" t="s">
        <v>11</v>
      </c>
      <c r="R616" s="3" t="s">
        <v>4170</v>
      </c>
      <c r="S616" s="3">
        <f t="shared" si="30"/>
        <v>550</v>
      </c>
      <c r="T616" s="3">
        <f t="shared" si="31"/>
        <v>17050</v>
      </c>
      <c r="U616" s="3" t="s">
        <v>60</v>
      </c>
      <c r="V616" s="14" t="s">
        <v>6</v>
      </c>
      <c r="W616" s="14" t="s">
        <v>6349</v>
      </c>
      <c r="X616" s="14" t="s">
        <v>60</v>
      </c>
    </row>
    <row r="617" spans="1:24" ht="15" x14ac:dyDescent="0.3">
      <c r="A617" s="3">
        <v>25</v>
      </c>
      <c r="B617" s="3" t="s">
        <v>6520</v>
      </c>
      <c r="C617" s="14" t="s">
        <v>0</v>
      </c>
      <c r="D617" s="14" t="s">
        <v>1368</v>
      </c>
      <c r="E617" s="14" t="s">
        <v>6521</v>
      </c>
      <c r="F617" s="14" t="s">
        <v>1369</v>
      </c>
      <c r="G617" s="14" t="s">
        <v>3</v>
      </c>
      <c r="H617" s="14" t="s">
        <v>6522</v>
      </c>
      <c r="I617" s="14" t="s">
        <v>1370</v>
      </c>
      <c r="J617" s="14" t="s">
        <v>1183</v>
      </c>
      <c r="K617" s="14" t="s">
        <v>60</v>
      </c>
      <c r="L617" s="14" t="s">
        <v>60</v>
      </c>
      <c r="M617" s="14" t="s">
        <v>6523</v>
      </c>
      <c r="N617" s="14" t="s">
        <v>60</v>
      </c>
      <c r="O617" s="14" t="s">
        <v>6524</v>
      </c>
      <c r="P617" s="14" t="s">
        <v>6525</v>
      </c>
      <c r="Q617" s="14" t="s">
        <v>11</v>
      </c>
      <c r="R617" s="3" t="s">
        <v>5870</v>
      </c>
      <c r="S617" s="3">
        <f t="shared" si="30"/>
        <v>550</v>
      </c>
      <c r="T617" s="3">
        <f t="shared" si="31"/>
        <v>13200</v>
      </c>
      <c r="U617" s="3" t="s">
        <v>60</v>
      </c>
      <c r="V617" s="14" t="s">
        <v>6</v>
      </c>
      <c r="W617" s="14" t="s">
        <v>6349</v>
      </c>
      <c r="X617" s="14" t="s">
        <v>60</v>
      </c>
    </row>
    <row r="618" spans="1:24" ht="15" x14ac:dyDescent="0.3">
      <c r="A618" s="3">
        <v>26</v>
      </c>
      <c r="B618" s="3" t="s">
        <v>6526</v>
      </c>
      <c r="C618" s="14" t="s">
        <v>0</v>
      </c>
      <c r="D618" s="14" t="s">
        <v>1371</v>
      </c>
      <c r="E618" s="14" t="s">
        <v>6527</v>
      </c>
      <c r="F618" s="14" t="s">
        <v>1372</v>
      </c>
      <c r="G618" s="14" t="s">
        <v>3</v>
      </c>
      <c r="H618" s="14" t="s">
        <v>6528</v>
      </c>
      <c r="I618" s="14" t="s">
        <v>1373</v>
      </c>
      <c r="J618" s="14" t="s">
        <v>60</v>
      </c>
      <c r="K618" s="14" t="s">
        <v>60</v>
      </c>
      <c r="L618" s="14" t="s">
        <v>60</v>
      </c>
      <c r="M618" s="14" t="s">
        <v>1374</v>
      </c>
      <c r="N618" s="14" t="s">
        <v>60</v>
      </c>
      <c r="O618" s="14" t="s">
        <v>6529</v>
      </c>
      <c r="P618" s="14" t="s">
        <v>6530</v>
      </c>
      <c r="Q618" s="14" t="s">
        <v>1153</v>
      </c>
      <c r="R618" s="3" t="s">
        <v>4300</v>
      </c>
      <c r="S618" s="3">
        <f t="shared" si="30"/>
        <v>550</v>
      </c>
      <c r="T618" s="3">
        <f t="shared" si="31"/>
        <v>15950</v>
      </c>
      <c r="U618" s="3" t="s">
        <v>60</v>
      </c>
      <c r="V618" s="14" t="s">
        <v>6</v>
      </c>
      <c r="W618" s="14" t="s">
        <v>6349</v>
      </c>
      <c r="X618" s="14" t="s">
        <v>60</v>
      </c>
    </row>
    <row r="619" spans="1:24" ht="15" x14ac:dyDescent="0.3">
      <c r="A619" s="3">
        <v>27</v>
      </c>
      <c r="B619" s="3" t="s">
        <v>6531</v>
      </c>
      <c r="C619" s="14" t="s">
        <v>0</v>
      </c>
      <c r="D619" s="14" t="s">
        <v>1375</v>
      </c>
      <c r="E619" s="14" t="s">
        <v>6532</v>
      </c>
      <c r="F619" s="14" t="s">
        <v>1376</v>
      </c>
      <c r="G619" s="14" t="s">
        <v>3</v>
      </c>
      <c r="H619" s="14" t="s">
        <v>6533</v>
      </c>
      <c r="I619" s="14" t="s">
        <v>1377</v>
      </c>
      <c r="J619" s="14" t="s">
        <v>60</v>
      </c>
      <c r="K619" s="14" t="s">
        <v>60</v>
      </c>
      <c r="L619" s="14" t="s">
        <v>60</v>
      </c>
      <c r="M619" s="14" t="s">
        <v>6534</v>
      </c>
      <c r="N619" s="14" t="s">
        <v>60</v>
      </c>
      <c r="O619" s="14" t="s">
        <v>6535</v>
      </c>
      <c r="P619" s="14" t="s">
        <v>6536</v>
      </c>
      <c r="Q619" s="14" t="s">
        <v>1153</v>
      </c>
      <c r="R619" s="3" t="s">
        <v>4300</v>
      </c>
      <c r="S619" s="3">
        <f t="shared" si="30"/>
        <v>550</v>
      </c>
      <c r="T619" s="3">
        <f t="shared" si="31"/>
        <v>15950</v>
      </c>
      <c r="U619" s="3" t="s">
        <v>60</v>
      </c>
      <c r="V619" s="14" t="s">
        <v>6</v>
      </c>
      <c r="W619" s="14" t="s">
        <v>6349</v>
      </c>
      <c r="X619" s="14" t="s">
        <v>60</v>
      </c>
    </row>
    <row r="620" spans="1:24" ht="15" x14ac:dyDescent="0.3">
      <c r="A620" s="3">
        <v>28</v>
      </c>
      <c r="B620" s="3" t="s">
        <v>6537</v>
      </c>
      <c r="C620" s="14" t="s">
        <v>0</v>
      </c>
      <c r="D620" s="14" t="s">
        <v>1378</v>
      </c>
      <c r="E620" s="14" t="s">
        <v>6538</v>
      </c>
      <c r="F620" s="14" t="s">
        <v>1379</v>
      </c>
      <c r="G620" s="14" t="s">
        <v>3</v>
      </c>
      <c r="H620" s="14" t="s">
        <v>6539</v>
      </c>
      <c r="I620" s="14" t="s">
        <v>1380</v>
      </c>
      <c r="J620" s="14" t="s">
        <v>228</v>
      </c>
      <c r="K620" s="14" t="s">
        <v>1152</v>
      </c>
      <c r="L620" s="14" t="s">
        <v>60</v>
      </c>
      <c r="M620" s="14" t="s">
        <v>6540</v>
      </c>
      <c r="N620" s="14" t="s">
        <v>60</v>
      </c>
      <c r="O620" s="14" t="s">
        <v>193</v>
      </c>
      <c r="P620" s="14" t="s">
        <v>6541</v>
      </c>
      <c r="Q620" s="14" t="s">
        <v>11</v>
      </c>
      <c r="R620" s="3" t="s">
        <v>5244</v>
      </c>
      <c r="S620" s="3">
        <f t="shared" si="30"/>
        <v>550</v>
      </c>
      <c r="T620" s="3">
        <f t="shared" si="31"/>
        <v>14850</v>
      </c>
      <c r="U620" s="3" t="s">
        <v>60</v>
      </c>
      <c r="V620" s="14" t="s">
        <v>6</v>
      </c>
      <c r="W620" s="14" t="s">
        <v>6349</v>
      </c>
      <c r="X620" s="14" t="s">
        <v>60</v>
      </c>
    </row>
    <row r="621" spans="1:24" ht="15" x14ac:dyDescent="0.3">
      <c r="A621" s="3">
        <v>29</v>
      </c>
      <c r="B621" s="3" t="s">
        <v>6542</v>
      </c>
      <c r="C621" s="14" t="s">
        <v>0</v>
      </c>
      <c r="D621" s="14" t="s">
        <v>1381</v>
      </c>
      <c r="E621" s="14" t="s">
        <v>6543</v>
      </c>
      <c r="F621" s="14" t="s">
        <v>1382</v>
      </c>
      <c r="G621" s="14" t="s">
        <v>3</v>
      </c>
      <c r="H621" s="14" t="s">
        <v>6544</v>
      </c>
      <c r="I621" s="14" t="s">
        <v>1383</v>
      </c>
      <c r="J621" s="14" t="s">
        <v>228</v>
      </c>
      <c r="K621" s="14" t="s">
        <v>1152</v>
      </c>
      <c r="L621" s="14" t="s">
        <v>60</v>
      </c>
      <c r="M621" s="14" t="s">
        <v>1384</v>
      </c>
      <c r="N621" s="14" t="s">
        <v>60</v>
      </c>
      <c r="O621" s="14" t="s">
        <v>193</v>
      </c>
      <c r="P621" s="14" t="s">
        <v>6545</v>
      </c>
      <c r="Q621" s="14" t="s">
        <v>11</v>
      </c>
      <c r="R621" s="3" t="s">
        <v>5244</v>
      </c>
      <c r="S621" s="3">
        <f t="shared" si="30"/>
        <v>550</v>
      </c>
      <c r="T621" s="3">
        <f t="shared" si="31"/>
        <v>14850</v>
      </c>
      <c r="U621" s="3" t="s">
        <v>60</v>
      </c>
      <c r="V621" s="14" t="s">
        <v>6</v>
      </c>
      <c r="W621" s="14" t="s">
        <v>6349</v>
      </c>
      <c r="X621" s="14" t="s">
        <v>60</v>
      </c>
    </row>
    <row r="622" spans="1:24" ht="15" x14ac:dyDescent="0.3">
      <c r="A622" s="3">
        <v>30</v>
      </c>
      <c r="B622" s="3" t="s">
        <v>6546</v>
      </c>
      <c r="C622" s="14" t="s">
        <v>0</v>
      </c>
      <c r="D622" s="14" t="s">
        <v>1385</v>
      </c>
      <c r="E622" s="14" t="s">
        <v>6547</v>
      </c>
      <c r="F622" s="14" t="s">
        <v>1386</v>
      </c>
      <c r="G622" s="14" t="s">
        <v>3</v>
      </c>
      <c r="H622" s="14" t="s">
        <v>6548</v>
      </c>
      <c r="I622" s="14" t="s">
        <v>1387</v>
      </c>
      <c r="J622" s="14" t="s">
        <v>60</v>
      </c>
      <c r="K622" s="14" t="s">
        <v>1152</v>
      </c>
      <c r="L622" s="14" t="s">
        <v>60</v>
      </c>
      <c r="M622" s="14" t="s">
        <v>6549</v>
      </c>
      <c r="N622" s="14" t="s">
        <v>60</v>
      </c>
      <c r="O622" s="14" t="s">
        <v>6524</v>
      </c>
      <c r="P622" s="14" t="s">
        <v>6550</v>
      </c>
      <c r="Q622" s="14" t="s">
        <v>1153</v>
      </c>
      <c r="R622" s="3" t="s">
        <v>4316</v>
      </c>
      <c r="S622" s="3">
        <f t="shared" si="30"/>
        <v>550</v>
      </c>
      <c r="T622" s="3">
        <f t="shared" si="31"/>
        <v>13750</v>
      </c>
      <c r="U622" s="3" t="s">
        <v>60</v>
      </c>
      <c r="V622" s="14" t="s">
        <v>6</v>
      </c>
      <c r="W622" s="14" t="s">
        <v>6349</v>
      </c>
      <c r="X622" s="14" t="s">
        <v>60</v>
      </c>
    </row>
    <row r="623" spans="1:24" ht="15" x14ac:dyDescent="0.3">
      <c r="A623" s="3">
        <v>31</v>
      </c>
      <c r="B623" s="3" t="s">
        <v>6551</v>
      </c>
      <c r="C623" s="14" t="s">
        <v>2079</v>
      </c>
      <c r="D623" s="14" t="s">
        <v>1388</v>
      </c>
      <c r="E623" s="14" t="s">
        <v>6552</v>
      </c>
      <c r="F623" s="14" t="s">
        <v>1389</v>
      </c>
      <c r="G623" s="14" t="s">
        <v>3</v>
      </c>
      <c r="H623" s="14" t="s">
        <v>1390</v>
      </c>
      <c r="I623" s="14" t="s">
        <v>1391</v>
      </c>
      <c r="J623" s="14" t="s">
        <v>60</v>
      </c>
      <c r="K623" s="14" t="s">
        <v>60</v>
      </c>
      <c r="L623" s="14" t="s">
        <v>60</v>
      </c>
      <c r="M623" s="14" t="s">
        <v>6553</v>
      </c>
      <c r="N623" s="14" t="s">
        <v>60</v>
      </c>
      <c r="O623" s="14" t="s">
        <v>6554</v>
      </c>
      <c r="P623" s="14" t="s">
        <v>6555</v>
      </c>
      <c r="Q623" s="14" t="s">
        <v>1153</v>
      </c>
      <c r="R623" s="3" t="s">
        <v>4170</v>
      </c>
      <c r="S623" s="3">
        <f t="shared" si="30"/>
        <v>640</v>
      </c>
      <c r="T623" s="3">
        <f t="shared" si="31"/>
        <v>19840</v>
      </c>
      <c r="U623" s="3" t="s">
        <v>60</v>
      </c>
      <c r="V623" s="14" t="s">
        <v>6</v>
      </c>
      <c r="W623" s="14" t="s">
        <v>6349</v>
      </c>
      <c r="X623" s="14" t="s">
        <v>60</v>
      </c>
    </row>
    <row r="624" spans="1:24" ht="15" x14ac:dyDescent="0.3">
      <c r="A624" s="3">
        <v>32</v>
      </c>
      <c r="B624" s="3" t="s">
        <v>6556</v>
      </c>
      <c r="C624" s="14" t="s">
        <v>0</v>
      </c>
      <c r="D624" s="14" t="s">
        <v>1392</v>
      </c>
      <c r="E624" s="14" t="s">
        <v>6557</v>
      </c>
      <c r="F624" s="14" t="s">
        <v>1393</v>
      </c>
      <c r="G624" s="14" t="s">
        <v>3</v>
      </c>
      <c r="H624" s="14" t="s">
        <v>6558</v>
      </c>
      <c r="I624" s="14" t="s">
        <v>1394</v>
      </c>
      <c r="J624" s="14" t="s">
        <v>228</v>
      </c>
      <c r="K624" s="14" t="s">
        <v>60</v>
      </c>
      <c r="L624" s="14" t="s">
        <v>60</v>
      </c>
      <c r="M624" s="14" t="s">
        <v>6559</v>
      </c>
      <c r="N624" s="14" t="s">
        <v>60</v>
      </c>
      <c r="O624" s="14" t="s">
        <v>193</v>
      </c>
      <c r="P624" s="14" t="s">
        <v>6560</v>
      </c>
      <c r="Q624" s="14" t="s">
        <v>11</v>
      </c>
      <c r="R624" s="3" t="s">
        <v>4300</v>
      </c>
      <c r="S624" s="3">
        <f t="shared" si="30"/>
        <v>550</v>
      </c>
      <c r="T624" s="3">
        <f t="shared" si="31"/>
        <v>15950</v>
      </c>
      <c r="U624" s="3" t="s">
        <v>60</v>
      </c>
      <c r="V624" s="14" t="s">
        <v>6</v>
      </c>
      <c r="W624" s="14" t="s">
        <v>6349</v>
      </c>
      <c r="X624" s="14" t="s">
        <v>60</v>
      </c>
    </row>
    <row r="625" spans="1:24" ht="15" x14ac:dyDescent="0.3">
      <c r="A625" s="3">
        <v>33</v>
      </c>
      <c r="B625" s="3" t="s">
        <v>6561</v>
      </c>
      <c r="C625" s="14" t="s">
        <v>0</v>
      </c>
      <c r="D625" s="14" t="s">
        <v>1375</v>
      </c>
      <c r="E625" s="14" t="s">
        <v>6562</v>
      </c>
      <c r="F625" s="14" t="s">
        <v>1398</v>
      </c>
      <c r="G625" s="14" t="s">
        <v>3</v>
      </c>
      <c r="H625" s="14" t="s">
        <v>6563</v>
      </c>
      <c r="I625" s="14" t="s">
        <v>1399</v>
      </c>
      <c r="J625" s="14" t="s">
        <v>60</v>
      </c>
      <c r="K625" s="14" t="s">
        <v>60</v>
      </c>
      <c r="L625" s="14" t="s">
        <v>60</v>
      </c>
      <c r="M625" s="14" t="s">
        <v>1400</v>
      </c>
      <c r="N625" s="14" t="s">
        <v>60</v>
      </c>
      <c r="O625" s="14" t="s">
        <v>193</v>
      </c>
      <c r="P625" s="14" t="s">
        <v>6564</v>
      </c>
      <c r="Q625" s="14" t="s">
        <v>11</v>
      </c>
      <c r="R625" s="3" t="s">
        <v>5244</v>
      </c>
      <c r="S625" s="3">
        <f t="shared" si="30"/>
        <v>550</v>
      </c>
      <c r="T625" s="3">
        <f t="shared" si="31"/>
        <v>14850</v>
      </c>
      <c r="U625" s="3" t="s">
        <v>60</v>
      </c>
      <c r="V625" s="14" t="s">
        <v>6</v>
      </c>
      <c r="W625" s="14" t="s">
        <v>6349</v>
      </c>
      <c r="X625" s="14" t="s">
        <v>60</v>
      </c>
    </row>
    <row r="626" spans="1:24" ht="15" x14ac:dyDescent="0.3">
      <c r="A626" s="3">
        <v>34</v>
      </c>
      <c r="B626" s="3" t="s">
        <v>6565</v>
      </c>
      <c r="C626" s="14" t="s">
        <v>0</v>
      </c>
      <c r="D626" s="14" t="s">
        <v>1401</v>
      </c>
      <c r="E626" s="14" t="s">
        <v>6566</v>
      </c>
      <c r="F626" s="14" t="s">
        <v>1154</v>
      </c>
      <c r="G626" s="14" t="s">
        <v>3</v>
      </c>
      <c r="H626" s="14" t="s">
        <v>6567</v>
      </c>
      <c r="I626" s="14" t="s">
        <v>1402</v>
      </c>
      <c r="J626" s="14" t="s">
        <v>60</v>
      </c>
      <c r="K626" s="14" t="s">
        <v>60</v>
      </c>
      <c r="L626" s="14" t="s">
        <v>60</v>
      </c>
      <c r="M626" s="14" t="s">
        <v>60</v>
      </c>
      <c r="N626" s="14" t="s">
        <v>60</v>
      </c>
      <c r="O626" s="14" t="s">
        <v>1403</v>
      </c>
      <c r="P626" s="14" t="s">
        <v>6568</v>
      </c>
      <c r="Q626" s="14" t="s">
        <v>11</v>
      </c>
      <c r="R626" s="3" t="s">
        <v>4516</v>
      </c>
      <c r="S626" s="3">
        <f t="shared" si="30"/>
        <v>550</v>
      </c>
      <c r="T626" s="3">
        <f t="shared" si="31"/>
        <v>12650</v>
      </c>
      <c r="U626" s="3" t="s">
        <v>60</v>
      </c>
      <c r="V626" s="14" t="s">
        <v>6</v>
      </c>
      <c r="W626" s="14" t="s">
        <v>6569</v>
      </c>
      <c r="X626" s="14" t="s">
        <v>60</v>
      </c>
    </row>
    <row r="627" spans="1:24" ht="15" x14ac:dyDescent="0.3">
      <c r="A627" s="3">
        <v>35</v>
      </c>
      <c r="B627" s="3" t="s">
        <v>6570</v>
      </c>
      <c r="C627" s="14" t="s">
        <v>0</v>
      </c>
      <c r="D627" s="14" t="s">
        <v>1404</v>
      </c>
      <c r="E627" s="14" t="s">
        <v>1405</v>
      </c>
      <c r="F627" s="14" t="s">
        <v>1406</v>
      </c>
      <c r="G627" s="14" t="s">
        <v>3</v>
      </c>
      <c r="H627" s="14" t="s">
        <v>6571</v>
      </c>
      <c r="I627" s="14" t="s">
        <v>1407</v>
      </c>
      <c r="J627" s="14" t="s">
        <v>60</v>
      </c>
      <c r="K627" s="14" t="s">
        <v>60</v>
      </c>
      <c r="L627" s="14" t="s">
        <v>60</v>
      </c>
      <c r="M627" s="14" t="s">
        <v>1408</v>
      </c>
      <c r="N627" s="14" t="s">
        <v>60</v>
      </c>
      <c r="O627" s="14" t="s">
        <v>1403</v>
      </c>
      <c r="P627" s="14" t="s">
        <v>6572</v>
      </c>
      <c r="Q627" s="14" t="s">
        <v>11</v>
      </c>
      <c r="R627" s="3" t="s">
        <v>5222</v>
      </c>
      <c r="S627" s="3">
        <f t="shared" si="30"/>
        <v>550</v>
      </c>
      <c r="T627" s="3">
        <f t="shared" si="31"/>
        <v>14300</v>
      </c>
      <c r="U627" s="3" t="s">
        <v>60</v>
      </c>
      <c r="V627" s="14" t="s">
        <v>6</v>
      </c>
      <c r="W627" s="14" t="s">
        <v>6569</v>
      </c>
      <c r="X627" s="14" t="s">
        <v>60</v>
      </c>
    </row>
    <row r="628" spans="1:24" ht="15" x14ac:dyDescent="0.3">
      <c r="A628" s="3">
        <v>36</v>
      </c>
      <c r="B628" s="3" t="s">
        <v>6573</v>
      </c>
      <c r="C628" s="14" t="s">
        <v>0</v>
      </c>
      <c r="D628" s="14" t="s">
        <v>1409</v>
      </c>
      <c r="E628" s="14" t="s">
        <v>6574</v>
      </c>
      <c r="F628" s="14" t="s">
        <v>1410</v>
      </c>
      <c r="G628" s="14" t="s">
        <v>3</v>
      </c>
      <c r="H628" s="14" t="s">
        <v>6575</v>
      </c>
      <c r="I628" s="14" t="s">
        <v>1411</v>
      </c>
      <c r="J628" s="14" t="s">
        <v>60</v>
      </c>
      <c r="K628" s="14" t="s">
        <v>60</v>
      </c>
      <c r="L628" s="14" t="s">
        <v>60</v>
      </c>
      <c r="M628" s="14" t="s">
        <v>1412</v>
      </c>
      <c r="N628" s="14" t="s">
        <v>60</v>
      </c>
      <c r="O628" s="14" t="s">
        <v>454</v>
      </c>
      <c r="P628" s="14" t="s">
        <v>6576</v>
      </c>
      <c r="Q628" s="14" t="s">
        <v>11</v>
      </c>
      <c r="R628" s="3" t="s">
        <v>4381</v>
      </c>
      <c r="S628" s="3">
        <f t="shared" si="30"/>
        <v>550</v>
      </c>
      <c r="T628" s="3">
        <f t="shared" si="31"/>
        <v>15400</v>
      </c>
      <c r="U628" s="3" t="s">
        <v>60</v>
      </c>
      <c r="V628" s="14" t="s">
        <v>6</v>
      </c>
      <c r="W628" s="14" t="s">
        <v>6379</v>
      </c>
      <c r="X628" s="14" t="s">
        <v>60</v>
      </c>
    </row>
    <row r="629" spans="1:24" ht="15" x14ac:dyDescent="0.3">
      <c r="A629" s="3">
        <v>37</v>
      </c>
      <c r="B629" s="3" t="s">
        <v>6577</v>
      </c>
      <c r="C629" s="14" t="s">
        <v>0</v>
      </c>
      <c r="D629" s="14" t="s">
        <v>1484</v>
      </c>
      <c r="E629" s="14" t="s">
        <v>6578</v>
      </c>
      <c r="F629" s="14" t="s">
        <v>1395</v>
      </c>
      <c r="G629" s="14" t="s">
        <v>3</v>
      </c>
      <c r="H629" s="14" t="s">
        <v>6579</v>
      </c>
      <c r="I629" s="14" t="s">
        <v>1485</v>
      </c>
      <c r="J629" s="14" t="s">
        <v>60</v>
      </c>
      <c r="K629" s="14" t="s">
        <v>60</v>
      </c>
      <c r="L629" s="14" t="s">
        <v>60</v>
      </c>
      <c r="M629" s="14" t="s">
        <v>1486</v>
      </c>
      <c r="N629" s="14" t="s">
        <v>60</v>
      </c>
      <c r="O629" s="14" t="s">
        <v>454</v>
      </c>
      <c r="P629" s="14" t="s">
        <v>6580</v>
      </c>
      <c r="Q629" s="14" t="s">
        <v>11</v>
      </c>
      <c r="R629" s="3" t="s">
        <v>4300</v>
      </c>
      <c r="S629" s="3">
        <f t="shared" si="30"/>
        <v>550</v>
      </c>
      <c r="T629" s="3">
        <f t="shared" si="31"/>
        <v>15950</v>
      </c>
      <c r="U629" s="3" t="s">
        <v>60</v>
      </c>
      <c r="V629" s="14" t="s">
        <v>6</v>
      </c>
      <c r="W629" s="14" t="s">
        <v>6379</v>
      </c>
      <c r="X629" s="14" t="s">
        <v>60</v>
      </c>
    </row>
    <row r="630" spans="1:24" ht="15" x14ac:dyDescent="0.3">
      <c r="A630" s="3">
        <v>38</v>
      </c>
      <c r="B630" s="3" t="s">
        <v>6581</v>
      </c>
      <c r="C630" s="14" t="s">
        <v>0</v>
      </c>
      <c r="D630" s="14" t="s">
        <v>3295</v>
      </c>
      <c r="E630" s="14" t="s">
        <v>6582</v>
      </c>
      <c r="F630" s="14" t="s">
        <v>3296</v>
      </c>
      <c r="G630" s="14" t="s">
        <v>3</v>
      </c>
      <c r="H630" s="14" t="s">
        <v>6583</v>
      </c>
      <c r="I630" s="14" t="s">
        <v>3353</v>
      </c>
      <c r="J630" s="14" t="s">
        <v>60</v>
      </c>
      <c r="K630" s="14" t="s">
        <v>60</v>
      </c>
      <c r="L630" s="14" t="s">
        <v>60</v>
      </c>
      <c r="M630" s="14" t="s">
        <v>60</v>
      </c>
      <c r="N630" s="14" t="s">
        <v>60</v>
      </c>
      <c r="O630" s="14" t="s">
        <v>60</v>
      </c>
      <c r="P630" s="14" t="s">
        <v>6584</v>
      </c>
      <c r="Q630" s="14" t="s">
        <v>11</v>
      </c>
      <c r="R630" s="3" t="s">
        <v>4170</v>
      </c>
      <c r="S630" s="3">
        <f t="shared" si="30"/>
        <v>550</v>
      </c>
      <c r="T630" s="3">
        <f t="shared" si="31"/>
        <v>17050</v>
      </c>
      <c r="U630" s="3" t="s">
        <v>60</v>
      </c>
      <c r="V630" s="14" t="s">
        <v>6</v>
      </c>
      <c r="W630" s="14" t="s">
        <v>5514</v>
      </c>
      <c r="X630" s="14" t="s">
        <v>60</v>
      </c>
    </row>
    <row r="631" spans="1:24" ht="15" x14ac:dyDescent="0.3">
      <c r="A631" s="3">
        <v>39</v>
      </c>
      <c r="B631" s="3" t="s">
        <v>6585</v>
      </c>
      <c r="C631" s="14" t="s">
        <v>0</v>
      </c>
      <c r="D631" s="14" t="s">
        <v>3988</v>
      </c>
      <c r="E631" s="14" t="s">
        <v>6586</v>
      </c>
      <c r="F631" s="14" t="s">
        <v>3989</v>
      </c>
      <c r="G631" s="14" t="s">
        <v>3</v>
      </c>
      <c r="H631" s="14" t="s">
        <v>6587</v>
      </c>
      <c r="I631" s="14" t="s">
        <v>3990</v>
      </c>
      <c r="J631" s="14" t="s">
        <v>60</v>
      </c>
      <c r="K631" s="14" t="s">
        <v>60</v>
      </c>
      <c r="L631" s="14" t="s">
        <v>60</v>
      </c>
      <c r="M631" s="14" t="s">
        <v>3991</v>
      </c>
      <c r="N631" s="14" t="s">
        <v>60</v>
      </c>
      <c r="O631" s="14" t="s">
        <v>3910</v>
      </c>
      <c r="P631" s="14" t="s">
        <v>6588</v>
      </c>
      <c r="Q631" s="14" t="s">
        <v>11</v>
      </c>
      <c r="R631" s="3" t="s">
        <v>5222</v>
      </c>
      <c r="S631" s="3">
        <f t="shared" si="30"/>
        <v>550</v>
      </c>
      <c r="T631" s="3">
        <f t="shared" si="31"/>
        <v>14300</v>
      </c>
      <c r="U631" s="3" t="s">
        <v>60</v>
      </c>
      <c r="V631" s="14" t="s">
        <v>6</v>
      </c>
      <c r="W631" s="14" t="s">
        <v>5755</v>
      </c>
      <c r="X631" s="14" t="s">
        <v>60</v>
      </c>
    </row>
    <row r="632" spans="1:24" ht="15" x14ac:dyDescent="0.3">
      <c r="A632" s="3">
        <v>40</v>
      </c>
      <c r="B632" s="3" t="s">
        <v>6589</v>
      </c>
      <c r="C632" s="14" t="s">
        <v>0</v>
      </c>
      <c r="D632" s="14" t="s">
        <v>1362</v>
      </c>
      <c r="E632" s="14" t="s">
        <v>6590</v>
      </c>
      <c r="F632" s="14" t="s">
        <v>1363</v>
      </c>
      <c r="G632" s="14" t="s">
        <v>3</v>
      </c>
      <c r="H632" s="14" t="s">
        <v>6591</v>
      </c>
      <c r="I632" s="14" t="s">
        <v>1364</v>
      </c>
      <c r="J632" s="14" t="s">
        <v>60</v>
      </c>
      <c r="K632" s="14" t="s">
        <v>60</v>
      </c>
      <c r="L632" s="14" t="s">
        <v>60</v>
      </c>
      <c r="M632" s="14" t="s">
        <v>6592</v>
      </c>
      <c r="N632" s="14" t="s">
        <v>60</v>
      </c>
      <c r="O632" s="14" t="s">
        <v>193</v>
      </c>
      <c r="P632" s="14" t="s">
        <v>6593</v>
      </c>
      <c r="Q632" s="14" t="s">
        <v>1153</v>
      </c>
      <c r="R632" s="3" t="s">
        <v>4316</v>
      </c>
      <c r="S632" s="3">
        <f t="shared" si="30"/>
        <v>550</v>
      </c>
      <c r="T632" s="3">
        <f t="shared" si="31"/>
        <v>13750</v>
      </c>
      <c r="U632" s="3" t="s">
        <v>6594</v>
      </c>
      <c r="V632" s="14" t="s">
        <v>6</v>
      </c>
      <c r="W632" s="14" t="s">
        <v>6349</v>
      </c>
      <c r="X632" s="14" t="s">
        <v>60</v>
      </c>
    </row>
    <row r="633" spans="1:24" ht="15.6" x14ac:dyDescent="0.3">
      <c r="A633" s="26" t="s">
        <v>60</v>
      </c>
      <c r="B633" s="26" t="s">
        <v>60</v>
      </c>
      <c r="C633" s="27" t="s">
        <v>60</v>
      </c>
      <c r="D633" s="27" t="s">
        <v>60</v>
      </c>
      <c r="E633" s="27" t="s">
        <v>60</v>
      </c>
      <c r="F633" s="27" t="s">
        <v>60</v>
      </c>
      <c r="G633" s="27" t="s">
        <v>60</v>
      </c>
      <c r="H633" s="27" t="s">
        <v>60</v>
      </c>
      <c r="I633" s="27" t="s">
        <v>60</v>
      </c>
      <c r="J633" s="27" t="s">
        <v>60</v>
      </c>
      <c r="K633" s="27" t="s">
        <v>60</v>
      </c>
      <c r="L633" s="27" t="s">
        <v>60</v>
      </c>
      <c r="M633" s="27" t="s">
        <v>60</v>
      </c>
      <c r="N633" s="27" t="s">
        <v>60</v>
      </c>
      <c r="O633" s="27" t="s">
        <v>60</v>
      </c>
      <c r="P633" s="27" t="s">
        <v>60</v>
      </c>
      <c r="Q633" s="27" t="s">
        <v>60</v>
      </c>
      <c r="R633" s="35" t="s">
        <v>2009</v>
      </c>
      <c r="S633" s="35" t="s">
        <v>60</v>
      </c>
      <c r="T633" s="26">
        <f>SUM(T592:T632)</f>
        <v>669500</v>
      </c>
      <c r="U633" s="26" t="s">
        <v>6595</v>
      </c>
      <c r="V633" s="27" t="s">
        <v>60</v>
      </c>
      <c r="W633" s="27" t="s">
        <v>60</v>
      </c>
      <c r="X633" s="27" t="s">
        <v>60</v>
      </c>
    </row>
    <row r="634" spans="1:24" ht="15.6" x14ac:dyDescent="0.3">
      <c r="A634" s="34" t="s">
        <v>6596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 spans="1:24" ht="109.2" x14ac:dyDescent="0.3">
      <c r="A635" s="23" t="s">
        <v>42</v>
      </c>
      <c r="B635" s="23" t="s">
        <v>43</v>
      </c>
      <c r="C635" s="24" t="s">
        <v>44</v>
      </c>
      <c r="D635" s="24" t="s">
        <v>4154</v>
      </c>
      <c r="E635" s="24" t="s">
        <v>4155</v>
      </c>
      <c r="F635" s="24" t="s">
        <v>4156</v>
      </c>
      <c r="G635" s="24" t="s">
        <v>45</v>
      </c>
      <c r="H635" s="24" t="s">
        <v>4157</v>
      </c>
      <c r="I635" s="24" t="s">
        <v>46</v>
      </c>
      <c r="J635" s="24" t="s">
        <v>4158</v>
      </c>
      <c r="K635" s="24" t="s">
        <v>4159</v>
      </c>
      <c r="L635" s="24" t="s">
        <v>4160</v>
      </c>
      <c r="M635" s="24" t="s">
        <v>4161</v>
      </c>
      <c r="N635" s="24" t="s">
        <v>47</v>
      </c>
      <c r="O635" s="24" t="s">
        <v>48</v>
      </c>
      <c r="P635" s="24" t="s">
        <v>49</v>
      </c>
      <c r="Q635" s="24" t="s">
        <v>50</v>
      </c>
      <c r="R635" s="23" t="s">
        <v>4162</v>
      </c>
      <c r="S635" s="23" t="s">
        <v>4163</v>
      </c>
      <c r="T635" s="23" t="s">
        <v>4164</v>
      </c>
      <c r="U635" s="23" t="s">
        <v>4165</v>
      </c>
      <c r="V635" s="24" t="s">
        <v>51</v>
      </c>
      <c r="W635" s="24" t="s">
        <v>52</v>
      </c>
      <c r="X635" s="24" t="s">
        <v>53</v>
      </c>
    </row>
    <row r="636" spans="1:24" ht="15" x14ac:dyDescent="0.3">
      <c r="A636" s="3">
        <v>1</v>
      </c>
      <c r="B636" s="3" t="s">
        <v>6597</v>
      </c>
      <c r="C636" s="14" t="s">
        <v>0</v>
      </c>
      <c r="D636" s="14" t="s">
        <v>1413</v>
      </c>
      <c r="E636" s="14" t="s">
        <v>6598</v>
      </c>
      <c r="F636" s="14" t="s">
        <v>1363</v>
      </c>
      <c r="G636" s="14" t="s">
        <v>3</v>
      </c>
      <c r="H636" s="14" t="s">
        <v>6599</v>
      </c>
      <c r="I636" s="14" t="s">
        <v>1414</v>
      </c>
      <c r="J636" s="14" t="s">
        <v>60</v>
      </c>
      <c r="K636" s="14" t="s">
        <v>60</v>
      </c>
      <c r="L636" s="14" t="s">
        <v>60</v>
      </c>
      <c r="M636" s="14" t="s">
        <v>1415</v>
      </c>
      <c r="N636" s="14" t="s">
        <v>60</v>
      </c>
      <c r="O636" s="14" t="s">
        <v>454</v>
      </c>
      <c r="P636" s="14" t="s">
        <v>6600</v>
      </c>
      <c r="Q636" s="14" t="s">
        <v>11</v>
      </c>
      <c r="R636" s="3" t="s">
        <v>4300</v>
      </c>
      <c r="S636" s="3">
        <f t="shared" ref="S636:S665" si="32">IF(RIGHT(C636,3)="MAZ",550,IF(RIGHT(C636,4)="MATE",570,IF(RIGHT(C636,7)="SKD-III",640,IF(RIGHT(C636,6)="SKD-II",770,IF(RIGHT(C636,5)="SKD-I",900,IF(RIGHT(C636,5)="CPDVR",770,""))))))</f>
        <v>550</v>
      </c>
      <c r="T636" s="3">
        <f t="shared" ref="T636:T665" si="33">R636*S636</f>
        <v>15950</v>
      </c>
      <c r="U636" s="3" t="s">
        <v>60</v>
      </c>
      <c r="V636" s="14" t="s">
        <v>6</v>
      </c>
      <c r="W636" s="14" t="s">
        <v>6379</v>
      </c>
      <c r="X636" s="14" t="s">
        <v>60</v>
      </c>
    </row>
    <row r="637" spans="1:24" ht="15" x14ac:dyDescent="0.3">
      <c r="A637" s="3">
        <v>2</v>
      </c>
      <c r="B637" s="3" t="s">
        <v>6601</v>
      </c>
      <c r="C637" s="14" t="s">
        <v>0</v>
      </c>
      <c r="D637" s="14" t="s">
        <v>1416</v>
      </c>
      <c r="E637" s="14" t="s">
        <v>6602</v>
      </c>
      <c r="F637" s="14" t="s">
        <v>1417</v>
      </c>
      <c r="G637" s="14" t="s">
        <v>3</v>
      </c>
      <c r="H637" s="14" t="s">
        <v>6603</v>
      </c>
      <c r="I637" s="14" t="s">
        <v>1418</v>
      </c>
      <c r="J637" s="14" t="s">
        <v>60</v>
      </c>
      <c r="K637" s="14" t="s">
        <v>60</v>
      </c>
      <c r="L637" s="14" t="s">
        <v>60</v>
      </c>
      <c r="M637" s="14" t="s">
        <v>1419</v>
      </c>
      <c r="N637" s="14" t="s">
        <v>60</v>
      </c>
      <c r="O637" s="14" t="s">
        <v>454</v>
      </c>
      <c r="P637" s="14" t="s">
        <v>6604</v>
      </c>
      <c r="Q637" s="14" t="s">
        <v>1153</v>
      </c>
      <c r="R637" s="3" t="s">
        <v>4381</v>
      </c>
      <c r="S637" s="3">
        <f t="shared" si="32"/>
        <v>550</v>
      </c>
      <c r="T637" s="3">
        <f t="shared" si="33"/>
        <v>15400</v>
      </c>
      <c r="U637" s="3" t="s">
        <v>60</v>
      </c>
      <c r="V637" s="14" t="s">
        <v>6</v>
      </c>
      <c r="W637" s="14" t="s">
        <v>6379</v>
      </c>
      <c r="X637" s="14" t="s">
        <v>60</v>
      </c>
    </row>
    <row r="638" spans="1:24" ht="15" x14ac:dyDescent="0.3">
      <c r="A638" s="3">
        <v>3</v>
      </c>
      <c r="B638" s="3" t="s">
        <v>6605</v>
      </c>
      <c r="C638" s="14" t="s">
        <v>0</v>
      </c>
      <c r="D638" s="14" t="s">
        <v>1426</v>
      </c>
      <c r="E638" s="14" t="s">
        <v>6606</v>
      </c>
      <c r="F638" s="14" t="s">
        <v>1427</v>
      </c>
      <c r="G638" s="14" t="s">
        <v>3</v>
      </c>
      <c r="H638" s="14" t="s">
        <v>6607</v>
      </c>
      <c r="I638" s="14" t="s">
        <v>1428</v>
      </c>
      <c r="J638" s="14" t="s">
        <v>60</v>
      </c>
      <c r="K638" s="14" t="s">
        <v>60</v>
      </c>
      <c r="L638" s="14" t="s">
        <v>60</v>
      </c>
      <c r="M638" s="14" t="s">
        <v>1429</v>
      </c>
      <c r="N638" s="14" t="s">
        <v>60</v>
      </c>
      <c r="O638" s="14" t="s">
        <v>454</v>
      </c>
      <c r="P638" s="14" t="s">
        <v>6608</v>
      </c>
      <c r="Q638" s="14" t="s">
        <v>1153</v>
      </c>
      <c r="R638" s="3" t="s">
        <v>4316</v>
      </c>
      <c r="S638" s="3">
        <f t="shared" si="32"/>
        <v>550</v>
      </c>
      <c r="T638" s="3">
        <f t="shared" si="33"/>
        <v>13750</v>
      </c>
      <c r="U638" s="3" t="s">
        <v>60</v>
      </c>
      <c r="V638" s="14" t="s">
        <v>6</v>
      </c>
      <c r="W638" s="14" t="s">
        <v>6379</v>
      </c>
      <c r="X638" s="14" t="s">
        <v>60</v>
      </c>
    </row>
    <row r="639" spans="1:24" ht="15" x14ac:dyDescent="0.3">
      <c r="A639" s="3">
        <v>4</v>
      </c>
      <c r="B639" s="3" t="s">
        <v>6609</v>
      </c>
      <c r="C639" s="14" t="s">
        <v>0</v>
      </c>
      <c r="D639" s="14" t="s">
        <v>1430</v>
      </c>
      <c r="E639" s="14" t="s">
        <v>6610</v>
      </c>
      <c r="F639" s="14" t="s">
        <v>1369</v>
      </c>
      <c r="G639" s="14" t="s">
        <v>3</v>
      </c>
      <c r="H639" s="14" t="s">
        <v>6611</v>
      </c>
      <c r="I639" s="14" t="s">
        <v>1431</v>
      </c>
      <c r="J639" s="14" t="s">
        <v>60</v>
      </c>
      <c r="K639" s="14" t="s">
        <v>60</v>
      </c>
      <c r="L639" s="14" t="s">
        <v>60</v>
      </c>
      <c r="M639" s="14" t="s">
        <v>1432</v>
      </c>
      <c r="N639" s="14" t="s">
        <v>60</v>
      </c>
      <c r="O639" s="14" t="s">
        <v>454</v>
      </c>
      <c r="P639" s="14" t="s">
        <v>6612</v>
      </c>
      <c r="Q639" s="14" t="s">
        <v>1153</v>
      </c>
      <c r="R639" s="3" t="s">
        <v>5222</v>
      </c>
      <c r="S639" s="3">
        <f t="shared" si="32"/>
        <v>550</v>
      </c>
      <c r="T639" s="3">
        <f t="shared" si="33"/>
        <v>14300</v>
      </c>
      <c r="U639" s="3" t="s">
        <v>60</v>
      </c>
      <c r="V639" s="14" t="s">
        <v>6</v>
      </c>
      <c r="W639" s="14" t="s">
        <v>6379</v>
      </c>
      <c r="X639" s="14" t="s">
        <v>60</v>
      </c>
    </row>
    <row r="640" spans="1:24" ht="15" x14ac:dyDescent="0.3">
      <c r="A640" s="3">
        <v>5</v>
      </c>
      <c r="B640" s="3" t="s">
        <v>6613</v>
      </c>
      <c r="C640" s="14" t="s">
        <v>0</v>
      </c>
      <c r="D640" s="14" t="s">
        <v>1437</v>
      </c>
      <c r="E640" s="14" t="s">
        <v>6614</v>
      </c>
      <c r="F640" s="14" t="s">
        <v>1438</v>
      </c>
      <c r="G640" s="14" t="s">
        <v>3</v>
      </c>
      <c r="H640" s="14" t="s">
        <v>6615</v>
      </c>
      <c r="I640" s="14" t="s">
        <v>1439</v>
      </c>
      <c r="J640" s="14" t="s">
        <v>60</v>
      </c>
      <c r="K640" s="14" t="s">
        <v>60</v>
      </c>
      <c r="L640" s="14" t="s">
        <v>60</v>
      </c>
      <c r="M640" s="14" t="s">
        <v>60</v>
      </c>
      <c r="N640" s="14" t="s">
        <v>60</v>
      </c>
      <c r="O640" s="14" t="s">
        <v>454</v>
      </c>
      <c r="P640" s="14" t="s">
        <v>6616</v>
      </c>
      <c r="Q640" s="14" t="s">
        <v>11</v>
      </c>
      <c r="R640" s="3" t="s">
        <v>4300</v>
      </c>
      <c r="S640" s="3">
        <f t="shared" si="32"/>
        <v>550</v>
      </c>
      <c r="T640" s="3">
        <f t="shared" si="33"/>
        <v>15950</v>
      </c>
      <c r="U640" s="3" t="s">
        <v>60</v>
      </c>
      <c r="V640" s="14" t="s">
        <v>6</v>
      </c>
      <c r="W640" s="14" t="s">
        <v>6379</v>
      </c>
      <c r="X640" s="14" t="s">
        <v>60</v>
      </c>
    </row>
    <row r="641" spans="1:24" ht="15" x14ac:dyDescent="0.3">
      <c r="A641" s="3">
        <v>6</v>
      </c>
      <c r="B641" s="3" t="s">
        <v>6617</v>
      </c>
      <c r="C641" s="14" t="s">
        <v>0</v>
      </c>
      <c r="D641" s="14" t="s">
        <v>1440</v>
      </c>
      <c r="E641" s="14" t="s">
        <v>6618</v>
      </c>
      <c r="F641" s="14" t="s">
        <v>1441</v>
      </c>
      <c r="G641" s="14" t="s">
        <v>3</v>
      </c>
      <c r="H641" s="14" t="s">
        <v>6619</v>
      </c>
      <c r="I641" s="14" t="s">
        <v>1442</v>
      </c>
      <c r="J641" s="14" t="s">
        <v>60</v>
      </c>
      <c r="K641" s="14" t="s">
        <v>60</v>
      </c>
      <c r="L641" s="14" t="s">
        <v>60</v>
      </c>
      <c r="M641" s="14" t="s">
        <v>1443</v>
      </c>
      <c r="N641" s="14" t="s">
        <v>60</v>
      </c>
      <c r="O641" s="14" t="s">
        <v>454</v>
      </c>
      <c r="P641" s="14" t="s">
        <v>6620</v>
      </c>
      <c r="Q641" s="14" t="s">
        <v>11</v>
      </c>
      <c r="R641" s="3" t="s">
        <v>5244</v>
      </c>
      <c r="S641" s="3">
        <f t="shared" si="32"/>
        <v>550</v>
      </c>
      <c r="T641" s="3">
        <f t="shared" si="33"/>
        <v>14850</v>
      </c>
      <c r="U641" s="3" t="s">
        <v>60</v>
      </c>
      <c r="V641" s="14" t="s">
        <v>6</v>
      </c>
      <c r="W641" s="14" t="s">
        <v>6379</v>
      </c>
      <c r="X641" s="14" t="s">
        <v>60</v>
      </c>
    </row>
    <row r="642" spans="1:24" ht="15" x14ac:dyDescent="0.3">
      <c r="A642" s="3">
        <v>7</v>
      </c>
      <c r="B642" s="3" t="s">
        <v>6621</v>
      </c>
      <c r="C642" s="14" t="s">
        <v>0</v>
      </c>
      <c r="D642" s="14" t="s">
        <v>1444</v>
      </c>
      <c r="E642" s="14" t="s">
        <v>6622</v>
      </c>
      <c r="F642" s="14" t="s">
        <v>1445</v>
      </c>
      <c r="G642" s="14" t="s">
        <v>3</v>
      </c>
      <c r="H642" s="14" t="s">
        <v>6623</v>
      </c>
      <c r="I642" s="14" t="s">
        <v>1446</v>
      </c>
      <c r="J642" s="14" t="s">
        <v>60</v>
      </c>
      <c r="K642" s="14" t="s">
        <v>60</v>
      </c>
      <c r="L642" s="14" t="s">
        <v>60</v>
      </c>
      <c r="M642" s="14" t="s">
        <v>1447</v>
      </c>
      <c r="N642" s="14" t="s">
        <v>60</v>
      </c>
      <c r="O642" s="14" t="s">
        <v>454</v>
      </c>
      <c r="P642" s="14" t="s">
        <v>6624</v>
      </c>
      <c r="Q642" s="14" t="s">
        <v>11</v>
      </c>
      <c r="R642" s="3" t="s">
        <v>5244</v>
      </c>
      <c r="S642" s="3">
        <f t="shared" si="32"/>
        <v>550</v>
      </c>
      <c r="T642" s="3">
        <f t="shared" si="33"/>
        <v>14850</v>
      </c>
      <c r="U642" s="3" t="s">
        <v>60</v>
      </c>
      <c r="V642" s="14" t="s">
        <v>6</v>
      </c>
      <c r="W642" s="14" t="s">
        <v>6379</v>
      </c>
      <c r="X642" s="14" t="s">
        <v>60</v>
      </c>
    </row>
    <row r="643" spans="1:24" ht="15" x14ac:dyDescent="0.3">
      <c r="A643" s="3">
        <v>8</v>
      </c>
      <c r="B643" s="3" t="s">
        <v>6625</v>
      </c>
      <c r="C643" s="14" t="s">
        <v>0</v>
      </c>
      <c r="D643" s="14" t="s">
        <v>1448</v>
      </c>
      <c r="E643" s="14" t="s">
        <v>6626</v>
      </c>
      <c r="F643" s="14" t="s">
        <v>1449</v>
      </c>
      <c r="G643" s="14" t="s">
        <v>3</v>
      </c>
      <c r="H643" s="14" t="s">
        <v>6627</v>
      </c>
      <c r="I643" s="14" t="s">
        <v>1450</v>
      </c>
      <c r="J643" s="14" t="s">
        <v>60</v>
      </c>
      <c r="K643" s="14" t="s">
        <v>60</v>
      </c>
      <c r="L643" s="14" t="s">
        <v>60</v>
      </c>
      <c r="M643" s="14" t="s">
        <v>1451</v>
      </c>
      <c r="N643" s="14" t="s">
        <v>60</v>
      </c>
      <c r="O643" s="14" t="s">
        <v>454</v>
      </c>
      <c r="P643" s="14" t="s">
        <v>6628</v>
      </c>
      <c r="Q643" s="14" t="s">
        <v>11</v>
      </c>
      <c r="R643" s="3" t="s">
        <v>5222</v>
      </c>
      <c r="S643" s="3">
        <f t="shared" si="32"/>
        <v>550</v>
      </c>
      <c r="T643" s="3">
        <f t="shared" si="33"/>
        <v>14300</v>
      </c>
      <c r="U643" s="3" t="s">
        <v>60</v>
      </c>
      <c r="V643" s="14" t="s">
        <v>6</v>
      </c>
      <c r="W643" s="14" t="s">
        <v>6379</v>
      </c>
      <c r="X643" s="14" t="s">
        <v>60</v>
      </c>
    </row>
    <row r="644" spans="1:24" ht="15" x14ac:dyDescent="0.3">
      <c r="A644" s="3">
        <v>9</v>
      </c>
      <c r="B644" s="3" t="s">
        <v>6629</v>
      </c>
      <c r="C644" s="14" t="s">
        <v>0</v>
      </c>
      <c r="D644" s="14" t="s">
        <v>1452</v>
      </c>
      <c r="E644" s="14" t="s">
        <v>5435</v>
      </c>
      <c r="F644" s="14" t="s">
        <v>1453</v>
      </c>
      <c r="G644" s="14" t="s">
        <v>3</v>
      </c>
      <c r="H644" s="14" t="s">
        <v>6630</v>
      </c>
      <c r="I644" s="14" t="s">
        <v>1454</v>
      </c>
      <c r="J644" s="14" t="s">
        <v>60</v>
      </c>
      <c r="K644" s="14" t="s">
        <v>60</v>
      </c>
      <c r="L644" s="14" t="s">
        <v>60</v>
      </c>
      <c r="M644" s="14" t="s">
        <v>1455</v>
      </c>
      <c r="N644" s="14" t="s">
        <v>60</v>
      </c>
      <c r="O644" s="14" t="s">
        <v>454</v>
      </c>
      <c r="P644" s="14" t="s">
        <v>6631</v>
      </c>
      <c r="Q644" s="14" t="s">
        <v>11</v>
      </c>
      <c r="R644" s="3" t="s">
        <v>4300</v>
      </c>
      <c r="S644" s="3">
        <f t="shared" si="32"/>
        <v>550</v>
      </c>
      <c r="T644" s="3">
        <f t="shared" si="33"/>
        <v>15950</v>
      </c>
      <c r="U644" s="3" t="s">
        <v>60</v>
      </c>
      <c r="V644" s="14" t="s">
        <v>6</v>
      </c>
      <c r="W644" s="14" t="s">
        <v>6379</v>
      </c>
      <c r="X644" s="14" t="s">
        <v>60</v>
      </c>
    </row>
    <row r="645" spans="1:24" ht="15" x14ac:dyDescent="0.3">
      <c r="A645" s="3">
        <v>10</v>
      </c>
      <c r="B645" s="3" t="s">
        <v>6632</v>
      </c>
      <c r="C645" s="14" t="s">
        <v>0</v>
      </c>
      <c r="D645" s="14" t="s">
        <v>1456</v>
      </c>
      <c r="E645" s="14" t="s">
        <v>6633</v>
      </c>
      <c r="F645" s="14" t="s">
        <v>628</v>
      </c>
      <c r="G645" s="14" t="s">
        <v>3</v>
      </c>
      <c r="H645" s="14" t="s">
        <v>6634</v>
      </c>
      <c r="I645" s="14" t="s">
        <v>1457</v>
      </c>
      <c r="J645" s="14" t="s">
        <v>60</v>
      </c>
      <c r="K645" s="14" t="s">
        <v>60</v>
      </c>
      <c r="L645" s="14" t="s">
        <v>60</v>
      </c>
      <c r="M645" s="14" t="s">
        <v>1458</v>
      </c>
      <c r="N645" s="14" t="s">
        <v>60</v>
      </c>
      <c r="O645" s="14" t="s">
        <v>454</v>
      </c>
      <c r="P645" s="14" t="s">
        <v>6635</v>
      </c>
      <c r="Q645" s="14" t="s">
        <v>11</v>
      </c>
      <c r="R645" s="3" t="s">
        <v>4300</v>
      </c>
      <c r="S645" s="3">
        <f t="shared" si="32"/>
        <v>550</v>
      </c>
      <c r="T645" s="3">
        <f t="shared" si="33"/>
        <v>15950</v>
      </c>
      <c r="U645" s="3" t="s">
        <v>60</v>
      </c>
      <c r="V645" s="14" t="s">
        <v>6</v>
      </c>
      <c r="W645" s="14" t="s">
        <v>6379</v>
      </c>
      <c r="X645" s="14" t="s">
        <v>60</v>
      </c>
    </row>
    <row r="646" spans="1:24" ht="15" x14ac:dyDescent="0.3">
      <c r="A646" s="3">
        <v>11</v>
      </c>
      <c r="B646" s="3" t="s">
        <v>6636</v>
      </c>
      <c r="C646" s="14" t="s">
        <v>0</v>
      </c>
      <c r="D646" s="14" t="s">
        <v>1459</v>
      </c>
      <c r="E646" s="14" t="s">
        <v>6637</v>
      </c>
      <c r="F646" s="14" t="s">
        <v>1460</v>
      </c>
      <c r="G646" s="14" t="s">
        <v>3</v>
      </c>
      <c r="H646" s="14" t="s">
        <v>6638</v>
      </c>
      <c r="I646" s="14" t="s">
        <v>1461</v>
      </c>
      <c r="J646" s="14" t="s">
        <v>60</v>
      </c>
      <c r="K646" s="14" t="s">
        <v>60</v>
      </c>
      <c r="L646" s="14" t="s">
        <v>60</v>
      </c>
      <c r="M646" s="14" t="s">
        <v>1462</v>
      </c>
      <c r="N646" s="14" t="s">
        <v>60</v>
      </c>
      <c r="O646" s="14" t="s">
        <v>454</v>
      </c>
      <c r="P646" s="14" t="s">
        <v>6639</v>
      </c>
      <c r="Q646" s="14" t="s">
        <v>11</v>
      </c>
      <c r="R646" s="3" t="s">
        <v>4300</v>
      </c>
      <c r="S646" s="3">
        <f t="shared" si="32"/>
        <v>550</v>
      </c>
      <c r="T646" s="3">
        <f t="shared" si="33"/>
        <v>15950</v>
      </c>
      <c r="U646" s="3" t="s">
        <v>60</v>
      </c>
      <c r="V646" s="14" t="s">
        <v>6</v>
      </c>
      <c r="W646" s="14" t="s">
        <v>6379</v>
      </c>
      <c r="X646" s="14" t="s">
        <v>60</v>
      </c>
    </row>
    <row r="647" spans="1:24" ht="15" x14ac:dyDescent="0.3">
      <c r="A647" s="3">
        <v>12</v>
      </c>
      <c r="B647" s="3" t="s">
        <v>6640</v>
      </c>
      <c r="C647" s="14" t="s">
        <v>0</v>
      </c>
      <c r="D647" s="14" t="s">
        <v>1144</v>
      </c>
      <c r="E647" s="14" t="s">
        <v>6641</v>
      </c>
      <c r="F647" s="14" t="s">
        <v>1379</v>
      </c>
      <c r="G647" s="14" t="s">
        <v>3</v>
      </c>
      <c r="H647" s="14" t="s">
        <v>6642</v>
      </c>
      <c r="I647" s="14" t="s">
        <v>1463</v>
      </c>
      <c r="J647" s="14" t="s">
        <v>60</v>
      </c>
      <c r="K647" s="14" t="s">
        <v>60</v>
      </c>
      <c r="L647" s="14" t="s">
        <v>60</v>
      </c>
      <c r="M647" s="14" t="s">
        <v>1464</v>
      </c>
      <c r="N647" s="14" t="s">
        <v>60</v>
      </c>
      <c r="O647" s="14" t="s">
        <v>454</v>
      </c>
      <c r="P647" s="14" t="s">
        <v>6643</v>
      </c>
      <c r="Q647" s="14" t="s">
        <v>1153</v>
      </c>
      <c r="R647" s="3" t="s">
        <v>4300</v>
      </c>
      <c r="S647" s="3">
        <f t="shared" si="32"/>
        <v>550</v>
      </c>
      <c r="T647" s="3">
        <f t="shared" si="33"/>
        <v>15950</v>
      </c>
      <c r="U647" s="3" t="s">
        <v>60</v>
      </c>
      <c r="V647" s="14" t="s">
        <v>6</v>
      </c>
      <c r="W647" s="14" t="s">
        <v>6379</v>
      </c>
      <c r="X647" s="14" t="s">
        <v>60</v>
      </c>
    </row>
    <row r="648" spans="1:24" ht="15" x14ac:dyDescent="0.3">
      <c r="A648" s="3">
        <v>13</v>
      </c>
      <c r="B648" s="3" t="s">
        <v>6644</v>
      </c>
      <c r="C648" s="14" t="s">
        <v>0</v>
      </c>
      <c r="D648" s="14" t="s">
        <v>1465</v>
      </c>
      <c r="E648" s="14" t="s">
        <v>6645</v>
      </c>
      <c r="F648" s="14" t="s">
        <v>1466</v>
      </c>
      <c r="G648" s="14" t="s">
        <v>3</v>
      </c>
      <c r="H648" s="14" t="s">
        <v>6646</v>
      </c>
      <c r="I648" s="14" t="s">
        <v>1467</v>
      </c>
      <c r="J648" s="14" t="s">
        <v>60</v>
      </c>
      <c r="K648" s="14" t="s">
        <v>60</v>
      </c>
      <c r="L648" s="14" t="s">
        <v>60</v>
      </c>
      <c r="M648" s="14" t="s">
        <v>1468</v>
      </c>
      <c r="N648" s="14" t="s">
        <v>60</v>
      </c>
      <c r="O648" s="14" t="s">
        <v>454</v>
      </c>
      <c r="P648" s="14" t="s">
        <v>6647</v>
      </c>
      <c r="Q648" s="14" t="s">
        <v>1469</v>
      </c>
      <c r="R648" s="3" t="s">
        <v>4316</v>
      </c>
      <c r="S648" s="3">
        <f t="shared" si="32"/>
        <v>550</v>
      </c>
      <c r="T648" s="3">
        <f t="shared" si="33"/>
        <v>13750</v>
      </c>
      <c r="U648" s="3" t="s">
        <v>60</v>
      </c>
      <c r="V648" s="14" t="s">
        <v>6</v>
      </c>
      <c r="W648" s="14" t="s">
        <v>6379</v>
      </c>
      <c r="X648" s="14" t="s">
        <v>60</v>
      </c>
    </row>
    <row r="649" spans="1:24" ht="15" x14ac:dyDescent="0.3">
      <c r="A649" s="3">
        <v>14</v>
      </c>
      <c r="B649" s="3" t="s">
        <v>6648</v>
      </c>
      <c r="C649" s="14" t="s">
        <v>0</v>
      </c>
      <c r="D649" s="14" t="s">
        <v>3559</v>
      </c>
      <c r="E649" s="14" t="s">
        <v>6649</v>
      </c>
      <c r="F649" s="14" t="s">
        <v>3561</v>
      </c>
      <c r="G649" s="14" t="s">
        <v>3</v>
      </c>
      <c r="H649" s="14" t="s">
        <v>6650</v>
      </c>
      <c r="I649" s="14" t="s">
        <v>3787</v>
      </c>
      <c r="J649" s="14" t="s">
        <v>60</v>
      </c>
      <c r="K649" s="14" t="s">
        <v>60</v>
      </c>
      <c r="L649" s="14" t="s">
        <v>60</v>
      </c>
      <c r="M649" s="14" t="s">
        <v>60</v>
      </c>
      <c r="N649" s="14" t="s">
        <v>60</v>
      </c>
      <c r="O649" s="14" t="s">
        <v>60</v>
      </c>
      <c r="P649" s="14" t="s">
        <v>6651</v>
      </c>
      <c r="Q649" s="14" t="s">
        <v>1153</v>
      </c>
      <c r="R649" s="3" t="s">
        <v>4170</v>
      </c>
      <c r="S649" s="3">
        <f t="shared" si="32"/>
        <v>550</v>
      </c>
      <c r="T649" s="3">
        <f t="shared" si="33"/>
        <v>17050</v>
      </c>
      <c r="U649" s="3" t="s">
        <v>60</v>
      </c>
      <c r="V649" s="14" t="s">
        <v>6</v>
      </c>
      <c r="W649" s="14" t="s">
        <v>4444</v>
      </c>
      <c r="X649" s="14" t="s">
        <v>60</v>
      </c>
    </row>
    <row r="650" spans="1:24" ht="15" x14ac:dyDescent="0.3">
      <c r="A650" s="3">
        <v>15</v>
      </c>
      <c r="B650" s="3" t="s">
        <v>6652</v>
      </c>
      <c r="C650" s="14" t="s">
        <v>0</v>
      </c>
      <c r="D650" s="14" t="s">
        <v>3420</v>
      </c>
      <c r="E650" s="14" t="s">
        <v>6653</v>
      </c>
      <c r="F650" s="14" t="s">
        <v>1588</v>
      </c>
      <c r="G650" s="14" t="s">
        <v>3</v>
      </c>
      <c r="H650" s="14" t="s">
        <v>6654</v>
      </c>
      <c r="I650" s="14" t="s">
        <v>3788</v>
      </c>
      <c r="J650" s="14" t="s">
        <v>60</v>
      </c>
      <c r="K650" s="14" t="s">
        <v>60</v>
      </c>
      <c r="L650" s="14" t="s">
        <v>60</v>
      </c>
      <c r="M650" s="14" t="s">
        <v>60</v>
      </c>
      <c r="N650" s="14" t="s">
        <v>60</v>
      </c>
      <c r="O650" s="14" t="s">
        <v>60</v>
      </c>
      <c r="P650" s="14" t="s">
        <v>6655</v>
      </c>
      <c r="Q650" s="14" t="s">
        <v>11</v>
      </c>
      <c r="R650" s="3" t="s">
        <v>4170</v>
      </c>
      <c r="S650" s="3">
        <f t="shared" si="32"/>
        <v>550</v>
      </c>
      <c r="T650" s="3">
        <f t="shared" si="33"/>
        <v>17050</v>
      </c>
      <c r="U650" s="3" t="s">
        <v>60</v>
      </c>
      <c r="V650" s="14" t="s">
        <v>6</v>
      </c>
      <c r="W650" s="14" t="s">
        <v>4444</v>
      </c>
      <c r="X650" s="14" t="s">
        <v>60</v>
      </c>
    </row>
    <row r="651" spans="1:24" ht="15" x14ac:dyDescent="0.3">
      <c r="A651" s="3">
        <v>16</v>
      </c>
      <c r="B651" s="3" t="s">
        <v>6656</v>
      </c>
      <c r="C651" s="14" t="s">
        <v>0</v>
      </c>
      <c r="D651" s="14" t="s">
        <v>3560</v>
      </c>
      <c r="E651" s="14" t="s">
        <v>4440</v>
      </c>
      <c r="F651" s="14" t="s">
        <v>1529</v>
      </c>
      <c r="G651" s="14" t="s">
        <v>3</v>
      </c>
      <c r="H651" s="14" t="s">
        <v>6657</v>
      </c>
      <c r="I651" s="14" t="s">
        <v>1530</v>
      </c>
      <c r="J651" s="14" t="s">
        <v>60</v>
      </c>
      <c r="K651" s="14" t="s">
        <v>60</v>
      </c>
      <c r="L651" s="14" t="s">
        <v>60</v>
      </c>
      <c r="M651" s="14" t="s">
        <v>1531</v>
      </c>
      <c r="N651" s="14" t="s">
        <v>60</v>
      </c>
      <c r="O651" s="14" t="s">
        <v>60</v>
      </c>
      <c r="P651" s="14" t="s">
        <v>6658</v>
      </c>
      <c r="Q651" s="14" t="s">
        <v>11</v>
      </c>
      <c r="R651" s="3" t="s">
        <v>4170</v>
      </c>
      <c r="S651" s="3">
        <f t="shared" si="32"/>
        <v>550</v>
      </c>
      <c r="T651" s="3">
        <f t="shared" si="33"/>
        <v>17050</v>
      </c>
      <c r="U651" s="3" t="s">
        <v>60</v>
      </c>
      <c r="V651" s="14" t="s">
        <v>6</v>
      </c>
      <c r="W651" s="14" t="s">
        <v>4444</v>
      </c>
      <c r="X651" s="14" t="s">
        <v>60</v>
      </c>
    </row>
    <row r="652" spans="1:24" ht="15" x14ac:dyDescent="0.3">
      <c r="A652" s="3">
        <v>17</v>
      </c>
      <c r="B652" s="3" t="s">
        <v>6659</v>
      </c>
      <c r="C652" s="14" t="s">
        <v>0</v>
      </c>
      <c r="D652" s="14" t="s">
        <v>3620</v>
      </c>
      <c r="E652" s="14" t="s">
        <v>6660</v>
      </c>
      <c r="F652" s="14" t="s">
        <v>3562</v>
      </c>
      <c r="G652" s="14" t="s">
        <v>3</v>
      </c>
      <c r="H652" s="14" t="s">
        <v>6661</v>
      </c>
      <c r="I652" s="14" t="s">
        <v>3789</v>
      </c>
      <c r="J652" s="14" t="s">
        <v>60</v>
      </c>
      <c r="K652" s="14" t="s">
        <v>60</v>
      </c>
      <c r="L652" s="14" t="s">
        <v>60</v>
      </c>
      <c r="M652" s="14" t="s">
        <v>60</v>
      </c>
      <c r="N652" s="14" t="s">
        <v>60</v>
      </c>
      <c r="O652" s="14" t="s">
        <v>60</v>
      </c>
      <c r="P652" s="14" t="s">
        <v>6662</v>
      </c>
      <c r="Q652" s="14" t="s">
        <v>3621</v>
      </c>
      <c r="R652" s="3" t="s">
        <v>4170</v>
      </c>
      <c r="S652" s="3">
        <f t="shared" si="32"/>
        <v>550</v>
      </c>
      <c r="T652" s="3">
        <f t="shared" si="33"/>
        <v>17050</v>
      </c>
      <c r="U652" s="3" t="s">
        <v>60</v>
      </c>
      <c r="V652" s="14" t="s">
        <v>6</v>
      </c>
      <c r="W652" s="14" t="s">
        <v>4444</v>
      </c>
      <c r="X652" s="14" t="s">
        <v>60</v>
      </c>
    </row>
    <row r="653" spans="1:24" ht="15" x14ac:dyDescent="0.3">
      <c r="A653" s="3">
        <v>18</v>
      </c>
      <c r="B653" s="3" t="s">
        <v>1327</v>
      </c>
      <c r="C653" s="14" t="s">
        <v>0</v>
      </c>
      <c r="D653" s="14" t="s">
        <v>1328</v>
      </c>
      <c r="E653" s="14" t="s">
        <v>6663</v>
      </c>
      <c r="F653" s="14" t="s">
        <v>1329</v>
      </c>
      <c r="G653" s="14" t="s">
        <v>3</v>
      </c>
      <c r="H653" s="14" t="s">
        <v>1330</v>
      </c>
      <c r="I653" s="14" t="s">
        <v>1331</v>
      </c>
      <c r="J653" s="14" t="s">
        <v>60</v>
      </c>
      <c r="K653" s="14" t="s">
        <v>60</v>
      </c>
      <c r="L653" s="14" t="s">
        <v>60</v>
      </c>
      <c r="M653" s="14" t="s">
        <v>6664</v>
      </c>
      <c r="N653" s="14" t="s">
        <v>60</v>
      </c>
      <c r="O653" s="14" t="s">
        <v>6665</v>
      </c>
      <c r="P653" s="14" t="s">
        <v>6666</v>
      </c>
      <c r="Q653" s="14" t="s">
        <v>185</v>
      </c>
      <c r="R653" s="3" t="s">
        <v>4170</v>
      </c>
      <c r="S653" s="3">
        <f t="shared" si="32"/>
        <v>550</v>
      </c>
      <c r="T653" s="3">
        <f t="shared" si="33"/>
        <v>17050</v>
      </c>
      <c r="U653" s="3" t="s">
        <v>60</v>
      </c>
      <c r="V653" s="14" t="s">
        <v>6</v>
      </c>
      <c r="W653" s="14" t="s">
        <v>6349</v>
      </c>
      <c r="X653" s="14" t="s">
        <v>60</v>
      </c>
    </row>
    <row r="654" spans="1:24" ht="15" x14ac:dyDescent="0.3">
      <c r="A654" s="3">
        <v>19</v>
      </c>
      <c r="B654" s="3" t="s">
        <v>6667</v>
      </c>
      <c r="C654" s="14" t="s">
        <v>0</v>
      </c>
      <c r="D654" s="14" t="s">
        <v>1588</v>
      </c>
      <c r="E654" s="14" t="s">
        <v>6668</v>
      </c>
      <c r="F654" s="14" t="s">
        <v>1589</v>
      </c>
      <c r="G654" s="14" t="s">
        <v>3</v>
      </c>
      <c r="H654" s="14" t="s">
        <v>6669</v>
      </c>
      <c r="I654" s="14" t="s">
        <v>1590</v>
      </c>
      <c r="J654" s="14" t="s">
        <v>60</v>
      </c>
      <c r="K654" s="14" t="s">
        <v>60</v>
      </c>
      <c r="L654" s="14" t="s">
        <v>60</v>
      </c>
      <c r="M654" s="14" t="s">
        <v>1591</v>
      </c>
      <c r="N654" s="14" t="s">
        <v>60</v>
      </c>
      <c r="O654" s="14" t="s">
        <v>454</v>
      </c>
      <c r="P654" s="14" t="s">
        <v>6670</v>
      </c>
      <c r="Q654" s="14" t="s">
        <v>1153</v>
      </c>
      <c r="R654" s="3" t="s">
        <v>4170</v>
      </c>
      <c r="S654" s="3">
        <f t="shared" si="32"/>
        <v>550</v>
      </c>
      <c r="T654" s="3">
        <f t="shared" si="33"/>
        <v>17050</v>
      </c>
      <c r="U654" s="3" t="s">
        <v>60</v>
      </c>
      <c r="V654" s="14" t="s">
        <v>6</v>
      </c>
      <c r="W654" s="14" t="s">
        <v>6379</v>
      </c>
      <c r="X654" s="14" t="s">
        <v>60</v>
      </c>
    </row>
    <row r="655" spans="1:24" ht="15" x14ac:dyDescent="0.3">
      <c r="A655" s="3">
        <v>20</v>
      </c>
      <c r="B655" s="3" t="s">
        <v>6671</v>
      </c>
      <c r="C655" s="14" t="s">
        <v>0</v>
      </c>
      <c r="D655" s="14" t="s">
        <v>1592</v>
      </c>
      <c r="E655" s="14" t="s">
        <v>6672</v>
      </c>
      <c r="F655" s="14" t="s">
        <v>1593</v>
      </c>
      <c r="G655" s="14" t="s">
        <v>3</v>
      </c>
      <c r="H655" s="14" t="s">
        <v>6673</v>
      </c>
      <c r="I655" s="14" t="s">
        <v>1594</v>
      </c>
      <c r="J655" s="14" t="s">
        <v>60</v>
      </c>
      <c r="K655" s="14" t="s">
        <v>60</v>
      </c>
      <c r="L655" s="14" t="s">
        <v>60</v>
      </c>
      <c r="M655" s="14" t="s">
        <v>1595</v>
      </c>
      <c r="N655" s="14" t="s">
        <v>60</v>
      </c>
      <c r="O655" s="14" t="s">
        <v>454</v>
      </c>
      <c r="P655" s="14" t="s">
        <v>6674</v>
      </c>
      <c r="Q655" s="14" t="s">
        <v>1153</v>
      </c>
      <c r="R655" s="3" t="s">
        <v>5222</v>
      </c>
      <c r="S655" s="3">
        <f t="shared" si="32"/>
        <v>550</v>
      </c>
      <c r="T655" s="3">
        <f t="shared" si="33"/>
        <v>14300</v>
      </c>
      <c r="U655" s="3" t="s">
        <v>6675</v>
      </c>
      <c r="V655" s="14" t="s">
        <v>6</v>
      </c>
      <c r="W655" s="14" t="s">
        <v>6379</v>
      </c>
      <c r="X655" s="14" t="s">
        <v>60</v>
      </c>
    </row>
    <row r="656" spans="1:24" ht="15" x14ac:dyDescent="0.3">
      <c r="A656" s="3">
        <v>21</v>
      </c>
      <c r="B656" s="3" t="s">
        <v>6676</v>
      </c>
      <c r="C656" s="14" t="s">
        <v>0</v>
      </c>
      <c r="D656" s="14" t="s">
        <v>65</v>
      </c>
      <c r="E656" s="14" t="s">
        <v>6677</v>
      </c>
      <c r="F656" s="14" t="s">
        <v>1596</v>
      </c>
      <c r="G656" s="14" t="s">
        <v>3</v>
      </c>
      <c r="H656" s="14" t="s">
        <v>6678</v>
      </c>
      <c r="I656" s="14" t="s">
        <v>1597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4" t="s">
        <v>60</v>
      </c>
      <c r="O656" s="14" t="s">
        <v>454</v>
      </c>
      <c r="P656" s="14" t="s">
        <v>6679</v>
      </c>
      <c r="Q656" s="14" t="s">
        <v>11</v>
      </c>
      <c r="R656" s="3" t="s">
        <v>5870</v>
      </c>
      <c r="S656" s="3">
        <f t="shared" si="32"/>
        <v>550</v>
      </c>
      <c r="T656" s="3">
        <f t="shared" si="33"/>
        <v>13200</v>
      </c>
      <c r="U656" s="3" t="s">
        <v>60</v>
      </c>
      <c r="V656" s="14" t="s">
        <v>6</v>
      </c>
      <c r="W656" s="14" t="s">
        <v>6379</v>
      </c>
      <c r="X656" s="14" t="s">
        <v>60</v>
      </c>
    </row>
    <row r="657" spans="1:24" ht="15" x14ac:dyDescent="0.3">
      <c r="A657" s="3">
        <v>22</v>
      </c>
      <c r="B657" s="3" t="s">
        <v>6680</v>
      </c>
      <c r="C657" s="14" t="s">
        <v>0</v>
      </c>
      <c r="D657" s="14" t="s">
        <v>1598</v>
      </c>
      <c r="E657" s="14" t="s">
        <v>6681</v>
      </c>
      <c r="F657" s="14" t="s">
        <v>1379</v>
      </c>
      <c r="G657" s="14" t="s">
        <v>3</v>
      </c>
      <c r="H657" s="14" t="s">
        <v>6682</v>
      </c>
      <c r="I657" s="14" t="s">
        <v>1599</v>
      </c>
      <c r="J657" s="14" t="s">
        <v>60</v>
      </c>
      <c r="K657" s="14" t="s">
        <v>60</v>
      </c>
      <c r="L657" s="14" t="s">
        <v>60</v>
      </c>
      <c r="M657" s="14" t="s">
        <v>60</v>
      </c>
      <c r="N657" s="14" t="s">
        <v>60</v>
      </c>
      <c r="O657" s="14" t="s">
        <v>454</v>
      </c>
      <c r="P657" s="14" t="s">
        <v>6683</v>
      </c>
      <c r="Q657" s="14" t="s">
        <v>1153</v>
      </c>
      <c r="R657" s="3" t="s">
        <v>5244</v>
      </c>
      <c r="S657" s="3">
        <f t="shared" si="32"/>
        <v>550</v>
      </c>
      <c r="T657" s="3">
        <f t="shared" si="33"/>
        <v>14850</v>
      </c>
      <c r="U657" s="3" t="s">
        <v>60</v>
      </c>
      <c r="V657" s="14" t="s">
        <v>6</v>
      </c>
      <c r="W657" s="14" t="s">
        <v>6684</v>
      </c>
      <c r="X657" s="14" t="s">
        <v>60</v>
      </c>
    </row>
    <row r="658" spans="1:24" ht="15" x14ac:dyDescent="0.3">
      <c r="A658" s="3">
        <v>23</v>
      </c>
      <c r="B658" s="3" t="s">
        <v>6685</v>
      </c>
      <c r="C658" s="14" t="s">
        <v>0</v>
      </c>
      <c r="D658" s="14" t="s">
        <v>1600</v>
      </c>
      <c r="E658" s="14" t="s">
        <v>6686</v>
      </c>
      <c r="F658" s="14" t="s">
        <v>1601</v>
      </c>
      <c r="G658" s="14" t="s">
        <v>3</v>
      </c>
      <c r="H658" s="14" t="s">
        <v>6687</v>
      </c>
      <c r="I658" s="14" t="s">
        <v>1602</v>
      </c>
      <c r="J658" s="14" t="s">
        <v>60</v>
      </c>
      <c r="K658" s="14" t="s">
        <v>60</v>
      </c>
      <c r="L658" s="14" t="s">
        <v>60</v>
      </c>
      <c r="M658" s="14" t="s">
        <v>60</v>
      </c>
      <c r="N658" s="14" t="s">
        <v>60</v>
      </c>
      <c r="O658" s="14" t="s">
        <v>60</v>
      </c>
      <c r="P658" s="14" t="s">
        <v>6688</v>
      </c>
      <c r="Q658" s="14" t="s">
        <v>11</v>
      </c>
      <c r="R658" s="3" t="s">
        <v>4170</v>
      </c>
      <c r="S658" s="3">
        <f t="shared" si="32"/>
        <v>550</v>
      </c>
      <c r="T658" s="3">
        <f t="shared" si="33"/>
        <v>17050</v>
      </c>
      <c r="U658" s="3" t="s">
        <v>60</v>
      </c>
      <c r="V658" s="14" t="s">
        <v>6</v>
      </c>
      <c r="W658" s="14" t="s">
        <v>6689</v>
      </c>
      <c r="X658" s="14" t="s">
        <v>60</v>
      </c>
    </row>
    <row r="659" spans="1:24" ht="15" x14ac:dyDescent="0.3">
      <c r="A659" s="3">
        <v>24</v>
      </c>
      <c r="B659" s="3" t="s">
        <v>6690</v>
      </c>
      <c r="C659" s="14" t="s">
        <v>0</v>
      </c>
      <c r="D659" s="14" t="s">
        <v>1603</v>
      </c>
      <c r="E659" s="14" t="s">
        <v>6691</v>
      </c>
      <c r="F659" s="14" t="s">
        <v>1604</v>
      </c>
      <c r="G659" s="14" t="s">
        <v>3</v>
      </c>
      <c r="H659" s="14" t="s">
        <v>6692</v>
      </c>
      <c r="I659" s="14" t="s">
        <v>1605</v>
      </c>
      <c r="J659" s="14" t="s">
        <v>60</v>
      </c>
      <c r="K659" s="14" t="s">
        <v>60</v>
      </c>
      <c r="L659" s="14" t="s">
        <v>60</v>
      </c>
      <c r="M659" s="14" t="s">
        <v>60</v>
      </c>
      <c r="N659" s="14" t="s">
        <v>60</v>
      </c>
      <c r="O659" s="14" t="s">
        <v>60</v>
      </c>
      <c r="P659" s="14" t="s">
        <v>6693</v>
      </c>
      <c r="Q659" s="14" t="s">
        <v>11</v>
      </c>
      <c r="R659" s="3" t="s">
        <v>4170</v>
      </c>
      <c r="S659" s="3">
        <f t="shared" si="32"/>
        <v>550</v>
      </c>
      <c r="T659" s="3">
        <f t="shared" si="33"/>
        <v>17050</v>
      </c>
      <c r="U659" s="3" t="s">
        <v>60</v>
      </c>
      <c r="V659" s="14" t="s">
        <v>6</v>
      </c>
      <c r="W659" s="14" t="s">
        <v>6689</v>
      </c>
      <c r="X659" s="14" t="s">
        <v>60</v>
      </c>
    </row>
    <row r="660" spans="1:24" ht="15" x14ac:dyDescent="0.3">
      <c r="A660" s="3">
        <v>25</v>
      </c>
      <c r="B660" s="3" t="s">
        <v>6694</v>
      </c>
      <c r="C660" s="14" t="s">
        <v>0</v>
      </c>
      <c r="D660" s="14" t="s">
        <v>1614</v>
      </c>
      <c r="E660" s="14" t="s">
        <v>6695</v>
      </c>
      <c r="F660" s="14" t="s">
        <v>1615</v>
      </c>
      <c r="G660" s="14" t="s">
        <v>3</v>
      </c>
      <c r="H660" s="14" t="s">
        <v>6696</v>
      </c>
      <c r="I660" s="14" t="s">
        <v>1616</v>
      </c>
      <c r="J660" s="14" t="s">
        <v>60</v>
      </c>
      <c r="K660" s="14" t="s">
        <v>60</v>
      </c>
      <c r="L660" s="14" t="s">
        <v>60</v>
      </c>
      <c r="M660" s="14" t="s">
        <v>60</v>
      </c>
      <c r="N660" s="14" t="s">
        <v>60</v>
      </c>
      <c r="O660" s="14" t="s">
        <v>1617</v>
      </c>
      <c r="P660" s="14" t="s">
        <v>6697</v>
      </c>
      <c r="Q660" s="14" t="s">
        <v>11</v>
      </c>
      <c r="R660" s="3" t="s">
        <v>4170</v>
      </c>
      <c r="S660" s="3">
        <f t="shared" si="32"/>
        <v>550</v>
      </c>
      <c r="T660" s="3">
        <f t="shared" si="33"/>
        <v>17050</v>
      </c>
      <c r="U660" s="3" t="s">
        <v>60</v>
      </c>
      <c r="V660" s="14" t="s">
        <v>6</v>
      </c>
      <c r="W660" s="14" t="s">
        <v>6698</v>
      </c>
      <c r="X660" s="14" t="s">
        <v>60</v>
      </c>
    </row>
    <row r="661" spans="1:24" ht="15" x14ac:dyDescent="0.3">
      <c r="A661" s="3">
        <v>26</v>
      </c>
      <c r="B661" s="3" t="s">
        <v>6699</v>
      </c>
      <c r="C661" s="14" t="s">
        <v>0</v>
      </c>
      <c r="D661" s="14" t="s">
        <v>1623</v>
      </c>
      <c r="E661" s="14" t="s">
        <v>6700</v>
      </c>
      <c r="F661" s="14" t="s">
        <v>1624</v>
      </c>
      <c r="G661" s="14" t="s">
        <v>121</v>
      </c>
      <c r="H661" s="14" t="s">
        <v>6701</v>
      </c>
      <c r="I661" s="14" t="s">
        <v>1625</v>
      </c>
      <c r="J661" s="14" t="s">
        <v>60</v>
      </c>
      <c r="K661" s="14" t="s">
        <v>60</v>
      </c>
      <c r="L661" s="14" t="s">
        <v>60</v>
      </c>
      <c r="M661" s="14" t="s">
        <v>60</v>
      </c>
      <c r="N661" s="14" t="s">
        <v>60</v>
      </c>
      <c r="O661" s="14" t="s">
        <v>388</v>
      </c>
      <c r="P661" s="14" t="s">
        <v>6702</v>
      </c>
      <c r="Q661" s="14" t="s">
        <v>11</v>
      </c>
      <c r="R661" s="3" t="s">
        <v>4170</v>
      </c>
      <c r="S661" s="3">
        <f t="shared" si="32"/>
        <v>550</v>
      </c>
      <c r="T661" s="3">
        <f t="shared" si="33"/>
        <v>17050</v>
      </c>
      <c r="U661" s="3" t="s">
        <v>60</v>
      </c>
      <c r="V661" s="14" t="s">
        <v>6</v>
      </c>
      <c r="W661" s="14" t="s">
        <v>6703</v>
      </c>
      <c r="X661" s="14" t="s">
        <v>60</v>
      </c>
    </row>
    <row r="662" spans="1:24" ht="15" x14ac:dyDescent="0.3">
      <c r="A662" s="3">
        <v>27</v>
      </c>
      <c r="B662" s="3" t="s">
        <v>6704</v>
      </c>
      <c r="C662" s="14" t="s">
        <v>0</v>
      </c>
      <c r="D662" s="14" t="s">
        <v>1631</v>
      </c>
      <c r="E662" s="14" t="s">
        <v>6705</v>
      </c>
      <c r="F662" s="14" t="s">
        <v>1632</v>
      </c>
      <c r="G662" s="14" t="s">
        <v>3</v>
      </c>
      <c r="H662" s="14" t="s">
        <v>6706</v>
      </c>
      <c r="I662" s="14" t="s">
        <v>1633</v>
      </c>
      <c r="J662" s="14" t="s">
        <v>60</v>
      </c>
      <c r="K662" s="14" t="s">
        <v>60</v>
      </c>
      <c r="L662" s="14" t="s">
        <v>60</v>
      </c>
      <c r="M662" s="14" t="s">
        <v>60</v>
      </c>
      <c r="N662" s="14" t="s">
        <v>60</v>
      </c>
      <c r="O662" s="14" t="s">
        <v>60</v>
      </c>
      <c r="P662" s="14" t="s">
        <v>6707</v>
      </c>
      <c r="Q662" s="14" t="s">
        <v>11</v>
      </c>
      <c r="R662" s="3" t="s">
        <v>4300</v>
      </c>
      <c r="S662" s="3">
        <f t="shared" si="32"/>
        <v>550</v>
      </c>
      <c r="T662" s="3">
        <f t="shared" si="33"/>
        <v>15950</v>
      </c>
      <c r="U662" s="3" t="s">
        <v>60</v>
      </c>
      <c r="V662" s="14" t="s">
        <v>6</v>
      </c>
      <c r="W662" s="14" t="s">
        <v>4634</v>
      </c>
      <c r="X662" s="14" t="s">
        <v>60</v>
      </c>
    </row>
    <row r="663" spans="1:24" ht="15" x14ac:dyDescent="0.3">
      <c r="A663" s="3">
        <v>28</v>
      </c>
      <c r="B663" s="3" t="s">
        <v>6708</v>
      </c>
      <c r="C663" s="14" t="s">
        <v>0</v>
      </c>
      <c r="D663" s="14" t="s">
        <v>1626</v>
      </c>
      <c r="E663" s="14" t="s">
        <v>6709</v>
      </c>
      <c r="F663" s="14" t="s">
        <v>1627</v>
      </c>
      <c r="G663" s="14" t="s">
        <v>3</v>
      </c>
      <c r="H663" s="14" t="s">
        <v>6710</v>
      </c>
      <c r="I663" s="14" t="s">
        <v>1628</v>
      </c>
      <c r="J663" s="14" t="s">
        <v>60</v>
      </c>
      <c r="K663" s="14" t="s">
        <v>60</v>
      </c>
      <c r="L663" s="14" t="s">
        <v>60</v>
      </c>
      <c r="M663" s="14" t="s">
        <v>60</v>
      </c>
      <c r="N663" s="14" t="s">
        <v>60</v>
      </c>
      <c r="O663" s="14" t="s">
        <v>388</v>
      </c>
      <c r="P663" s="14" t="s">
        <v>6711</v>
      </c>
      <c r="Q663" s="14" t="s">
        <v>11</v>
      </c>
      <c r="R663" s="3" t="s">
        <v>4170</v>
      </c>
      <c r="S663" s="3">
        <f t="shared" si="32"/>
        <v>550</v>
      </c>
      <c r="T663" s="3">
        <f t="shared" si="33"/>
        <v>17050</v>
      </c>
      <c r="U663" s="3" t="s">
        <v>60</v>
      </c>
      <c r="V663" s="14" t="s">
        <v>6</v>
      </c>
      <c r="W663" s="14" t="s">
        <v>6703</v>
      </c>
      <c r="X663" s="14" t="s">
        <v>60</v>
      </c>
    </row>
    <row r="664" spans="1:24" ht="15" x14ac:dyDescent="0.3">
      <c r="A664" s="3">
        <v>29</v>
      </c>
      <c r="B664" s="3" t="s">
        <v>6712</v>
      </c>
      <c r="C664" s="14" t="s">
        <v>0</v>
      </c>
      <c r="D664" s="14" t="s">
        <v>1339</v>
      </c>
      <c r="E664" s="14" t="s">
        <v>6713</v>
      </c>
      <c r="F664" s="14" t="s">
        <v>1340</v>
      </c>
      <c r="G664" s="14" t="s">
        <v>3</v>
      </c>
      <c r="H664" s="14" t="s">
        <v>6714</v>
      </c>
      <c r="I664" s="14" t="s">
        <v>1341</v>
      </c>
      <c r="J664" s="14" t="s">
        <v>60</v>
      </c>
      <c r="K664" s="14" t="s">
        <v>60</v>
      </c>
      <c r="L664" s="14" t="s">
        <v>60</v>
      </c>
      <c r="M664" s="14" t="s">
        <v>60</v>
      </c>
      <c r="N664" s="14" t="s">
        <v>60</v>
      </c>
      <c r="O664" s="14" t="s">
        <v>193</v>
      </c>
      <c r="P664" s="14" t="s">
        <v>6715</v>
      </c>
      <c r="Q664" s="14" t="s">
        <v>11</v>
      </c>
      <c r="R664" s="3" t="s">
        <v>6355</v>
      </c>
      <c r="S664" s="3">
        <f t="shared" si="32"/>
        <v>550</v>
      </c>
      <c r="T664" s="3">
        <f t="shared" si="33"/>
        <v>12100</v>
      </c>
      <c r="U664" s="3" t="s">
        <v>60</v>
      </c>
      <c r="V664" s="14" t="s">
        <v>6</v>
      </c>
      <c r="W664" s="14" t="s">
        <v>6349</v>
      </c>
      <c r="X664" s="14" t="s">
        <v>60</v>
      </c>
    </row>
    <row r="665" spans="1:24" ht="15" x14ac:dyDescent="0.3">
      <c r="A665" s="3">
        <v>30</v>
      </c>
      <c r="B665" s="3" t="s">
        <v>6716</v>
      </c>
      <c r="C665" s="14" t="s">
        <v>0</v>
      </c>
      <c r="D665" s="14" t="s">
        <v>1358</v>
      </c>
      <c r="E665" s="14" t="s">
        <v>6717</v>
      </c>
      <c r="F665" s="14" t="s">
        <v>1359</v>
      </c>
      <c r="G665" s="14" t="s">
        <v>3</v>
      </c>
      <c r="H665" s="14" t="s">
        <v>6718</v>
      </c>
      <c r="I665" s="14" t="s">
        <v>1360</v>
      </c>
      <c r="J665" s="14" t="s">
        <v>228</v>
      </c>
      <c r="K665" s="14" t="s">
        <v>1152</v>
      </c>
      <c r="L665" s="14" t="s">
        <v>60</v>
      </c>
      <c r="M665" s="14" t="s">
        <v>1361</v>
      </c>
      <c r="N665" s="14" t="s">
        <v>60</v>
      </c>
      <c r="O665" s="14" t="s">
        <v>193</v>
      </c>
      <c r="P665" s="14" t="s">
        <v>6719</v>
      </c>
      <c r="Q665" s="14" t="s">
        <v>1153</v>
      </c>
      <c r="R665" s="3" t="s">
        <v>4316</v>
      </c>
      <c r="S665" s="3">
        <f t="shared" si="32"/>
        <v>550</v>
      </c>
      <c r="T665" s="3">
        <f t="shared" si="33"/>
        <v>13750</v>
      </c>
      <c r="U665" s="3" t="s">
        <v>6720</v>
      </c>
      <c r="V665" s="14" t="s">
        <v>6</v>
      </c>
      <c r="W665" s="14" t="s">
        <v>6349</v>
      </c>
      <c r="X665" s="14" t="s">
        <v>60</v>
      </c>
    </row>
    <row r="666" spans="1:24" ht="15.6" x14ac:dyDescent="0.3">
      <c r="A666" s="26" t="s">
        <v>60</v>
      </c>
      <c r="B666" s="26" t="s">
        <v>60</v>
      </c>
      <c r="C666" s="27" t="s">
        <v>60</v>
      </c>
      <c r="D666" s="27" t="s">
        <v>60</v>
      </c>
      <c r="E666" s="27" t="s">
        <v>60</v>
      </c>
      <c r="F666" s="27" t="s">
        <v>60</v>
      </c>
      <c r="G666" s="27" t="s">
        <v>60</v>
      </c>
      <c r="H666" s="27" t="s">
        <v>60</v>
      </c>
      <c r="I666" s="27" t="s">
        <v>60</v>
      </c>
      <c r="J666" s="27" t="s">
        <v>60</v>
      </c>
      <c r="K666" s="27" t="s">
        <v>60</v>
      </c>
      <c r="L666" s="27" t="s">
        <v>60</v>
      </c>
      <c r="M666" s="27" t="s">
        <v>60</v>
      </c>
      <c r="N666" s="27" t="s">
        <v>60</v>
      </c>
      <c r="O666" s="27" t="s">
        <v>60</v>
      </c>
      <c r="P666" s="27" t="s">
        <v>60</v>
      </c>
      <c r="Q666" s="27" t="s">
        <v>60</v>
      </c>
      <c r="R666" s="35" t="s">
        <v>2009</v>
      </c>
      <c r="S666" s="35" t="s">
        <v>60</v>
      </c>
      <c r="T666" s="26">
        <f>SUM(T635:T665)</f>
        <v>468600</v>
      </c>
      <c r="U666" s="26" t="s">
        <v>6721</v>
      </c>
      <c r="V666" s="27" t="s">
        <v>60</v>
      </c>
      <c r="W666" s="27" t="s">
        <v>60</v>
      </c>
      <c r="X666" s="27" t="s">
        <v>60</v>
      </c>
    </row>
    <row r="667" spans="1:24" ht="15.6" x14ac:dyDescent="0.3">
      <c r="A667" s="34" t="s">
        <v>6722</v>
      </c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 spans="1:24" ht="109.2" x14ac:dyDescent="0.3">
      <c r="A668" s="23" t="s">
        <v>42</v>
      </c>
      <c r="B668" s="23" t="s">
        <v>43</v>
      </c>
      <c r="C668" s="24" t="s">
        <v>44</v>
      </c>
      <c r="D668" s="24" t="s">
        <v>4154</v>
      </c>
      <c r="E668" s="24" t="s">
        <v>4155</v>
      </c>
      <c r="F668" s="24" t="s">
        <v>4156</v>
      </c>
      <c r="G668" s="24" t="s">
        <v>45</v>
      </c>
      <c r="H668" s="24" t="s">
        <v>4157</v>
      </c>
      <c r="I668" s="24" t="s">
        <v>46</v>
      </c>
      <c r="J668" s="24" t="s">
        <v>4158</v>
      </c>
      <c r="K668" s="24" t="s">
        <v>4159</v>
      </c>
      <c r="L668" s="24" t="s">
        <v>4160</v>
      </c>
      <c r="M668" s="24" t="s">
        <v>4161</v>
      </c>
      <c r="N668" s="24" t="s">
        <v>47</v>
      </c>
      <c r="O668" s="24" t="s">
        <v>48</v>
      </c>
      <c r="P668" s="24" t="s">
        <v>49</v>
      </c>
      <c r="Q668" s="24" t="s">
        <v>50</v>
      </c>
      <c r="R668" s="23" t="s">
        <v>4162</v>
      </c>
      <c r="S668" s="23" t="s">
        <v>4163</v>
      </c>
      <c r="T668" s="23" t="s">
        <v>4164</v>
      </c>
      <c r="U668" s="23" t="s">
        <v>4165</v>
      </c>
      <c r="V668" s="24" t="s">
        <v>51</v>
      </c>
      <c r="W668" s="24" t="s">
        <v>52</v>
      </c>
      <c r="X668" s="24" t="s">
        <v>53</v>
      </c>
    </row>
    <row r="669" spans="1:24" ht="15" x14ac:dyDescent="0.3">
      <c r="A669" s="3">
        <v>1</v>
      </c>
      <c r="B669" s="3" t="s">
        <v>6723</v>
      </c>
      <c r="C669" s="14" t="s">
        <v>710</v>
      </c>
      <c r="D669" s="14" t="s">
        <v>1221</v>
      </c>
      <c r="E669" s="14" t="s">
        <v>6724</v>
      </c>
      <c r="F669" s="14" t="s">
        <v>1222</v>
      </c>
      <c r="G669" s="14" t="s">
        <v>3</v>
      </c>
      <c r="H669" s="14" t="s">
        <v>6725</v>
      </c>
      <c r="I669" s="14" t="s">
        <v>1223</v>
      </c>
      <c r="J669" s="14" t="s">
        <v>60</v>
      </c>
      <c r="K669" s="14" t="s">
        <v>60</v>
      </c>
      <c r="L669" s="14" t="s">
        <v>60</v>
      </c>
      <c r="M669" s="14" t="s">
        <v>60</v>
      </c>
      <c r="N669" s="14" t="s">
        <v>60</v>
      </c>
      <c r="O669" s="14" t="s">
        <v>193</v>
      </c>
      <c r="P669" s="14" t="s">
        <v>6726</v>
      </c>
      <c r="Q669" s="14" t="s">
        <v>11</v>
      </c>
      <c r="R669" s="3" t="s">
        <v>4170</v>
      </c>
      <c r="S669" s="3">
        <f t="shared" ref="S669:S699" si="34">IF(RIGHT(C669,3)="MAZ",550,IF(RIGHT(C669,4)="MATE",570,IF(RIGHT(C669,7)="SKD-III",640,IF(RIGHT(C669,6)="SKD-II",770,IF(RIGHT(C669,5)="SKD-I",900,IF(RIGHT(C669,5)="CPDVR",770,""))))))</f>
        <v>900</v>
      </c>
      <c r="T669" s="3">
        <f t="shared" ref="T669:T699" si="35">R669*S669</f>
        <v>27900</v>
      </c>
      <c r="U669" s="3" t="s">
        <v>60</v>
      </c>
      <c r="V669" s="14" t="s">
        <v>6</v>
      </c>
      <c r="W669" s="14" t="s">
        <v>6349</v>
      </c>
      <c r="X669" s="14" t="s">
        <v>60</v>
      </c>
    </row>
    <row r="670" spans="1:24" ht="15" x14ac:dyDescent="0.3">
      <c r="A670" s="3">
        <v>2</v>
      </c>
      <c r="B670" s="3" t="s">
        <v>6727</v>
      </c>
      <c r="C670" s="14" t="s">
        <v>69</v>
      </c>
      <c r="D670" s="14" t="s">
        <v>1224</v>
      </c>
      <c r="E670" s="14" t="s">
        <v>4746</v>
      </c>
      <c r="F670" s="14" t="s">
        <v>1225</v>
      </c>
      <c r="G670" s="14" t="s">
        <v>3</v>
      </c>
      <c r="H670" s="14" t="s">
        <v>6728</v>
      </c>
      <c r="I670" s="14" t="s">
        <v>1226</v>
      </c>
      <c r="J670" s="14" t="s">
        <v>60</v>
      </c>
      <c r="K670" s="14" t="s">
        <v>60</v>
      </c>
      <c r="L670" s="14" t="s">
        <v>60</v>
      </c>
      <c r="M670" s="14" t="s">
        <v>1227</v>
      </c>
      <c r="N670" s="14" t="s">
        <v>60</v>
      </c>
      <c r="O670" s="14" t="s">
        <v>60</v>
      </c>
      <c r="P670" s="14" t="s">
        <v>6729</v>
      </c>
      <c r="Q670" s="14" t="s">
        <v>1120</v>
      </c>
      <c r="R670" s="3" t="s">
        <v>4170</v>
      </c>
      <c r="S670" s="3">
        <f t="shared" si="34"/>
        <v>570</v>
      </c>
      <c r="T670" s="3">
        <f t="shared" si="35"/>
        <v>17670</v>
      </c>
      <c r="U670" s="3" t="s">
        <v>60</v>
      </c>
      <c r="V670" s="14" t="s">
        <v>6</v>
      </c>
      <c r="W670" s="14" t="s">
        <v>5939</v>
      </c>
      <c r="X670" s="14" t="s">
        <v>60</v>
      </c>
    </row>
    <row r="671" spans="1:24" ht="15" x14ac:dyDescent="0.3">
      <c r="A671" s="3">
        <v>3</v>
      </c>
      <c r="B671" s="3" t="s">
        <v>6730</v>
      </c>
      <c r="C671" s="14" t="s">
        <v>0</v>
      </c>
      <c r="D671" s="14" t="s">
        <v>1228</v>
      </c>
      <c r="E671" s="14" t="s">
        <v>5237</v>
      </c>
      <c r="F671" s="14" t="s">
        <v>1229</v>
      </c>
      <c r="G671" s="14" t="s">
        <v>3</v>
      </c>
      <c r="H671" s="14" t="s">
        <v>1230</v>
      </c>
      <c r="I671" s="14" t="s">
        <v>1231</v>
      </c>
      <c r="J671" s="14" t="s">
        <v>60</v>
      </c>
      <c r="K671" s="14" t="s">
        <v>60</v>
      </c>
      <c r="L671" s="14" t="s">
        <v>60</v>
      </c>
      <c r="M671" s="14" t="s">
        <v>1232</v>
      </c>
      <c r="N671" s="14" t="s">
        <v>60</v>
      </c>
      <c r="O671" s="14" t="s">
        <v>60</v>
      </c>
      <c r="P671" s="14" t="s">
        <v>6731</v>
      </c>
      <c r="Q671" s="14" t="s">
        <v>11</v>
      </c>
      <c r="R671" s="3" t="s">
        <v>68</v>
      </c>
      <c r="S671" s="3">
        <f t="shared" si="34"/>
        <v>550</v>
      </c>
      <c r="T671" s="3">
        <f t="shared" si="35"/>
        <v>0</v>
      </c>
      <c r="U671" s="3" t="s">
        <v>60</v>
      </c>
      <c r="V671" s="14" t="s">
        <v>6</v>
      </c>
      <c r="W671" s="14" t="s">
        <v>5939</v>
      </c>
      <c r="X671" s="14" t="s">
        <v>6732</v>
      </c>
    </row>
    <row r="672" spans="1:24" ht="15" x14ac:dyDescent="0.3">
      <c r="A672" s="3">
        <v>4</v>
      </c>
      <c r="B672" s="3" t="s">
        <v>6733</v>
      </c>
      <c r="C672" s="14" t="s">
        <v>0</v>
      </c>
      <c r="D672" s="14" t="s">
        <v>1233</v>
      </c>
      <c r="E672" s="14" t="s">
        <v>4928</v>
      </c>
      <c r="F672" s="14" t="s">
        <v>1234</v>
      </c>
      <c r="G672" s="14" t="s">
        <v>3</v>
      </c>
      <c r="H672" s="14" t="s">
        <v>6734</v>
      </c>
      <c r="I672" s="14" t="s">
        <v>1235</v>
      </c>
      <c r="J672" s="14" t="s">
        <v>60</v>
      </c>
      <c r="K672" s="14" t="s">
        <v>60</v>
      </c>
      <c r="L672" s="14" t="s">
        <v>60</v>
      </c>
      <c r="M672" s="14" t="s">
        <v>1236</v>
      </c>
      <c r="N672" s="14" t="s">
        <v>60</v>
      </c>
      <c r="O672" s="14" t="s">
        <v>60</v>
      </c>
      <c r="P672" s="14" t="s">
        <v>6735</v>
      </c>
      <c r="Q672" s="14" t="s">
        <v>11</v>
      </c>
      <c r="R672" s="3" t="s">
        <v>4170</v>
      </c>
      <c r="S672" s="3">
        <f t="shared" si="34"/>
        <v>550</v>
      </c>
      <c r="T672" s="3">
        <f t="shared" si="35"/>
        <v>17050</v>
      </c>
      <c r="U672" s="3" t="s">
        <v>60</v>
      </c>
      <c r="V672" s="14" t="s">
        <v>6</v>
      </c>
      <c r="W672" s="14" t="s">
        <v>5939</v>
      </c>
      <c r="X672" s="14" t="s">
        <v>60</v>
      </c>
    </row>
    <row r="673" spans="1:24" ht="15" x14ac:dyDescent="0.3">
      <c r="A673" s="3">
        <v>5</v>
      </c>
      <c r="B673" s="3" t="s">
        <v>6736</v>
      </c>
      <c r="C673" s="14" t="s">
        <v>0</v>
      </c>
      <c r="D673" s="14" t="s">
        <v>1237</v>
      </c>
      <c r="E673" s="14" t="s">
        <v>4440</v>
      </c>
      <c r="F673" s="14" t="s">
        <v>1238</v>
      </c>
      <c r="G673" s="14" t="s">
        <v>3</v>
      </c>
      <c r="H673" s="14" t="s">
        <v>6737</v>
      </c>
      <c r="I673" s="14" t="s">
        <v>1239</v>
      </c>
      <c r="J673" s="14" t="s">
        <v>60</v>
      </c>
      <c r="K673" s="14" t="s">
        <v>60</v>
      </c>
      <c r="L673" s="14" t="s">
        <v>60</v>
      </c>
      <c r="M673" s="14" t="s">
        <v>1240</v>
      </c>
      <c r="N673" s="14" t="s">
        <v>60</v>
      </c>
      <c r="O673" s="14" t="s">
        <v>60</v>
      </c>
      <c r="P673" s="14" t="s">
        <v>6738</v>
      </c>
      <c r="Q673" s="14" t="s">
        <v>11</v>
      </c>
      <c r="R673" s="3" t="s">
        <v>4170</v>
      </c>
      <c r="S673" s="3">
        <f t="shared" si="34"/>
        <v>550</v>
      </c>
      <c r="T673" s="3">
        <f t="shared" si="35"/>
        <v>17050</v>
      </c>
      <c r="U673" s="3" t="s">
        <v>60</v>
      </c>
      <c r="V673" s="14" t="s">
        <v>6</v>
      </c>
      <c r="W673" s="14" t="s">
        <v>5939</v>
      </c>
      <c r="X673" s="14" t="s">
        <v>60</v>
      </c>
    </row>
    <row r="674" spans="1:24" ht="15" x14ac:dyDescent="0.3">
      <c r="A674" s="3">
        <v>6</v>
      </c>
      <c r="B674" s="3" t="s">
        <v>6739</v>
      </c>
      <c r="C674" s="14" t="s">
        <v>0</v>
      </c>
      <c r="D674" s="14" t="s">
        <v>699</v>
      </c>
      <c r="E674" s="14" t="s">
        <v>4815</v>
      </c>
      <c r="F674" s="14" t="s">
        <v>1241</v>
      </c>
      <c r="G674" s="14" t="s">
        <v>3</v>
      </c>
      <c r="H674" s="14" t="s">
        <v>6740</v>
      </c>
      <c r="I674" s="14" t="s">
        <v>1242</v>
      </c>
      <c r="J674" s="14" t="s">
        <v>60</v>
      </c>
      <c r="K674" s="14" t="s">
        <v>60</v>
      </c>
      <c r="L674" s="14" t="s">
        <v>60</v>
      </c>
      <c r="M674" s="14" t="s">
        <v>1243</v>
      </c>
      <c r="N674" s="14" t="s">
        <v>60</v>
      </c>
      <c r="O674" s="14" t="s">
        <v>60</v>
      </c>
      <c r="P674" s="14" t="s">
        <v>6741</v>
      </c>
      <c r="Q674" s="14" t="s">
        <v>11</v>
      </c>
      <c r="R674" s="3" t="s">
        <v>4170</v>
      </c>
      <c r="S674" s="3">
        <f t="shared" si="34"/>
        <v>550</v>
      </c>
      <c r="T674" s="3">
        <f t="shared" si="35"/>
        <v>17050</v>
      </c>
      <c r="U674" s="3" t="s">
        <v>60</v>
      </c>
      <c r="V674" s="14" t="s">
        <v>6</v>
      </c>
      <c r="W674" s="14" t="s">
        <v>5939</v>
      </c>
      <c r="X674" s="14" t="s">
        <v>60</v>
      </c>
    </row>
    <row r="675" spans="1:24" ht="15" x14ac:dyDescent="0.3">
      <c r="A675" s="3">
        <v>7</v>
      </c>
      <c r="B675" s="3" t="s">
        <v>6742</v>
      </c>
      <c r="C675" s="14" t="s">
        <v>0</v>
      </c>
      <c r="D675" s="14" t="s">
        <v>1249</v>
      </c>
      <c r="E675" s="14" t="s">
        <v>4430</v>
      </c>
      <c r="F675" s="14" t="s">
        <v>1250</v>
      </c>
      <c r="G675" s="14" t="s">
        <v>3</v>
      </c>
      <c r="H675" s="14" t="s">
        <v>6743</v>
      </c>
      <c r="I675" s="14" t="s">
        <v>1251</v>
      </c>
      <c r="J675" s="14" t="s">
        <v>60</v>
      </c>
      <c r="K675" s="14" t="s">
        <v>60</v>
      </c>
      <c r="L675" s="14" t="s">
        <v>60</v>
      </c>
      <c r="M675" s="14" t="s">
        <v>1252</v>
      </c>
      <c r="N675" s="14" t="s">
        <v>60</v>
      </c>
      <c r="O675" s="14" t="s">
        <v>60</v>
      </c>
      <c r="P675" s="14" t="s">
        <v>6744</v>
      </c>
      <c r="Q675" s="14" t="s">
        <v>11</v>
      </c>
      <c r="R675" s="3" t="s">
        <v>4170</v>
      </c>
      <c r="S675" s="3">
        <f t="shared" si="34"/>
        <v>550</v>
      </c>
      <c r="T675" s="3">
        <f t="shared" si="35"/>
        <v>17050</v>
      </c>
      <c r="U675" s="3" t="s">
        <v>60</v>
      </c>
      <c r="V675" s="14" t="s">
        <v>6</v>
      </c>
      <c r="W675" s="14" t="s">
        <v>5939</v>
      </c>
      <c r="X675" s="14" t="s">
        <v>60</v>
      </c>
    </row>
    <row r="676" spans="1:24" ht="15" x14ac:dyDescent="0.3">
      <c r="A676" s="3">
        <v>8</v>
      </c>
      <c r="B676" s="3" t="s">
        <v>6745</v>
      </c>
      <c r="C676" s="14" t="s">
        <v>0</v>
      </c>
      <c r="D676" s="14" t="s">
        <v>1253</v>
      </c>
      <c r="E676" s="14" t="s">
        <v>6208</v>
      </c>
      <c r="F676" s="14" t="s">
        <v>1254</v>
      </c>
      <c r="G676" s="14" t="s">
        <v>3</v>
      </c>
      <c r="H676" s="14" t="s">
        <v>6746</v>
      </c>
      <c r="I676" s="14" t="s">
        <v>1255</v>
      </c>
      <c r="J676" s="14" t="s">
        <v>60</v>
      </c>
      <c r="K676" s="14" t="s">
        <v>60</v>
      </c>
      <c r="L676" s="14" t="s">
        <v>60</v>
      </c>
      <c r="M676" s="14" t="s">
        <v>1256</v>
      </c>
      <c r="N676" s="14" t="s">
        <v>60</v>
      </c>
      <c r="O676" s="14" t="s">
        <v>60</v>
      </c>
      <c r="P676" s="14" t="s">
        <v>6747</v>
      </c>
      <c r="Q676" s="14" t="s">
        <v>11</v>
      </c>
      <c r="R676" s="3" t="s">
        <v>4170</v>
      </c>
      <c r="S676" s="3">
        <f t="shared" si="34"/>
        <v>550</v>
      </c>
      <c r="T676" s="3">
        <f t="shared" si="35"/>
        <v>17050</v>
      </c>
      <c r="U676" s="3" t="s">
        <v>60</v>
      </c>
      <c r="V676" s="14" t="s">
        <v>6</v>
      </c>
      <c r="W676" s="14" t="s">
        <v>5939</v>
      </c>
      <c r="X676" s="14" t="s">
        <v>60</v>
      </c>
    </row>
    <row r="677" spans="1:24" ht="15" x14ac:dyDescent="0.3">
      <c r="A677" s="3">
        <v>9</v>
      </c>
      <c r="B677" s="3" t="s">
        <v>6748</v>
      </c>
      <c r="C677" s="14" t="s">
        <v>91</v>
      </c>
      <c r="D677" s="14" t="s">
        <v>1257</v>
      </c>
      <c r="E677" s="14" t="s">
        <v>4200</v>
      </c>
      <c r="F677" s="14" t="s">
        <v>1258</v>
      </c>
      <c r="G677" s="14" t="s">
        <v>3</v>
      </c>
      <c r="H677" s="14" t="s">
        <v>6749</v>
      </c>
      <c r="I677" s="14" t="s">
        <v>1259</v>
      </c>
      <c r="J677" s="14" t="s">
        <v>60</v>
      </c>
      <c r="K677" s="14" t="s">
        <v>60</v>
      </c>
      <c r="L677" s="14" t="s">
        <v>60</v>
      </c>
      <c r="M677" s="14" t="s">
        <v>1260</v>
      </c>
      <c r="N677" s="14" t="s">
        <v>60</v>
      </c>
      <c r="O677" s="14" t="s">
        <v>193</v>
      </c>
      <c r="P677" s="14" t="s">
        <v>6750</v>
      </c>
      <c r="Q677" s="14" t="s">
        <v>11</v>
      </c>
      <c r="R677" s="3" t="s">
        <v>4170</v>
      </c>
      <c r="S677" s="3">
        <f t="shared" si="34"/>
        <v>770</v>
      </c>
      <c r="T677" s="3">
        <f t="shared" si="35"/>
        <v>23870</v>
      </c>
      <c r="U677" s="3" t="s">
        <v>60</v>
      </c>
      <c r="V677" s="14" t="s">
        <v>6</v>
      </c>
      <c r="W677" s="14" t="s">
        <v>6349</v>
      </c>
      <c r="X677" s="14" t="s">
        <v>60</v>
      </c>
    </row>
    <row r="678" spans="1:24" ht="15" x14ac:dyDescent="0.3">
      <c r="A678" s="3">
        <v>10</v>
      </c>
      <c r="B678" s="3" t="s">
        <v>1261</v>
      </c>
      <c r="C678" s="14" t="s">
        <v>710</v>
      </c>
      <c r="D678" s="14" t="s">
        <v>1262</v>
      </c>
      <c r="E678" s="14" t="s">
        <v>6751</v>
      </c>
      <c r="F678" s="14" t="s">
        <v>1263</v>
      </c>
      <c r="G678" s="14" t="s">
        <v>3</v>
      </c>
      <c r="H678" s="14" t="s">
        <v>6752</v>
      </c>
      <c r="I678" s="14" t="s">
        <v>1264</v>
      </c>
      <c r="J678" s="14" t="s">
        <v>1265</v>
      </c>
      <c r="K678" s="14" t="s">
        <v>1152</v>
      </c>
      <c r="L678" s="14" t="s">
        <v>60</v>
      </c>
      <c r="M678" s="14" t="s">
        <v>1266</v>
      </c>
      <c r="N678" s="14" t="s">
        <v>60</v>
      </c>
      <c r="O678" s="14" t="s">
        <v>193</v>
      </c>
      <c r="P678" s="14" t="s">
        <v>6753</v>
      </c>
      <c r="Q678" s="14" t="s">
        <v>185</v>
      </c>
      <c r="R678" s="3" t="s">
        <v>4170</v>
      </c>
      <c r="S678" s="3">
        <f t="shared" si="34"/>
        <v>900</v>
      </c>
      <c r="T678" s="3">
        <f t="shared" si="35"/>
        <v>27900</v>
      </c>
      <c r="U678" s="3" t="s">
        <v>60</v>
      </c>
      <c r="V678" s="14" t="s">
        <v>6</v>
      </c>
      <c r="W678" s="14" t="s">
        <v>4287</v>
      </c>
      <c r="X678" s="14" t="s">
        <v>60</v>
      </c>
    </row>
    <row r="679" spans="1:24" ht="15" x14ac:dyDescent="0.3">
      <c r="A679" s="3">
        <v>11</v>
      </c>
      <c r="B679" s="3" t="s">
        <v>1267</v>
      </c>
      <c r="C679" s="14" t="s">
        <v>710</v>
      </c>
      <c r="D679" s="14" t="s">
        <v>1268</v>
      </c>
      <c r="E679" s="14" t="s">
        <v>6754</v>
      </c>
      <c r="F679" s="14" t="s">
        <v>1269</v>
      </c>
      <c r="G679" s="14" t="s">
        <v>3</v>
      </c>
      <c r="H679" s="14" t="s">
        <v>6755</v>
      </c>
      <c r="I679" s="14" t="s">
        <v>1270</v>
      </c>
      <c r="J679" s="14" t="s">
        <v>1265</v>
      </c>
      <c r="K679" s="14" t="s">
        <v>1152</v>
      </c>
      <c r="L679" s="14" t="s">
        <v>60</v>
      </c>
      <c r="M679" s="14" t="s">
        <v>1271</v>
      </c>
      <c r="N679" s="14" t="s">
        <v>60</v>
      </c>
      <c r="O679" s="14" t="s">
        <v>193</v>
      </c>
      <c r="P679" s="14" t="s">
        <v>6756</v>
      </c>
      <c r="Q679" s="14" t="s">
        <v>185</v>
      </c>
      <c r="R679" s="3" t="s">
        <v>4170</v>
      </c>
      <c r="S679" s="3">
        <f t="shared" si="34"/>
        <v>900</v>
      </c>
      <c r="T679" s="3">
        <f t="shared" si="35"/>
        <v>27900</v>
      </c>
      <c r="U679" s="3" t="s">
        <v>60</v>
      </c>
      <c r="V679" s="14" t="s">
        <v>6</v>
      </c>
      <c r="W679" s="14" t="s">
        <v>6349</v>
      </c>
      <c r="X679" s="14" t="s">
        <v>60</v>
      </c>
    </row>
    <row r="680" spans="1:24" ht="15" x14ac:dyDescent="0.3">
      <c r="A680" s="3">
        <v>12</v>
      </c>
      <c r="B680" s="3" t="s">
        <v>6757</v>
      </c>
      <c r="C680" s="14" t="s">
        <v>313</v>
      </c>
      <c r="D680" s="14" t="s">
        <v>1272</v>
      </c>
      <c r="E680" s="14" t="s">
        <v>4205</v>
      </c>
      <c r="F680" s="14" t="s">
        <v>1273</v>
      </c>
      <c r="G680" s="14" t="s">
        <v>3</v>
      </c>
      <c r="H680" s="14" t="s">
        <v>1274</v>
      </c>
      <c r="I680" s="14" t="s">
        <v>1275</v>
      </c>
      <c r="J680" s="14" t="s">
        <v>60</v>
      </c>
      <c r="K680" s="14" t="s">
        <v>60</v>
      </c>
      <c r="L680" s="14" t="s">
        <v>60</v>
      </c>
      <c r="M680" s="14" t="s">
        <v>1276</v>
      </c>
      <c r="N680" s="14" t="s">
        <v>60</v>
      </c>
      <c r="O680" s="14" t="s">
        <v>193</v>
      </c>
      <c r="P680" s="14" t="s">
        <v>6758</v>
      </c>
      <c r="Q680" s="14" t="s">
        <v>11</v>
      </c>
      <c r="R680" s="3" t="s">
        <v>4170</v>
      </c>
      <c r="S680" s="3">
        <f t="shared" si="34"/>
        <v>550</v>
      </c>
      <c r="T680" s="3">
        <f t="shared" si="35"/>
        <v>17050</v>
      </c>
      <c r="U680" s="3" t="s">
        <v>60</v>
      </c>
      <c r="V680" s="14" t="s">
        <v>6</v>
      </c>
      <c r="W680" s="14" t="s">
        <v>6349</v>
      </c>
      <c r="X680" s="14" t="s">
        <v>60</v>
      </c>
    </row>
    <row r="681" spans="1:24" ht="15" x14ac:dyDescent="0.3">
      <c r="A681" s="3">
        <v>13</v>
      </c>
      <c r="B681" s="3" t="s">
        <v>6759</v>
      </c>
      <c r="C681" s="14" t="s">
        <v>390</v>
      </c>
      <c r="D681" s="14" t="s">
        <v>1277</v>
      </c>
      <c r="E681" s="14" t="s">
        <v>6760</v>
      </c>
      <c r="F681" s="14" t="s">
        <v>1278</v>
      </c>
      <c r="G681" s="14" t="s">
        <v>3</v>
      </c>
      <c r="H681" s="14" t="s">
        <v>1279</v>
      </c>
      <c r="I681" s="14" t="s">
        <v>1280</v>
      </c>
      <c r="J681" s="14" t="s">
        <v>60</v>
      </c>
      <c r="K681" s="14" t="s">
        <v>60</v>
      </c>
      <c r="L681" s="14" t="s">
        <v>60</v>
      </c>
      <c r="M681" s="14" t="s">
        <v>1281</v>
      </c>
      <c r="N681" s="14" t="s">
        <v>60</v>
      </c>
      <c r="O681" s="14" t="s">
        <v>6761</v>
      </c>
      <c r="P681" s="14" t="s">
        <v>6762</v>
      </c>
      <c r="Q681" s="14" t="s">
        <v>11</v>
      </c>
      <c r="R681" s="3" t="s">
        <v>4170</v>
      </c>
      <c r="S681" s="3">
        <f t="shared" si="34"/>
        <v>770</v>
      </c>
      <c r="T681" s="3">
        <f t="shared" si="35"/>
        <v>23870</v>
      </c>
      <c r="U681" s="3" t="s">
        <v>60</v>
      </c>
      <c r="V681" s="14" t="s">
        <v>6</v>
      </c>
      <c r="W681" s="14" t="s">
        <v>6349</v>
      </c>
      <c r="X681" s="14" t="s">
        <v>60</v>
      </c>
    </row>
    <row r="682" spans="1:24" ht="15" x14ac:dyDescent="0.3">
      <c r="A682" s="3">
        <v>14</v>
      </c>
      <c r="B682" s="3" t="s">
        <v>6763</v>
      </c>
      <c r="C682" s="14" t="s">
        <v>0</v>
      </c>
      <c r="D682" s="14" t="s">
        <v>1283</v>
      </c>
      <c r="E682" s="14" t="s">
        <v>5557</v>
      </c>
      <c r="F682" s="14" t="s">
        <v>1284</v>
      </c>
      <c r="G682" s="14" t="s">
        <v>3</v>
      </c>
      <c r="H682" s="14" t="s">
        <v>6764</v>
      </c>
      <c r="I682" s="14" t="s">
        <v>1285</v>
      </c>
      <c r="J682" s="14" t="s">
        <v>60</v>
      </c>
      <c r="K682" s="14" t="s">
        <v>60</v>
      </c>
      <c r="L682" s="14" t="s">
        <v>60</v>
      </c>
      <c r="M682" s="14" t="s">
        <v>1286</v>
      </c>
      <c r="N682" s="14" t="s">
        <v>60</v>
      </c>
      <c r="O682" s="14" t="s">
        <v>6765</v>
      </c>
      <c r="P682" s="14" t="s">
        <v>6766</v>
      </c>
      <c r="Q682" s="14" t="s">
        <v>11</v>
      </c>
      <c r="R682" s="3" t="s">
        <v>4300</v>
      </c>
      <c r="S682" s="3">
        <f t="shared" si="34"/>
        <v>550</v>
      </c>
      <c r="T682" s="3">
        <f t="shared" si="35"/>
        <v>15950</v>
      </c>
      <c r="U682" s="3" t="s">
        <v>60</v>
      </c>
      <c r="V682" s="14" t="s">
        <v>6</v>
      </c>
      <c r="W682" s="14" t="s">
        <v>6318</v>
      </c>
      <c r="X682" s="14" t="s">
        <v>60</v>
      </c>
    </row>
    <row r="683" spans="1:24" ht="15" x14ac:dyDescent="0.3">
      <c r="A683" s="3">
        <v>15</v>
      </c>
      <c r="B683" s="3" t="s">
        <v>6767</v>
      </c>
      <c r="C683" s="14" t="s">
        <v>0</v>
      </c>
      <c r="D683" s="14" t="s">
        <v>1287</v>
      </c>
      <c r="E683" s="14" t="s">
        <v>4205</v>
      </c>
      <c r="F683" s="14" t="s">
        <v>1288</v>
      </c>
      <c r="G683" s="14" t="s">
        <v>3</v>
      </c>
      <c r="H683" s="14" t="s">
        <v>6768</v>
      </c>
      <c r="I683" s="14" t="s">
        <v>1289</v>
      </c>
      <c r="J683" s="14" t="s">
        <v>60</v>
      </c>
      <c r="K683" s="14" t="s">
        <v>60</v>
      </c>
      <c r="L683" s="14" t="s">
        <v>60</v>
      </c>
      <c r="M683" s="14" t="s">
        <v>1290</v>
      </c>
      <c r="N683" s="14" t="s">
        <v>60</v>
      </c>
      <c r="O683" s="14" t="s">
        <v>395</v>
      </c>
      <c r="P683" s="14" t="s">
        <v>6769</v>
      </c>
      <c r="Q683" s="14" t="s">
        <v>11</v>
      </c>
      <c r="R683" s="3" t="s">
        <v>4170</v>
      </c>
      <c r="S683" s="3">
        <f t="shared" si="34"/>
        <v>550</v>
      </c>
      <c r="T683" s="3">
        <f t="shared" si="35"/>
        <v>17050</v>
      </c>
      <c r="U683" s="3" t="s">
        <v>60</v>
      </c>
      <c r="V683" s="14" t="s">
        <v>6</v>
      </c>
      <c r="W683" s="14" t="s">
        <v>6318</v>
      </c>
      <c r="X683" s="14" t="s">
        <v>60</v>
      </c>
    </row>
    <row r="684" spans="1:24" ht="15" x14ac:dyDescent="0.3">
      <c r="A684" s="3">
        <v>16</v>
      </c>
      <c r="B684" s="3" t="s">
        <v>6770</v>
      </c>
      <c r="C684" s="14" t="s">
        <v>0</v>
      </c>
      <c r="D684" s="14" t="s">
        <v>1291</v>
      </c>
      <c r="E684" s="14" t="s">
        <v>4304</v>
      </c>
      <c r="F684" s="14" t="s">
        <v>1292</v>
      </c>
      <c r="G684" s="14" t="s">
        <v>3</v>
      </c>
      <c r="H684" s="14" t="s">
        <v>6771</v>
      </c>
      <c r="I684" s="14" t="s">
        <v>1293</v>
      </c>
      <c r="J684" s="14" t="s">
        <v>60</v>
      </c>
      <c r="K684" s="14" t="s">
        <v>60</v>
      </c>
      <c r="L684" s="14" t="s">
        <v>60</v>
      </c>
      <c r="M684" s="14" t="s">
        <v>1294</v>
      </c>
      <c r="N684" s="14" t="s">
        <v>60</v>
      </c>
      <c r="O684" s="14" t="s">
        <v>395</v>
      </c>
      <c r="P684" s="14" t="s">
        <v>6772</v>
      </c>
      <c r="Q684" s="14" t="s">
        <v>11</v>
      </c>
      <c r="R684" s="3" t="s">
        <v>4170</v>
      </c>
      <c r="S684" s="3">
        <f t="shared" si="34"/>
        <v>550</v>
      </c>
      <c r="T684" s="3">
        <f t="shared" si="35"/>
        <v>17050</v>
      </c>
      <c r="U684" s="3" t="s">
        <v>60</v>
      </c>
      <c r="V684" s="14" t="s">
        <v>6</v>
      </c>
      <c r="W684" s="14" t="s">
        <v>6318</v>
      </c>
      <c r="X684" s="14" t="s">
        <v>60</v>
      </c>
    </row>
    <row r="685" spans="1:24" ht="15" x14ac:dyDescent="0.3">
      <c r="A685" s="3">
        <v>17</v>
      </c>
      <c r="B685" s="3" t="s">
        <v>6773</v>
      </c>
      <c r="C685" s="14" t="s">
        <v>0</v>
      </c>
      <c r="D685" s="14" t="s">
        <v>1296</v>
      </c>
      <c r="E685" s="14" t="s">
        <v>6774</v>
      </c>
      <c r="F685" s="14" t="s">
        <v>1297</v>
      </c>
      <c r="G685" s="14" t="s">
        <v>3</v>
      </c>
      <c r="H685" s="14" t="s">
        <v>6775</v>
      </c>
      <c r="I685" s="14" t="s">
        <v>1298</v>
      </c>
      <c r="J685" s="14" t="s">
        <v>60</v>
      </c>
      <c r="K685" s="14" t="s">
        <v>60</v>
      </c>
      <c r="L685" s="14" t="s">
        <v>60</v>
      </c>
      <c r="M685" s="14" t="s">
        <v>1299</v>
      </c>
      <c r="N685" s="14" t="s">
        <v>60</v>
      </c>
      <c r="O685" s="14" t="s">
        <v>395</v>
      </c>
      <c r="P685" s="14" t="s">
        <v>6776</v>
      </c>
      <c r="Q685" s="14" t="s">
        <v>11</v>
      </c>
      <c r="R685" s="3" t="s">
        <v>4170</v>
      </c>
      <c r="S685" s="3">
        <f t="shared" si="34"/>
        <v>550</v>
      </c>
      <c r="T685" s="3">
        <f t="shared" si="35"/>
        <v>17050</v>
      </c>
      <c r="U685" s="3" t="s">
        <v>60</v>
      </c>
      <c r="V685" s="14" t="s">
        <v>6</v>
      </c>
      <c r="W685" s="14" t="s">
        <v>6318</v>
      </c>
      <c r="X685" s="14" t="s">
        <v>60</v>
      </c>
    </row>
    <row r="686" spans="1:24" ht="15" x14ac:dyDescent="0.3">
      <c r="A686" s="3">
        <v>18</v>
      </c>
      <c r="B686" s="3" t="s">
        <v>6777</v>
      </c>
      <c r="C686" s="14" t="s">
        <v>0</v>
      </c>
      <c r="D686" s="14" t="s">
        <v>1300</v>
      </c>
      <c r="E686" s="14" t="s">
        <v>6778</v>
      </c>
      <c r="F686" s="14" t="s">
        <v>1301</v>
      </c>
      <c r="G686" s="14" t="s">
        <v>3</v>
      </c>
      <c r="H686" s="14" t="s">
        <v>6779</v>
      </c>
      <c r="I686" s="14" t="s">
        <v>1302</v>
      </c>
      <c r="J686" s="14" t="s">
        <v>60</v>
      </c>
      <c r="K686" s="14" t="s">
        <v>60</v>
      </c>
      <c r="L686" s="14" t="s">
        <v>60</v>
      </c>
      <c r="M686" s="14" t="s">
        <v>1303</v>
      </c>
      <c r="N686" s="14" t="s">
        <v>60</v>
      </c>
      <c r="O686" s="14" t="s">
        <v>395</v>
      </c>
      <c r="P686" s="14" t="s">
        <v>6780</v>
      </c>
      <c r="Q686" s="14" t="s">
        <v>11</v>
      </c>
      <c r="R686" s="3" t="s">
        <v>4170</v>
      </c>
      <c r="S686" s="3">
        <f t="shared" si="34"/>
        <v>550</v>
      </c>
      <c r="T686" s="3">
        <f t="shared" si="35"/>
        <v>17050</v>
      </c>
      <c r="U686" s="3" t="s">
        <v>60</v>
      </c>
      <c r="V686" s="14" t="s">
        <v>6</v>
      </c>
      <c r="W686" s="14" t="s">
        <v>6318</v>
      </c>
      <c r="X686" s="14" t="s">
        <v>60</v>
      </c>
    </row>
    <row r="687" spans="1:24" ht="15" x14ac:dyDescent="0.3">
      <c r="A687" s="3">
        <v>19</v>
      </c>
      <c r="B687" s="3" t="s">
        <v>6781</v>
      </c>
      <c r="C687" s="14" t="s">
        <v>91</v>
      </c>
      <c r="D687" s="14" t="s">
        <v>1304</v>
      </c>
      <c r="E687" s="14" t="s">
        <v>6782</v>
      </c>
      <c r="F687" s="14" t="s">
        <v>1305</v>
      </c>
      <c r="G687" s="14" t="s">
        <v>3</v>
      </c>
      <c r="H687" s="14" t="s">
        <v>6783</v>
      </c>
      <c r="I687" s="14" t="s">
        <v>1306</v>
      </c>
      <c r="J687" s="14" t="s">
        <v>60</v>
      </c>
      <c r="K687" s="14" t="s">
        <v>60</v>
      </c>
      <c r="L687" s="14" t="s">
        <v>60</v>
      </c>
      <c r="M687" s="14" t="s">
        <v>1307</v>
      </c>
      <c r="N687" s="14" t="s">
        <v>60</v>
      </c>
      <c r="O687" s="14" t="s">
        <v>193</v>
      </c>
      <c r="P687" s="14" t="s">
        <v>6784</v>
      </c>
      <c r="Q687" s="14" t="s">
        <v>1153</v>
      </c>
      <c r="R687" s="3" t="s">
        <v>4170</v>
      </c>
      <c r="S687" s="3">
        <f t="shared" si="34"/>
        <v>770</v>
      </c>
      <c r="T687" s="3">
        <f t="shared" si="35"/>
        <v>23870</v>
      </c>
      <c r="U687" s="3" t="s">
        <v>60</v>
      </c>
      <c r="V687" s="14" t="s">
        <v>6</v>
      </c>
      <c r="W687" s="14" t="s">
        <v>6349</v>
      </c>
      <c r="X687" s="14" t="s">
        <v>60</v>
      </c>
    </row>
    <row r="688" spans="1:24" ht="15" x14ac:dyDescent="0.3">
      <c r="A688" s="3">
        <v>20</v>
      </c>
      <c r="B688" s="3" t="s">
        <v>6785</v>
      </c>
      <c r="C688" s="14" t="s">
        <v>0</v>
      </c>
      <c r="D688" s="14" t="s">
        <v>1308</v>
      </c>
      <c r="E688" s="14" t="s">
        <v>5390</v>
      </c>
      <c r="F688" s="14" t="s">
        <v>1229</v>
      </c>
      <c r="G688" s="14" t="s">
        <v>3</v>
      </c>
      <c r="H688" s="14" t="s">
        <v>6786</v>
      </c>
      <c r="I688" s="14" t="s">
        <v>1309</v>
      </c>
      <c r="J688" s="14" t="s">
        <v>60</v>
      </c>
      <c r="K688" s="14" t="s">
        <v>60</v>
      </c>
      <c r="L688" s="14" t="s">
        <v>60</v>
      </c>
      <c r="M688" s="14" t="s">
        <v>1310</v>
      </c>
      <c r="N688" s="14" t="s">
        <v>60</v>
      </c>
      <c r="O688" s="14" t="s">
        <v>114</v>
      </c>
      <c r="P688" s="14" t="s">
        <v>6787</v>
      </c>
      <c r="Q688" s="14" t="s">
        <v>11</v>
      </c>
      <c r="R688" s="3" t="s">
        <v>4170</v>
      </c>
      <c r="S688" s="3">
        <f t="shared" si="34"/>
        <v>550</v>
      </c>
      <c r="T688" s="3">
        <f t="shared" si="35"/>
        <v>17050</v>
      </c>
      <c r="U688" s="3" t="s">
        <v>6788</v>
      </c>
      <c r="V688" s="14" t="s">
        <v>6</v>
      </c>
      <c r="W688" s="14" t="s">
        <v>6789</v>
      </c>
      <c r="X688" s="14" t="s">
        <v>60</v>
      </c>
    </row>
    <row r="689" spans="1:24" ht="15" x14ac:dyDescent="0.3">
      <c r="A689" s="3">
        <v>21</v>
      </c>
      <c r="B689" s="3" t="s">
        <v>6790</v>
      </c>
      <c r="C689" s="14" t="s">
        <v>91</v>
      </c>
      <c r="D689" s="14" t="s">
        <v>1311</v>
      </c>
      <c r="E689" s="14" t="s">
        <v>6791</v>
      </c>
      <c r="F689" s="14" t="s">
        <v>1312</v>
      </c>
      <c r="G689" s="14" t="s">
        <v>3</v>
      </c>
      <c r="H689" s="14" t="s">
        <v>6792</v>
      </c>
      <c r="I689" s="14" t="s">
        <v>1313</v>
      </c>
      <c r="J689" s="14" t="s">
        <v>1265</v>
      </c>
      <c r="K689" s="14" t="s">
        <v>60</v>
      </c>
      <c r="L689" s="14" t="s">
        <v>60</v>
      </c>
      <c r="M689" s="14" t="s">
        <v>1314</v>
      </c>
      <c r="N689" s="14" t="s">
        <v>60</v>
      </c>
      <c r="O689" s="14" t="s">
        <v>193</v>
      </c>
      <c r="P689" s="14" t="s">
        <v>6793</v>
      </c>
      <c r="Q689" s="14" t="s">
        <v>588</v>
      </c>
      <c r="R689" s="3" t="s">
        <v>4170</v>
      </c>
      <c r="S689" s="3">
        <f t="shared" si="34"/>
        <v>770</v>
      </c>
      <c r="T689" s="3">
        <f t="shared" si="35"/>
        <v>23870</v>
      </c>
      <c r="U689" s="3" t="s">
        <v>60</v>
      </c>
      <c r="V689" s="14" t="s">
        <v>6</v>
      </c>
      <c r="W689" s="14" t="s">
        <v>4287</v>
      </c>
      <c r="X689" s="14" t="s">
        <v>60</v>
      </c>
    </row>
    <row r="690" spans="1:24" ht="15" x14ac:dyDescent="0.3">
      <c r="A690" s="3">
        <v>22</v>
      </c>
      <c r="B690" s="3" t="s">
        <v>1315</v>
      </c>
      <c r="C690" s="14" t="s">
        <v>710</v>
      </c>
      <c r="D690" s="14" t="s">
        <v>1316</v>
      </c>
      <c r="E690" s="14" t="s">
        <v>6794</v>
      </c>
      <c r="F690" s="14" t="s">
        <v>178</v>
      </c>
      <c r="G690" s="14" t="s">
        <v>3</v>
      </c>
      <c r="H690" s="14" t="s">
        <v>6795</v>
      </c>
      <c r="I690" s="14" t="s">
        <v>1317</v>
      </c>
      <c r="J690" s="14" t="s">
        <v>228</v>
      </c>
      <c r="K690" s="14" t="s">
        <v>60</v>
      </c>
      <c r="L690" s="14" t="s">
        <v>60</v>
      </c>
      <c r="M690" s="14" t="s">
        <v>1318</v>
      </c>
      <c r="N690" s="14" t="s">
        <v>60</v>
      </c>
      <c r="O690" s="14" t="s">
        <v>193</v>
      </c>
      <c r="P690" s="14" t="s">
        <v>6796</v>
      </c>
      <c r="Q690" s="14" t="s">
        <v>185</v>
      </c>
      <c r="R690" s="3" t="s">
        <v>4170</v>
      </c>
      <c r="S690" s="3">
        <f t="shared" si="34"/>
        <v>900</v>
      </c>
      <c r="T690" s="3">
        <f t="shared" si="35"/>
        <v>27900</v>
      </c>
      <c r="U690" s="3" t="s">
        <v>60</v>
      </c>
      <c r="V690" s="14" t="s">
        <v>6</v>
      </c>
      <c r="W690" s="14" t="s">
        <v>6349</v>
      </c>
      <c r="X690" s="14" t="s">
        <v>60</v>
      </c>
    </row>
    <row r="691" spans="1:24" ht="15" x14ac:dyDescent="0.3">
      <c r="A691" s="3">
        <v>23</v>
      </c>
      <c r="B691" s="3" t="s">
        <v>6797</v>
      </c>
      <c r="C691" s="14" t="s">
        <v>26</v>
      </c>
      <c r="D691" s="14" t="s">
        <v>1324</v>
      </c>
      <c r="E691" s="14" t="s">
        <v>5390</v>
      </c>
      <c r="F691" s="14" t="s">
        <v>1325</v>
      </c>
      <c r="G691" s="14" t="s">
        <v>3</v>
      </c>
      <c r="H691" s="14" t="s">
        <v>6798</v>
      </c>
      <c r="I691" s="14" t="s">
        <v>1326</v>
      </c>
      <c r="J691" s="14" t="s">
        <v>60</v>
      </c>
      <c r="K691" s="14" t="s">
        <v>60</v>
      </c>
      <c r="L691" s="14" t="s">
        <v>60</v>
      </c>
      <c r="M691" s="14" t="s">
        <v>60</v>
      </c>
      <c r="N691" s="14" t="s">
        <v>60</v>
      </c>
      <c r="O691" s="14" t="s">
        <v>60</v>
      </c>
      <c r="P691" s="14" t="s">
        <v>6799</v>
      </c>
      <c r="Q691" s="14" t="s">
        <v>11</v>
      </c>
      <c r="R691" s="3" t="s">
        <v>4170</v>
      </c>
      <c r="S691" s="3">
        <f t="shared" si="34"/>
        <v>770</v>
      </c>
      <c r="T691" s="3">
        <f t="shared" si="35"/>
        <v>23870</v>
      </c>
      <c r="U691" s="3" t="s">
        <v>60</v>
      </c>
      <c r="V691" s="14" t="s">
        <v>6241</v>
      </c>
      <c r="W691" s="14" t="s">
        <v>6800</v>
      </c>
      <c r="X691" s="14" t="s">
        <v>60</v>
      </c>
    </row>
    <row r="692" spans="1:24" ht="15" x14ac:dyDescent="0.3">
      <c r="A692" s="3">
        <v>24</v>
      </c>
      <c r="B692" s="3" t="s">
        <v>6801</v>
      </c>
      <c r="C692" s="14" t="s">
        <v>0</v>
      </c>
      <c r="D692" s="14" t="s">
        <v>1638</v>
      </c>
      <c r="E692" s="14" t="s">
        <v>6802</v>
      </c>
      <c r="F692" s="14" t="s">
        <v>1639</v>
      </c>
      <c r="G692" s="14" t="s">
        <v>3</v>
      </c>
      <c r="H692" s="14" t="s">
        <v>6803</v>
      </c>
      <c r="I692" s="14" t="s">
        <v>1640</v>
      </c>
      <c r="J692" s="14" t="s">
        <v>60</v>
      </c>
      <c r="K692" s="14" t="s">
        <v>60</v>
      </c>
      <c r="L692" s="14" t="s">
        <v>60</v>
      </c>
      <c r="M692" s="14" t="s">
        <v>1641</v>
      </c>
      <c r="N692" s="14" t="s">
        <v>60</v>
      </c>
      <c r="O692" s="14" t="s">
        <v>454</v>
      </c>
      <c r="P692" s="14" t="s">
        <v>6804</v>
      </c>
      <c r="Q692" s="14" t="s">
        <v>11</v>
      </c>
      <c r="R692" s="3" t="s">
        <v>4170</v>
      </c>
      <c r="S692" s="3">
        <f t="shared" si="34"/>
        <v>550</v>
      </c>
      <c r="T692" s="3">
        <f t="shared" si="35"/>
        <v>17050</v>
      </c>
      <c r="U692" s="3" t="s">
        <v>60</v>
      </c>
      <c r="V692" s="14" t="s">
        <v>6</v>
      </c>
      <c r="W692" s="14" t="s">
        <v>6805</v>
      </c>
      <c r="X692" s="14" t="s">
        <v>60</v>
      </c>
    </row>
    <row r="693" spans="1:24" ht="15" x14ac:dyDescent="0.3">
      <c r="A693" s="3">
        <v>25</v>
      </c>
      <c r="B693" s="3" t="s">
        <v>6806</v>
      </c>
      <c r="C693" s="14" t="s">
        <v>0</v>
      </c>
      <c r="D693" s="14" t="s">
        <v>1634</v>
      </c>
      <c r="E693" s="14" t="s">
        <v>6807</v>
      </c>
      <c r="F693" s="14" t="s">
        <v>1115</v>
      </c>
      <c r="G693" s="14" t="s">
        <v>3</v>
      </c>
      <c r="H693" s="14" t="s">
        <v>6808</v>
      </c>
      <c r="I693" s="14" t="s">
        <v>1635</v>
      </c>
      <c r="J693" s="14" t="s">
        <v>60</v>
      </c>
      <c r="K693" s="14" t="s">
        <v>60</v>
      </c>
      <c r="L693" s="14" t="s">
        <v>60</v>
      </c>
      <c r="M693" s="14" t="s">
        <v>1636</v>
      </c>
      <c r="N693" s="14" t="s">
        <v>60</v>
      </c>
      <c r="O693" s="14" t="s">
        <v>60</v>
      </c>
      <c r="P693" s="14" t="s">
        <v>6809</v>
      </c>
      <c r="Q693" s="14" t="s">
        <v>1637</v>
      </c>
      <c r="R693" s="3" t="s">
        <v>4170</v>
      </c>
      <c r="S693" s="3">
        <f t="shared" si="34"/>
        <v>550</v>
      </c>
      <c r="T693" s="3">
        <f t="shared" si="35"/>
        <v>17050</v>
      </c>
      <c r="U693" s="3" t="s">
        <v>60</v>
      </c>
      <c r="V693" s="14" t="s">
        <v>6</v>
      </c>
      <c r="W693" s="14" t="s">
        <v>4634</v>
      </c>
      <c r="X693" s="14" t="s">
        <v>60</v>
      </c>
    </row>
    <row r="694" spans="1:24" ht="15" x14ac:dyDescent="0.3">
      <c r="A694" s="3">
        <v>26</v>
      </c>
      <c r="B694" s="3" t="s">
        <v>6810</v>
      </c>
      <c r="C694" s="14" t="s">
        <v>0</v>
      </c>
      <c r="D694" s="14" t="s">
        <v>1648</v>
      </c>
      <c r="E694" s="14" t="s">
        <v>6811</v>
      </c>
      <c r="F694" s="14" t="s">
        <v>1649</v>
      </c>
      <c r="G694" s="14" t="s">
        <v>3</v>
      </c>
      <c r="H694" s="14" t="s">
        <v>6812</v>
      </c>
      <c r="I694" s="14" t="s">
        <v>6813</v>
      </c>
      <c r="J694" s="14" t="s">
        <v>60</v>
      </c>
      <c r="K694" s="14" t="s">
        <v>60</v>
      </c>
      <c r="L694" s="14" t="s">
        <v>60</v>
      </c>
      <c r="M694" s="14" t="s">
        <v>1650</v>
      </c>
      <c r="N694" s="14" t="s">
        <v>60</v>
      </c>
      <c r="O694" s="14" t="s">
        <v>1143</v>
      </c>
      <c r="P694" s="14" t="s">
        <v>6814</v>
      </c>
      <c r="Q694" s="14" t="s">
        <v>11</v>
      </c>
      <c r="R694" s="3" t="s">
        <v>4170</v>
      </c>
      <c r="S694" s="3">
        <f t="shared" si="34"/>
        <v>550</v>
      </c>
      <c r="T694" s="3">
        <f t="shared" si="35"/>
        <v>17050</v>
      </c>
      <c r="U694" s="3" t="s">
        <v>60</v>
      </c>
      <c r="V694" s="14" t="s">
        <v>6</v>
      </c>
      <c r="W694" s="14" t="s">
        <v>6265</v>
      </c>
      <c r="X694" s="14" t="s">
        <v>60</v>
      </c>
    </row>
    <row r="695" spans="1:24" ht="15" x14ac:dyDescent="0.3">
      <c r="A695" s="3">
        <v>27</v>
      </c>
      <c r="B695" s="3" t="s">
        <v>6815</v>
      </c>
      <c r="C695" s="14" t="s">
        <v>0</v>
      </c>
      <c r="D695" s="14" t="s">
        <v>1654</v>
      </c>
      <c r="E695" s="14" t="s">
        <v>6816</v>
      </c>
      <c r="F695" s="14" t="s">
        <v>1648</v>
      </c>
      <c r="G695" s="14" t="s">
        <v>3</v>
      </c>
      <c r="H695" s="14" t="s">
        <v>6817</v>
      </c>
      <c r="I695" s="14" t="s">
        <v>1655</v>
      </c>
      <c r="J695" s="14" t="s">
        <v>60</v>
      </c>
      <c r="K695" s="14" t="s">
        <v>60</v>
      </c>
      <c r="L695" s="14" t="s">
        <v>60</v>
      </c>
      <c r="M695" s="14" t="s">
        <v>60</v>
      </c>
      <c r="N695" s="14" t="s">
        <v>60</v>
      </c>
      <c r="O695" s="14" t="s">
        <v>193</v>
      </c>
      <c r="P695" s="14" t="s">
        <v>6818</v>
      </c>
      <c r="Q695" s="14" t="s">
        <v>11</v>
      </c>
      <c r="R695" s="3" t="s">
        <v>4170</v>
      </c>
      <c r="S695" s="3">
        <f t="shared" si="34"/>
        <v>550</v>
      </c>
      <c r="T695" s="3">
        <f t="shared" si="35"/>
        <v>17050</v>
      </c>
      <c r="U695" s="3" t="s">
        <v>60</v>
      </c>
      <c r="V695" s="14" t="s">
        <v>6</v>
      </c>
      <c r="W695" s="14" t="s">
        <v>6349</v>
      </c>
      <c r="X695" s="14" t="s">
        <v>60</v>
      </c>
    </row>
    <row r="696" spans="1:24" ht="15" x14ac:dyDescent="0.3">
      <c r="A696" s="3">
        <v>28</v>
      </c>
      <c r="B696" s="3" t="s">
        <v>6819</v>
      </c>
      <c r="C696" s="14" t="s">
        <v>0</v>
      </c>
      <c r="D696" s="14" t="s">
        <v>1575</v>
      </c>
      <c r="E696" s="14" t="s">
        <v>4308</v>
      </c>
      <c r="F696" s="14" t="s">
        <v>1576</v>
      </c>
      <c r="G696" s="14" t="s">
        <v>3</v>
      </c>
      <c r="H696" s="14" t="s">
        <v>6820</v>
      </c>
      <c r="I696" s="14" t="s">
        <v>1577</v>
      </c>
      <c r="J696" s="14" t="s">
        <v>60</v>
      </c>
      <c r="K696" s="14" t="s">
        <v>60</v>
      </c>
      <c r="L696" s="14" t="s">
        <v>60</v>
      </c>
      <c r="M696" s="14" t="s">
        <v>1578</v>
      </c>
      <c r="N696" s="14" t="s">
        <v>60</v>
      </c>
      <c r="O696" s="14" t="s">
        <v>933</v>
      </c>
      <c r="P696" s="14" t="s">
        <v>6821</v>
      </c>
      <c r="Q696" s="14" t="s">
        <v>11</v>
      </c>
      <c r="R696" s="3" t="s">
        <v>4170</v>
      </c>
      <c r="S696" s="3">
        <f t="shared" si="34"/>
        <v>550</v>
      </c>
      <c r="T696" s="3">
        <f t="shared" si="35"/>
        <v>17050</v>
      </c>
      <c r="U696" s="3" t="s">
        <v>60</v>
      </c>
      <c r="V696" s="14" t="s">
        <v>6</v>
      </c>
      <c r="W696" s="14" t="s">
        <v>4985</v>
      </c>
      <c r="X696" s="14" t="s">
        <v>60</v>
      </c>
    </row>
    <row r="697" spans="1:24" ht="15" x14ac:dyDescent="0.3">
      <c r="A697" s="3">
        <v>29</v>
      </c>
      <c r="B697" s="3" t="s">
        <v>6822</v>
      </c>
      <c r="C697" s="14" t="s">
        <v>0</v>
      </c>
      <c r="D697" s="14" t="s">
        <v>1656</v>
      </c>
      <c r="E697" s="14" t="s">
        <v>5008</v>
      </c>
      <c r="F697" s="14" t="s">
        <v>1117</v>
      </c>
      <c r="G697" s="14" t="s">
        <v>3</v>
      </c>
      <c r="H697" s="14" t="s">
        <v>6823</v>
      </c>
      <c r="I697" s="14" t="s">
        <v>1657</v>
      </c>
      <c r="J697" s="14" t="s">
        <v>60</v>
      </c>
      <c r="K697" s="14" t="s">
        <v>60</v>
      </c>
      <c r="L697" s="14" t="s">
        <v>60</v>
      </c>
      <c r="M697" s="14" t="s">
        <v>1658</v>
      </c>
      <c r="N697" s="14" t="s">
        <v>60</v>
      </c>
      <c r="O697" s="14" t="s">
        <v>60</v>
      </c>
      <c r="P697" s="14" t="s">
        <v>6824</v>
      </c>
      <c r="Q697" s="14" t="s">
        <v>11</v>
      </c>
      <c r="R697" s="3" t="s">
        <v>4170</v>
      </c>
      <c r="S697" s="3">
        <f t="shared" si="34"/>
        <v>550</v>
      </c>
      <c r="T697" s="3">
        <f t="shared" si="35"/>
        <v>17050</v>
      </c>
      <c r="U697" s="3" t="s">
        <v>60</v>
      </c>
      <c r="V697" s="14" t="s">
        <v>6</v>
      </c>
      <c r="W697" s="14" t="s">
        <v>6825</v>
      </c>
      <c r="X697" s="14" t="s">
        <v>60</v>
      </c>
    </row>
    <row r="698" spans="1:24" ht="15" x14ac:dyDescent="0.3">
      <c r="A698" s="3">
        <v>30</v>
      </c>
      <c r="B698" s="3" t="s">
        <v>6826</v>
      </c>
      <c r="C698" s="14" t="s">
        <v>0</v>
      </c>
      <c r="D698" s="14" t="s">
        <v>1606</v>
      </c>
      <c r="E698" s="14" t="s">
        <v>6827</v>
      </c>
      <c r="F698" s="14" t="s">
        <v>1607</v>
      </c>
      <c r="G698" s="14" t="s">
        <v>3</v>
      </c>
      <c r="H698" s="14" t="s">
        <v>6828</v>
      </c>
      <c r="I698" s="14" t="s">
        <v>1608</v>
      </c>
      <c r="J698" s="14" t="s">
        <v>60</v>
      </c>
      <c r="K698" s="14" t="s">
        <v>60</v>
      </c>
      <c r="L698" s="14" t="s">
        <v>60</v>
      </c>
      <c r="M698" s="14" t="s">
        <v>1609</v>
      </c>
      <c r="N698" s="14" t="s">
        <v>60</v>
      </c>
      <c r="O698" s="14" t="s">
        <v>60</v>
      </c>
      <c r="P698" s="14" t="s">
        <v>6829</v>
      </c>
      <c r="Q698" s="14" t="s">
        <v>11</v>
      </c>
      <c r="R698" s="3" t="s">
        <v>4170</v>
      </c>
      <c r="S698" s="3">
        <f t="shared" si="34"/>
        <v>550</v>
      </c>
      <c r="T698" s="3">
        <f t="shared" si="35"/>
        <v>17050</v>
      </c>
      <c r="U698" s="3" t="s">
        <v>60</v>
      </c>
      <c r="V698" s="14" t="s">
        <v>6</v>
      </c>
      <c r="W698" s="14" t="s">
        <v>5601</v>
      </c>
      <c r="X698" s="14" t="s">
        <v>60</v>
      </c>
    </row>
    <row r="699" spans="1:24" ht="15" x14ac:dyDescent="0.3">
      <c r="A699" s="3">
        <v>31</v>
      </c>
      <c r="B699" s="3" t="s">
        <v>6830</v>
      </c>
      <c r="C699" s="14" t="s">
        <v>26</v>
      </c>
      <c r="D699" s="14" t="s">
        <v>3977</v>
      </c>
      <c r="E699" s="14" t="s">
        <v>6831</v>
      </c>
      <c r="F699" s="14" t="s">
        <v>3978</v>
      </c>
      <c r="G699" s="14" t="s">
        <v>3</v>
      </c>
      <c r="H699" s="14" t="s">
        <v>6832</v>
      </c>
      <c r="I699" s="14" t="s">
        <v>3984</v>
      </c>
      <c r="J699" s="14" t="s">
        <v>60</v>
      </c>
      <c r="K699" s="14" t="s">
        <v>60</v>
      </c>
      <c r="L699" s="14" t="s">
        <v>60</v>
      </c>
      <c r="M699" s="14" t="s">
        <v>6833</v>
      </c>
      <c r="N699" s="14" t="s">
        <v>60</v>
      </c>
      <c r="O699" s="14" t="s">
        <v>3910</v>
      </c>
      <c r="P699" s="14" t="s">
        <v>6834</v>
      </c>
      <c r="Q699" s="14" t="s">
        <v>185</v>
      </c>
      <c r="R699" s="3" t="s">
        <v>4170</v>
      </c>
      <c r="S699" s="3">
        <f t="shared" si="34"/>
        <v>770</v>
      </c>
      <c r="T699" s="3">
        <f t="shared" si="35"/>
        <v>23870</v>
      </c>
      <c r="U699" s="3" t="s">
        <v>6835</v>
      </c>
      <c r="V699" s="14" t="s">
        <v>6</v>
      </c>
      <c r="W699" s="14" t="s">
        <v>6468</v>
      </c>
      <c r="X699" s="14" t="s">
        <v>60</v>
      </c>
    </row>
    <row r="700" spans="1:24" ht="15.6" x14ac:dyDescent="0.3">
      <c r="A700" s="26" t="s">
        <v>60</v>
      </c>
      <c r="B700" s="26" t="s">
        <v>60</v>
      </c>
      <c r="C700" s="27" t="s">
        <v>60</v>
      </c>
      <c r="D700" s="27" t="s">
        <v>60</v>
      </c>
      <c r="E700" s="27" t="s">
        <v>60</v>
      </c>
      <c r="F700" s="27" t="s">
        <v>60</v>
      </c>
      <c r="G700" s="27" t="s">
        <v>60</v>
      </c>
      <c r="H700" s="27" t="s">
        <v>60</v>
      </c>
      <c r="I700" s="27" t="s">
        <v>60</v>
      </c>
      <c r="J700" s="27" t="s">
        <v>60</v>
      </c>
      <c r="K700" s="27" t="s">
        <v>60</v>
      </c>
      <c r="L700" s="27" t="s">
        <v>60</v>
      </c>
      <c r="M700" s="27" t="s">
        <v>60</v>
      </c>
      <c r="N700" s="27" t="s">
        <v>60</v>
      </c>
      <c r="O700" s="27" t="s">
        <v>60</v>
      </c>
      <c r="P700" s="27" t="s">
        <v>60</v>
      </c>
      <c r="Q700" s="27" t="s">
        <v>60</v>
      </c>
      <c r="R700" s="35" t="s">
        <v>2009</v>
      </c>
      <c r="S700" s="35" t="s">
        <v>60</v>
      </c>
      <c r="T700" s="26">
        <f>SUM(T668:T699)</f>
        <v>595340</v>
      </c>
      <c r="U700" s="26" t="s">
        <v>6836</v>
      </c>
      <c r="V700" s="27" t="s">
        <v>60</v>
      </c>
      <c r="W700" s="27" t="s">
        <v>60</v>
      </c>
      <c r="X700" s="27" t="s">
        <v>60</v>
      </c>
    </row>
    <row r="701" spans="1:24" ht="15.6" x14ac:dyDescent="0.3">
      <c r="A701" s="34" t="s">
        <v>6837</v>
      </c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 spans="1:24" ht="109.2" x14ac:dyDescent="0.3">
      <c r="A702" s="23" t="s">
        <v>42</v>
      </c>
      <c r="B702" s="23" t="s">
        <v>43</v>
      </c>
      <c r="C702" s="24" t="s">
        <v>44</v>
      </c>
      <c r="D702" s="24" t="s">
        <v>4154</v>
      </c>
      <c r="E702" s="24" t="s">
        <v>4155</v>
      </c>
      <c r="F702" s="24" t="s">
        <v>4156</v>
      </c>
      <c r="G702" s="24" t="s">
        <v>45</v>
      </c>
      <c r="H702" s="24" t="s">
        <v>4157</v>
      </c>
      <c r="I702" s="24" t="s">
        <v>46</v>
      </c>
      <c r="J702" s="24" t="s">
        <v>4158</v>
      </c>
      <c r="K702" s="24" t="s">
        <v>4159</v>
      </c>
      <c r="L702" s="24" t="s">
        <v>4160</v>
      </c>
      <c r="M702" s="24" t="s">
        <v>4161</v>
      </c>
      <c r="N702" s="24" t="s">
        <v>47</v>
      </c>
      <c r="O702" s="24" t="s">
        <v>48</v>
      </c>
      <c r="P702" s="24" t="s">
        <v>49</v>
      </c>
      <c r="Q702" s="24" t="s">
        <v>50</v>
      </c>
      <c r="R702" s="23" t="s">
        <v>4162</v>
      </c>
      <c r="S702" s="23" t="s">
        <v>4163</v>
      </c>
      <c r="T702" s="23" t="s">
        <v>4164</v>
      </c>
      <c r="U702" s="23" t="s">
        <v>4165</v>
      </c>
      <c r="V702" s="24" t="s">
        <v>51</v>
      </c>
      <c r="W702" s="24" t="s">
        <v>52</v>
      </c>
      <c r="X702" s="24" t="s">
        <v>53</v>
      </c>
    </row>
    <row r="703" spans="1:24" ht="15" x14ac:dyDescent="0.3">
      <c r="A703" s="3">
        <v>1</v>
      </c>
      <c r="B703" s="3" t="s">
        <v>6838</v>
      </c>
      <c r="C703" s="14" t="s">
        <v>0</v>
      </c>
      <c r="D703" s="14" t="s">
        <v>1494</v>
      </c>
      <c r="E703" s="14" t="s">
        <v>6839</v>
      </c>
      <c r="F703" s="14" t="s">
        <v>1305</v>
      </c>
      <c r="G703" s="14" t="s">
        <v>3</v>
      </c>
      <c r="H703" s="14" t="s">
        <v>6840</v>
      </c>
      <c r="I703" s="14" t="s">
        <v>1495</v>
      </c>
      <c r="J703" s="14" t="s">
        <v>60</v>
      </c>
      <c r="K703" s="14" t="s">
        <v>60</v>
      </c>
      <c r="L703" s="14" t="s">
        <v>60</v>
      </c>
      <c r="M703" s="14" t="s">
        <v>60</v>
      </c>
      <c r="N703" s="14" t="s">
        <v>60</v>
      </c>
      <c r="O703" s="14" t="s">
        <v>86</v>
      </c>
      <c r="P703" s="14" t="s">
        <v>6841</v>
      </c>
      <c r="Q703" s="14" t="s">
        <v>11</v>
      </c>
      <c r="R703" s="3" t="s">
        <v>4300</v>
      </c>
      <c r="S703" s="3">
        <f t="shared" ref="S703:S736" si="36">IF(RIGHT(C703,3)="MAZ",550,IF(RIGHT(C703,4)="MATE",570,IF(RIGHT(C703,7)="SKD-III",640,IF(RIGHT(C703,6)="SKD-II",770,IF(RIGHT(C703,5)="SKD-I",900,IF(RIGHT(C703,5)="CPDVR",770,""))))))</f>
        <v>550</v>
      </c>
      <c r="T703" s="3">
        <f t="shared" ref="T703:T736" si="37">R703*S703</f>
        <v>15950</v>
      </c>
      <c r="U703" s="3" t="s">
        <v>60</v>
      </c>
      <c r="V703" s="14" t="s">
        <v>6</v>
      </c>
      <c r="W703" s="14" t="s">
        <v>5980</v>
      </c>
      <c r="X703" s="14" t="s">
        <v>60</v>
      </c>
    </row>
    <row r="704" spans="1:24" ht="15" x14ac:dyDescent="0.3">
      <c r="A704" s="3">
        <v>2</v>
      </c>
      <c r="B704" s="3" t="s">
        <v>6842</v>
      </c>
      <c r="C704" s="14" t="s">
        <v>0</v>
      </c>
      <c r="D704" s="14" t="s">
        <v>1496</v>
      </c>
      <c r="E704" s="14" t="s">
        <v>4778</v>
      </c>
      <c r="F704" s="14" t="s">
        <v>1497</v>
      </c>
      <c r="G704" s="14" t="s">
        <v>3</v>
      </c>
      <c r="H704" s="14" t="s">
        <v>1498</v>
      </c>
      <c r="I704" s="14" t="s">
        <v>1499</v>
      </c>
      <c r="J704" s="14" t="s">
        <v>60</v>
      </c>
      <c r="K704" s="14" t="s">
        <v>60</v>
      </c>
      <c r="L704" s="14" t="s">
        <v>60</v>
      </c>
      <c r="M704" s="14" t="s">
        <v>1500</v>
      </c>
      <c r="N704" s="14" t="s">
        <v>60</v>
      </c>
      <c r="O704" s="14" t="s">
        <v>454</v>
      </c>
      <c r="P704" s="14" t="s">
        <v>6843</v>
      </c>
      <c r="Q704" s="14" t="s">
        <v>1501</v>
      </c>
      <c r="R704" s="3" t="s">
        <v>68</v>
      </c>
      <c r="S704" s="3">
        <f t="shared" si="36"/>
        <v>550</v>
      </c>
      <c r="T704" s="3">
        <f t="shared" si="37"/>
        <v>0</v>
      </c>
      <c r="U704" s="3" t="s">
        <v>60</v>
      </c>
      <c r="V704" s="14" t="s">
        <v>6</v>
      </c>
      <c r="W704" s="14" t="s">
        <v>6789</v>
      </c>
      <c r="X704" s="14" t="s">
        <v>6844</v>
      </c>
    </row>
    <row r="705" spans="1:24" ht="15" x14ac:dyDescent="0.3">
      <c r="A705" s="3">
        <v>3</v>
      </c>
      <c r="B705" s="3" t="s">
        <v>6845</v>
      </c>
      <c r="C705" s="14" t="s">
        <v>69</v>
      </c>
      <c r="D705" s="14" t="s">
        <v>1502</v>
      </c>
      <c r="E705" s="14" t="s">
        <v>5037</v>
      </c>
      <c r="F705" s="14" t="s">
        <v>1503</v>
      </c>
      <c r="G705" s="14" t="s">
        <v>3</v>
      </c>
      <c r="H705" s="14" t="s">
        <v>6846</v>
      </c>
      <c r="I705" s="14" t="s">
        <v>1504</v>
      </c>
      <c r="J705" s="14" t="s">
        <v>60</v>
      </c>
      <c r="K705" s="14" t="s">
        <v>60</v>
      </c>
      <c r="L705" s="14" t="s">
        <v>60</v>
      </c>
      <c r="M705" s="14" t="s">
        <v>1505</v>
      </c>
      <c r="N705" s="14" t="s">
        <v>60</v>
      </c>
      <c r="O705" s="14" t="s">
        <v>485</v>
      </c>
      <c r="P705" s="14" t="s">
        <v>6847</v>
      </c>
      <c r="Q705" s="14" t="s">
        <v>11</v>
      </c>
      <c r="R705" s="3" t="s">
        <v>4170</v>
      </c>
      <c r="S705" s="3">
        <f t="shared" si="36"/>
        <v>570</v>
      </c>
      <c r="T705" s="3">
        <f t="shared" si="37"/>
        <v>17670</v>
      </c>
      <c r="U705" s="3" t="s">
        <v>60</v>
      </c>
      <c r="V705" s="14" t="s">
        <v>6</v>
      </c>
      <c r="W705" s="14" t="s">
        <v>6271</v>
      </c>
      <c r="X705" s="14" t="s">
        <v>60</v>
      </c>
    </row>
    <row r="706" spans="1:24" ht="15" x14ac:dyDescent="0.3">
      <c r="A706" s="3">
        <v>4</v>
      </c>
      <c r="B706" s="3" t="s">
        <v>6848</v>
      </c>
      <c r="C706" s="14" t="s">
        <v>0</v>
      </c>
      <c r="D706" s="14" t="s">
        <v>1506</v>
      </c>
      <c r="E706" s="14" t="s">
        <v>4990</v>
      </c>
      <c r="F706" s="14" t="s">
        <v>456</v>
      </c>
      <c r="G706" s="14" t="s">
        <v>3</v>
      </c>
      <c r="H706" s="14" t="s">
        <v>6849</v>
      </c>
      <c r="I706" s="14" t="s">
        <v>1507</v>
      </c>
      <c r="J706" s="14" t="s">
        <v>60</v>
      </c>
      <c r="K706" s="14" t="s">
        <v>60</v>
      </c>
      <c r="L706" s="14" t="s">
        <v>60</v>
      </c>
      <c r="M706" s="14" t="s">
        <v>1508</v>
      </c>
      <c r="N706" s="14" t="s">
        <v>60</v>
      </c>
      <c r="O706" s="14" t="s">
        <v>454</v>
      </c>
      <c r="P706" s="14" t="s">
        <v>6850</v>
      </c>
      <c r="Q706" s="14" t="s">
        <v>1509</v>
      </c>
      <c r="R706" s="3" t="s">
        <v>4170</v>
      </c>
      <c r="S706" s="3">
        <f t="shared" si="36"/>
        <v>550</v>
      </c>
      <c r="T706" s="3">
        <f t="shared" si="37"/>
        <v>17050</v>
      </c>
      <c r="U706" s="3" t="s">
        <v>60</v>
      </c>
      <c r="V706" s="14" t="s">
        <v>6</v>
      </c>
      <c r="W706" s="14" t="s">
        <v>6805</v>
      </c>
      <c r="X706" s="14" t="s">
        <v>60</v>
      </c>
    </row>
    <row r="707" spans="1:24" ht="15" x14ac:dyDescent="0.3">
      <c r="A707" s="3">
        <v>5</v>
      </c>
      <c r="B707" s="3" t="s">
        <v>6851</v>
      </c>
      <c r="C707" s="14" t="s">
        <v>69</v>
      </c>
      <c r="D707" s="14" t="s">
        <v>1510</v>
      </c>
      <c r="E707" s="14" t="s">
        <v>4864</v>
      </c>
      <c r="F707" s="14" t="s">
        <v>1511</v>
      </c>
      <c r="G707" s="14" t="s">
        <v>3</v>
      </c>
      <c r="H707" s="14" t="s">
        <v>6852</v>
      </c>
      <c r="I707" s="14" t="s">
        <v>1512</v>
      </c>
      <c r="J707" s="14" t="s">
        <v>60</v>
      </c>
      <c r="K707" s="14" t="s">
        <v>60</v>
      </c>
      <c r="L707" s="14" t="s">
        <v>60</v>
      </c>
      <c r="M707" s="14" t="s">
        <v>1512</v>
      </c>
      <c r="N707" s="14" t="s">
        <v>60</v>
      </c>
      <c r="O707" s="14" t="s">
        <v>193</v>
      </c>
      <c r="P707" s="14" t="s">
        <v>6853</v>
      </c>
      <c r="Q707" s="14" t="s">
        <v>11</v>
      </c>
      <c r="R707" s="3" t="s">
        <v>4170</v>
      </c>
      <c r="S707" s="3">
        <f t="shared" si="36"/>
        <v>570</v>
      </c>
      <c r="T707" s="3">
        <f t="shared" si="37"/>
        <v>17670</v>
      </c>
      <c r="U707" s="3" t="s">
        <v>60</v>
      </c>
      <c r="V707" s="14" t="s">
        <v>6</v>
      </c>
      <c r="W707" s="14" t="s">
        <v>4287</v>
      </c>
      <c r="X707" s="14" t="s">
        <v>60</v>
      </c>
    </row>
    <row r="708" spans="1:24" ht="15" x14ac:dyDescent="0.3">
      <c r="A708" s="3">
        <v>6</v>
      </c>
      <c r="B708" s="3" t="s">
        <v>6854</v>
      </c>
      <c r="C708" s="14" t="s">
        <v>0</v>
      </c>
      <c r="D708" s="14" t="s">
        <v>1513</v>
      </c>
      <c r="E708" s="14" t="s">
        <v>4658</v>
      </c>
      <c r="F708" s="14" t="s">
        <v>1514</v>
      </c>
      <c r="G708" s="14" t="s">
        <v>3</v>
      </c>
      <c r="H708" s="14" t="s">
        <v>1515</v>
      </c>
      <c r="I708" s="14" t="s">
        <v>1516</v>
      </c>
      <c r="J708" s="14" t="s">
        <v>60</v>
      </c>
      <c r="K708" s="14" t="s">
        <v>60</v>
      </c>
      <c r="L708" s="14" t="s">
        <v>60</v>
      </c>
      <c r="M708" s="14" t="s">
        <v>1517</v>
      </c>
      <c r="N708" s="14" t="s">
        <v>60</v>
      </c>
      <c r="O708" s="14" t="s">
        <v>1209</v>
      </c>
      <c r="P708" s="14" t="s">
        <v>6855</v>
      </c>
      <c r="Q708" s="14" t="s">
        <v>1509</v>
      </c>
      <c r="R708" s="3" t="s">
        <v>4170</v>
      </c>
      <c r="S708" s="3">
        <f t="shared" si="36"/>
        <v>550</v>
      </c>
      <c r="T708" s="3">
        <f t="shared" si="37"/>
        <v>17050</v>
      </c>
      <c r="U708" s="3" t="s">
        <v>60</v>
      </c>
      <c r="V708" s="14" t="s">
        <v>6</v>
      </c>
      <c r="W708" s="14" t="s">
        <v>6330</v>
      </c>
      <c r="X708" s="14" t="s">
        <v>60</v>
      </c>
    </row>
    <row r="709" spans="1:24" ht="15" x14ac:dyDescent="0.3">
      <c r="A709" s="3">
        <v>7</v>
      </c>
      <c r="B709" s="3" t="s">
        <v>6856</v>
      </c>
      <c r="C709" s="14" t="s">
        <v>0</v>
      </c>
      <c r="D709" s="14" t="s">
        <v>1518</v>
      </c>
      <c r="E709" s="14" t="s">
        <v>5828</v>
      </c>
      <c r="F709" s="14" t="s">
        <v>1519</v>
      </c>
      <c r="G709" s="14" t="s">
        <v>3</v>
      </c>
      <c r="H709" s="14" t="s">
        <v>6857</v>
      </c>
      <c r="I709" s="14" t="s">
        <v>1520</v>
      </c>
      <c r="J709" s="14" t="s">
        <v>60</v>
      </c>
      <c r="K709" s="14" t="s">
        <v>60</v>
      </c>
      <c r="L709" s="14" t="s">
        <v>60</v>
      </c>
      <c r="M709" s="14" t="s">
        <v>1521</v>
      </c>
      <c r="N709" s="14" t="s">
        <v>60</v>
      </c>
      <c r="O709" s="14" t="s">
        <v>1522</v>
      </c>
      <c r="P709" s="14" t="s">
        <v>6858</v>
      </c>
      <c r="Q709" s="14" t="s">
        <v>11</v>
      </c>
      <c r="R709" s="3" t="s">
        <v>4170</v>
      </c>
      <c r="S709" s="3">
        <f t="shared" si="36"/>
        <v>550</v>
      </c>
      <c r="T709" s="3">
        <f t="shared" si="37"/>
        <v>17050</v>
      </c>
      <c r="U709" s="3" t="s">
        <v>60</v>
      </c>
      <c r="V709" s="14" t="s">
        <v>6</v>
      </c>
      <c r="W709" s="14" t="s">
        <v>6859</v>
      </c>
      <c r="X709" s="14" t="s">
        <v>60</v>
      </c>
    </row>
    <row r="710" spans="1:24" ht="15" x14ac:dyDescent="0.3">
      <c r="A710" s="3">
        <v>8</v>
      </c>
      <c r="B710" s="3" t="s">
        <v>6860</v>
      </c>
      <c r="C710" s="14" t="s">
        <v>0</v>
      </c>
      <c r="D710" s="14" t="s">
        <v>514</v>
      </c>
      <c r="E710" s="14" t="s">
        <v>4658</v>
      </c>
      <c r="F710" s="14" t="s">
        <v>1525</v>
      </c>
      <c r="G710" s="14" t="s">
        <v>3</v>
      </c>
      <c r="H710" s="14" t="s">
        <v>6861</v>
      </c>
      <c r="I710" s="14" t="s">
        <v>1526</v>
      </c>
      <c r="J710" s="14" t="s">
        <v>60</v>
      </c>
      <c r="K710" s="14" t="s">
        <v>60</v>
      </c>
      <c r="L710" s="14" t="s">
        <v>60</v>
      </c>
      <c r="M710" s="14" t="s">
        <v>1527</v>
      </c>
      <c r="N710" s="14" t="s">
        <v>60</v>
      </c>
      <c r="O710" s="14" t="s">
        <v>454</v>
      </c>
      <c r="P710" s="14" t="s">
        <v>6862</v>
      </c>
      <c r="Q710" s="14" t="s">
        <v>389</v>
      </c>
      <c r="R710" s="3" t="s">
        <v>4170</v>
      </c>
      <c r="S710" s="3">
        <f t="shared" si="36"/>
        <v>550</v>
      </c>
      <c r="T710" s="3">
        <f t="shared" si="37"/>
        <v>17050</v>
      </c>
      <c r="U710" s="3" t="s">
        <v>60</v>
      </c>
      <c r="V710" s="14" t="s">
        <v>6</v>
      </c>
      <c r="W710" s="14" t="s">
        <v>6789</v>
      </c>
      <c r="X710" s="14" t="s">
        <v>60</v>
      </c>
    </row>
    <row r="711" spans="1:24" ht="15" x14ac:dyDescent="0.3">
      <c r="A711" s="3">
        <v>9</v>
      </c>
      <c r="B711" s="3" t="s">
        <v>6863</v>
      </c>
      <c r="C711" s="14" t="s">
        <v>0</v>
      </c>
      <c r="D711" s="14" t="s">
        <v>402</v>
      </c>
      <c r="E711" s="14" t="s">
        <v>4216</v>
      </c>
      <c r="F711" s="14" t="s">
        <v>1532</v>
      </c>
      <c r="G711" s="14" t="s">
        <v>3</v>
      </c>
      <c r="H711" s="14" t="s">
        <v>1533</v>
      </c>
      <c r="I711" s="14" t="s">
        <v>1534</v>
      </c>
      <c r="J711" s="14" t="s">
        <v>60</v>
      </c>
      <c r="K711" s="14" t="s">
        <v>60</v>
      </c>
      <c r="L711" s="14" t="s">
        <v>60</v>
      </c>
      <c r="M711" s="14" t="s">
        <v>60</v>
      </c>
      <c r="N711" s="14" t="s">
        <v>60</v>
      </c>
      <c r="O711" s="14" t="s">
        <v>339</v>
      </c>
      <c r="P711" s="14" t="s">
        <v>6864</v>
      </c>
      <c r="Q711" s="14" t="s">
        <v>11</v>
      </c>
      <c r="R711" s="3" t="s">
        <v>6865</v>
      </c>
      <c r="S711" s="3">
        <f t="shared" si="36"/>
        <v>550</v>
      </c>
      <c r="T711" s="3">
        <f t="shared" si="37"/>
        <v>9350</v>
      </c>
      <c r="U711" s="3" t="s">
        <v>60</v>
      </c>
      <c r="V711" s="14" t="s">
        <v>6</v>
      </c>
      <c r="W711" s="14" t="s">
        <v>5912</v>
      </c>
      <c r="X711" s="14" t="s">
        <v>6866</v>
      </c>
    </row>
    <row r="712" spans="1:24" ht="15" x14ac:dyDescent="0.3">
      <c r="A712" s="3">
        <v>10</v>
      </c>
      <c r="B712" s="3" t="s">
        <v>6867</v>
      </c>
      <c r="C712" s="14" t="s">
        <v>0</v>
      </c>
      <c r="D712" s="14" t="s">
        <v>1535</v>
      </c>
      <c r="E712" s="14" t="s">
        <v>6868</v>
      </c>
      <c r="F712" s="14" t="s">
        <v>1536</v>
      </c>
      <c r="G712" s="14" t="s">
        <v>3</v>
      </c>
      <c r="H712" s="14" t="s">
        <v>1537</v>
      </c>
      <c r="I712" s="14" t="s">
        <v>1538</v>
      </c>
      <c r="J712" s="14" t="s">
        <v>60</v>
      </c>
      <c r="K712" s="14" t="s">
        <v>60</v>
      </c>
      <c r="L712" s="14" t="s">
        <v>60</v>
      </c>
      <c r="M712" s="14" t="s">
        <v>1539</v>
      </c>
      <c r="N712" s="14" t="s">
        <v>60</v>
      </c>
      <c r="O712" s="14" t="s">
        <v>1540</v>
      </c>
      <c r="P712" s="14" t="s">
        <v>6869</v>
      </c>
      <c r="Q712" s="14" t="s">
        <v>11</v>
      </c>
      <c r="R712" s="3" t="s">
        <v>6865</v>
      </c>
      <c r="S712" s="3">
        <f t="shared" si="36"/>
        <v>550</v>
      </c>
      <c r="T712" s="3">
        <f t="shared" si="37"/>
        <v>9350</v>
      </c>
      <c r="U712" s="3" t="s">
        <v>60</v>
      </c>
      <c r="V712" s="14" t="s">
        <v>6</v>
      </c>
      <c r="W712" s="14" t="s">
        <v>6870</v>
      </c>
      <c r="X712" s="14" t="s">
        <v>6866</v>
      </c>
    </row>
    <row r="713" spans="1:24" ht="15" x14ac:dyDescent="0.3">
      <c r="A713" s="3">
        <v>11</v>
      </c>
      <c r="B713" s="3" t="s">
        <v>6871</v>
      </c>
      <c r="C713" s="14" t="s">
        <v>14</v>
      </c>
      <c r="D713" s="14" t="s">
        <v>1541</v>
      </c>
      <c r="E713" s="14" t="s">
        <v>6872</v>
      </c>
      <c r="F713" s="14" t="s">
        <v>1542</v>
      </c>
      <c r="G713" s="14" t="s">
        <v>3</v>
      </c>
      <c r="H713" s="14" t="s">
        <v>6873</v>
      </c>
      <c r="I713" s="14" t="s">
        <v>1543</v>
      </c>
      <c r="J713" s="14" t="s">
        <v>60</v>
      </c>
      <c r="K713" s="14" t="s">
        <v>60</v>
      </c>
      <c r="L713" s="14" t="s">
        <v>60</v>
      </c>
      <c r="M713" s="14" t="s">
        <v>1544</v>
      </c>
      <c r="N713" s="14" t="s">
        <v>60</v>
      </c>
      <c r="O713" s="14" t="s">
        <v>5052</v>
      </c>
      <c r="P713" s="14" t="s">
        <v>6874</v>
      </c>
      <c r="Q713" s="14" t="s">
        <v>185</v>
      </c>
      <c r="R713" s="3" t="s">
        <v>4381</v>
      </c>
      <c r="S713" s="3">
        <f t="shared" si="36"/>
        <v>640</v>
      </c>
      <c r="T713" s="3">
        <f t="shared" si="37"/>
        <v>17920</v>
      </c>
      <c r="U713" s="3" t="s">
        <v>60</v>
      </c>
      <c r="V713" s="14" t="s">
        <v>6</v>
      </c>
      <c r="W713" s="14" t="s">
        <v>4287</v>
      </c>
      <c r="X713" s="14" t="s">
        <v>60</v>
      </c>
    </row>
    <row r="714" spans="1:24" ht="15" x14ac:dyDescent="0.3">
      <c r="A714" s="3">
        <v>12</v>
      </c>
      <c r="B714" s="3" t="s">
        <v>6875</v>
      </c>
      <c r="C714" s="14" t="s">
        <v>0</v>
      </c>
      <c r="D714" s="14" t="s">
        <v>1545</v>
      </c>
      <c r="E714" s="14" t="s">
        <v>6876</v>
      </c>
      <c r="F714" s="14" t="s">
        <v>1546</v>
      </c>
      <c r="G714" s="14" t="s">
        <v>3</v>
      </c>
      <c r="H714" s="14" t="s">
        <v>6877</v>
      </c>
      <c r="I714" s="14" t="s">
        <v>1547</v>
      </c>
      <c r="J714" s="14" t="s">
        <v>60</v>
      </c>
      <c r="K714" s="14" t="s">
        <v>60</v>
      </c>
      <c r="L714" s="14" t="s">
        <v>60</v>
      </c>
      <c r="M714" s="14" t="s">
        <v>1548</v>
      </c>
      <c r="N714" s="14" t="s">
        <v>60</v>
      </c>
      <c r="O714" s="14" t="s">
        <v>193</v>
      </c>
      <c r="P714" s="14" t="s">
        <v>6878</v>
      </c>
      <c r="Q714" s="14" t="s">
        <v>11</v>
      </c>
      <c r="R714" s="3" t="s">
        <v>4170</v>
      </c>
      <c r="S714" s="3">
        <f t="shared" si="36"/>
        <v>550</v>
      </c>
      <c r="T714" s="3">
        <f t="shared" si="37"/>
        <v>17050</v>
      </c>
      <c r="U714" s="3" t="s">
        <v>60</v>
      </c>
      <c r="V714" s="14" t="s">
        <v>6</v>
      </c>
      <c r="W714" s="14" t="s">
        <v>4287</v>
      </c>
      <c r="X714" s="14" t="s">
        <v>60</v>
      </c>
    </row>
    <row r="715" spans="1:24" ht="15" x14ac:dyDescent="0.3">
      <c r="A715" s="3">
        <v>13</v>
      </c>
      <c r="B715" s="3" t="s">
        <v>1549</v>
      </c>
      <c r="C715" s="14" t="s">
        <v>0</v>
      </c>
      <c r="D715" s="14" t="s">
        <v>1550</v>
      </c>
      <c r="E715" s="14" t="s">
        <v>6879</v>
      </c>
      <c r="F715" s="14" t="s">
        <v>1551</v>
      </c>
      <c r="G715" s="14" t="s">
        <v>3</v>
      </c>
      <c r="H715" s="14" t="s">
        <v>6880</v>
      </c>
      <c r="I715" s="14" t="s">
        <v>1552</v>
      </c>
      <c r="J715" s="14" t="s">
        <v>60</v>
      </c>
      <c r="K715" s="14" t="s">
        <v>60</v>
      </c>
      <c r="L715" s="14" t="s">
        <v>60</v>
      </c>
      <c r="M715" s="14" t="s">
        <v>1553</v>
      </c>
      <c r="N715" s="14" t="s">
        <v>60</v>
      </c>
      <c r="O715" s="14" t="s">
        <v>193</v>
      </c>
      <c r="P715" s="14" t="s">
        <v>6881</v>
      </c>
      <c r="Q715" s="14" t="s">
        <v>11</v>
      </c>
      <c r="R715" s="3" t="s">
        <v>4170</v>
      </c>
      <c r="S715" s="3">
        <f t="shared" si="36"/>
        <v>550</v>
      </c>
      <c r="T715" s="3">
        <f t="shared" si="37"/>
        <v>17050</v>
      </c>
      <c r="U715" s="3" t="s">
        <v>60</v>
      </c>
      <c r="V715" s="14" t="s">
        <v>6</v>
      </c>
      <c r="W715" s="14" t="s">
        <v>4287</v>
      </c>
      <c r="X715" s="14" t="s">
        <v>60</v>
      </c>
    </row>
    <row r="716" spans="1:24" ht="15" x14ac:dyDescent="0.3">
      <c r="A716" s="3">
        <v>14</v>
      </c>
      <c r="B716" s="3" t="s">
        <v>1554</v>
      </c>
      <c r="C716" s="14" t="s">
        <v>0</v>
      </c>
      <c r="D716" s="14" t="s">
        <v>1555</v>
      </c>
      <c r="E716" s="14" t="s">
        <v>6882</v>
      </c>
      <c r="F716" s="14" t="s">
        <v>1556</v>
      </c>
      <c r="G716" s="14" t="s">
        <v>3</v>
      </c>
      <c r="H716" s="14" t="s">
        <v>6883</v>
      </c>
      <c r="I716" s="14" t="s">
        <v>1557</v>
      </c>
      <c r="J716" s="14" t="s">
        <v>60</v>
      </c>
      <c r="K716" s="14" t="s">
        <v>60</v>
      </c>
      <c r="L716" s="14" t="s">
        <v>60</v>
      </c>
      <c r="M716" s="14" t="s">
        <v>1558</v>
      </c>
      <c r="N716" s="14" t="s">
        <v>60</v>
      </c>
      <c r="O716" s="14" t="s">
        <v>193</v>
      </c>
      <c r="P716" s="14" t="s">
        <v>6884</v>
      </c>
      <c r="Q716" s="14" t="s">
        <v>185</v>
      </c>
      <c r="R716" s="3" t="s">
        <v>4381</v>
      </c>
      <c r="S716" s="3">
        <f t="shared" si="36"/>
        <v>550</v>
      </c>
      <c r="T716" s="3">
        <f t="shared" si="37"/>
        <v>15400</v>
      </c>
      <c r="U716" s="3" t="s">
        <v>60</v>
      </c>
      <c r="V716" s="14" t="s">
        <v>6</v>
      </c>
      <c r="W716" s="14" t="s">
        <v>4287</v>
      </c>
      <c r="X716" s="14" t="s">
        <v>60</v>
      </c>
    </row>
    <row r="717" spans="1:24" ht="15" x14ac:dyDescent="0.3">
      <c r="A717" s="3">
        <v>15</v>
      </c>
      <c r="B717" s="3" t="s">
        <v>1559</v>
      </c>
      <c r="C717" s="14" t="s">
        <v>0</v>
      </c>
      <c r="D717" s="14" t="s">
        <v>1560</v>
      </c>
      <c r="E717" s="14" t="s">
        <v>6885</v>
      </c>
      <c r="F717" s="14" t="s">
        <v>1561</v>
      </c>
      <c r="G717" s="14" t="s">
        <v>3</v>
      </c>
      <c r="H717" s="14" t="s">
        <v>6886</v>
      </c>
      <c r="I717" s="14" t="s">
        <v>1562</v>
      </c>
      <c r="J717" s="14" t="s">
        <v>60</v>
      </c>
      <c r="K717" s="14" t="s">
        <v>60</v>
      </c>
      <c r="L717" s="14" t="s">
        <v>60</v>
      </c>
      <c r="M717" s="14" t="s">
        <v>1563</v>
      </c>
      <c r="N717" s="14" t="s">
        <v>60</v>
      </c>
      <c r="O717" s="14" t="s">
        <v>193</v>
      </c>
      <c r="P717" s="14" t="s">
        <v>6887</v>
      </c>
      <c r="Q717" s="14" t="s">
        <v>185</v>
      </c>
      <c r="R717" s="3" t="s">
        <v>4170</v>
      </c>
      <c r="S717" s="3">
        <f t="shared" si="36"/>
        <v>550</v>
      </c>
      <c r="T717" s="3">
        <f t="shared" si="37"/>
        <v>17050</v>
      </c>
      <c r="U717" s="3" t="s">
        <v>60</v>
      </c>
      <c r="V717" s="14" t="s">
        <v>6</v>
      </c>
      <c r="W717" s="14" t="s">
        <v>4287</v>
      </c>
      <c r="X717" s="14" t="s">
        <v>60</v>
      </c>
    </row>
    <row r="718" spans="1:24" ht="15" x14ac:dyDescent="0.3">
      <c r="A718" s="3">
        <v>16</v>
      </c>
      <c r="B718" s="3" t="s">
        <v>1564</v>
      </c>
      <c r="C718" s="14" t="s">
        <v>0</v>
      </c>
      <c r="D718" s="14" t="s">
        <v>1565</v>
      </c>
      <c r="E718" s="14" t="s">
        <v>6888</v>
      </c>
      <c r="F718" s="14" t="s">
        <v>1566</v>
      </c>
      <c r="G718" s="14" t="s">
        <v>121</v>
      </c>
      <c r="H718" s="14" t="s">
        <v>6889</v>
      </c>
      <c r="I718" s="14" t="s">
        <v>1567</v>
      </c>
      <c r="J718" s="14" t="s">
        <v>60</v>
      </c>
      <c r="K718" s="14" t="s">
        <v>60</v>
      </c>
      <c r="L718" s="14" t="s">
        <v>60</v>
      </c>
      <c r="M718" s="14" t="s">
        <v>6890</v>
      </c>
      <c r="N718" s="14" t="s">
        <v>60</v>
      </c>
      <c r="O718" s="14" t="s">
        <v>193</v>
      </c>
      <c r="P718" s="14" t="s">
        <v>6891</v>
      </c>
      <c r="Q718" s="14" t="s">
        <v>185</v>
      </c>
      <c r="R718" s="3" t="s">
        <v>4381</v>
      </c>
      <c r="S718" s="3">
        <f t="shared" si="36"/>
        <v>550</v>
      </c>
      <c r="T718" s="3">
        <f t="shared" si="37"/>
        <v>15400</v>
      </c>
      <c r="U718" s="3" t="s">
        <v>60</v>
      </c>
      <c r="V718" s="14" t="s">
        <v>6</v>
      </c>
      <c r="W718" s="14" t="s">
        <v>4287</v>
      </c>
      <c r="X718" s="14" t="s">
        <v>60</v>
      </c>
    </row>
    <row r="719" spans="1:24" ht="15" x14ac:dyDescent="0.3">
      <c r="A719" s="3">
        <v>17</v>
      </c>
      <c r="B719" s="3" t="s">
        <v>6892</v>
      </c>
      <c r="C719" s="14" t="s">
        <v>0</v>
      </c>
      <c r="D719" s="14" t="s">
        <v>1568</v>
      </c>
      <c r="E719" s="14" t="s">
        <v>4440</v>
      </c>
      <c r="F719" s="14" t="s">
        <v>1569</v>
      </c>
      <c r="G719" s="14" t="s">
        <v>3</v>
      </c>
      <c r="H719" s="14" t="s">
        <v>6893</v>
      </c>
      <c r="I719" s="14" t="s">
        <v>1570</v>
      </c>
      <c r="J719" s="14" t="s">
        <v>60</v>
      </c>
      <c r="K719" s="14" t="s">
        <v>60</v>
      </c>
      <c r="L719" s="14" t="s">
        <v>60</v>
      </c>
      <c r="M719" s="14" t="s">
        <v>1571</v>
      </c>
      <c r="N719" s="14" t="s">
        <v>60</v>
      </c>
      <c r="O719" s="14" t="s">
        <v>193</v>
      </c>
      <c r="P719" s="14" t="s">
        <v>6894</v>
      </c>
      <c r="Q719" s="14" t="s">
        <v>11</v>
      </c>
      <c r="R719" s="3" t="s">
        <v>4170</v>
      </c>
      <c r="S719" s="3">
        <f t="shared" si="36"/>
        <v>550</v>
      </c>
      <c r="T719" s="3">
        <f t="shared" si="37"/>
        <v>17050</v>
      </c>
      <c r="U719" s="3" t="s">
        <v>60</v>
      </c>
      <c r="V719" s="14" t="s">
        <v>6</v>
      </c>
      <c r="W719" s="14" t="s">
        <v>6349</v>
      </c>
      <c r="X719" s="14" t="s">
        <v>60</v>
      </c>
    </row>
    <row r="720" spans="1:24" ht="15" x14ac:dyDescent="0.3">
      <c r="A720" s="3">
        <v>18</v>
      </c>
      <c r="B720" s="3" t="s">
        <v>6895</v>
      </c>
      <c r="C720" s="14" t="s">
        <v>0</v>
      </c>
      <c r="D720" s="14" t="s">
        <v>167</v>
      </c>
      <c r="E720" s="14" t="s">
        <v>4440</v>
      </c>
      <c r="F720" s="14" t="s">
        <v>1572</v>
      </c>
      <c r="G720" s="14" t="s">
        <v>3</v>
      </c>
      <c r="H720" s="14" t="s">
        <v>6896</v>
      </c>
      <c r="I720" s="14" t="s">
        <v>1573</v>
      </c>
      <c r="J720" s="14" t="s">
        <v>60</v>
      </c>
      <c r="K720" s="14" t="s">
        <v>60</v>
      </c>
      <c r="L720" s="14" t="s">
        <v>60</v>
      </c>
      <c r="M720" s="14" t="s">
        <v>1574</v>
      </c>
      <c r="N720" s="14" t="s">
        <v>60</v>
      </c>
      <c r="O720" s="14" t="s">
        <v>60</v>
      </c>
      <c r="P720" s="14" t="s">
        <v>6897</v>
      </c>
      <c r="Q720" s="14" t="s">
        <v>11</v>
      </c>
      <c r="R720" s="3" t="s">
        <v>4170</v>
      </c>
      <c r="S720" s="3">
        <f t="shared" si="36"/>
        <v>550</v>
      </c>
      <c r="T720" s="3">
        <f t="shared" si="37"/>
        <v>17050</v>
      </c>
      <c r="U720" s="3" t="s">
        <v>60</v>
      </c>
      <c r="V720" s="14" t="s">
        <v>6</v>
      </c>
      <c r="W720" s="14" t="s">
        <v>6898</v>
      </c>
      <c r="X720" s="14" t="s">
        <v>60</v>
      </c>
    </row>
    <row r="721" spans="1:24" ht="15" x14ac:dyDescent="0.3">
      <c r="A721" s="3">
        <v>19</v>
      </c>
      <c r="B721" s="3" t="s">
        <v>6899</v>
      </c>
      <c r="C721" s="14" t="s">
        <v>0</v>
      </c>
      <c r="D721" s="14" t="s">
        <v>1579</v>
      </c>
      <c r="E721" s="14" t="s">
        <v>4205</v>
      </c>
      <c r="F721" s="14" t="s">
        <v>1580</v>
      </c>
      <c r="G721" s="14" t="s">
        <v>3</v>
      </c>
      <c r="H721" s="14" t="s">
        <v>6900</v>
      </c>
      <c r="I721" s="14" t="s">
        <v>1581</v>
      </c>
      <c r="J721" s="14" t="s">
        <v>60</v>
      </c>
      <c r="K721" s="14" t="s">
        <v>60</v>
      </c>
      <c r="L721" s="14" t="s">
        <v>60</v>
      </c>
      <c r="M721" s="14" t="s">
        <v>1582</v>
      </c>
      <c r="N721" s="14" t="s">
        <v>60</v>
      </c>
      <c r="O721" s="14" t="s">
        <v>933</v>
      </c>
      <c r="P721" s="14" t="s">
        <v>6901</v>
      </c>
      <c r="Q721" s="14" t="s">
        <v>11</v>
      </c>
      <c r="R721" s="3" t="s">
        <v>4170</v>
      </c>
      <c r="S721" s="3">
        <f t="shared" si="36"/>
        <v>550</v>
      </c>
      <c r="T721" s="3">
        <f t="shared" si="37"/>
        <v>17050</v>
      </c>
      <c r="U721" s="3" t="s">
        <v>60</v>
      </c>
      <c r="V721" s="14" t="s">
        <v>6</v>
      </c>
      <c r="W721" s="14" t="s">
        <v>4985</v>
      </c>
      <c r="X721" s="14" t="s">
        <v>60</v>
      </c>
    </row>
    <row r="722" spans="1:24" ht="15" x14ac:dyDescent="0.3">
      <c r="A722" s="3">
        <v>20</v>
      </c>
      <c r="B722" s="3" t="s">
        <v>6902</v>
      </c>
      <c r="C722" s="14" t="s">
        <v>14</v>
      </c>
      <c r="D722" s="14" t="s">
        <v>1470</v>
      </c>
      <c r="E722" s="14" t="s">
        <v>5557</v>
      </c>
      <c r="F722" s="14" t="s">
        <v>1471</v>
      </c>
      <c r="G722" s="14" t="s">
        <v>3</v>
      </c>
      <c r="H722" s="14" t="s">
        <v>6903</v>
      </c>
      <c r="I722" s="14" t="s">
        <v>1472</v>
      </c>
      <c r="J722" s="14" t="s">
        <v>228</v>
      </c>
      <c r="K722" s="14" t="s">
        <v>1152</v>
      </c>
      <c r="L722" s="14" t="s">
        <v>60</v>
      </c>
      <c r="M722" s="14" t="s">
        <v>1473</v>
      </c>
      <c r="N722" s="14" t="s">
        <v>60</v>
      </c>
      <c r="O722" s="14" t="s">
        <v>193</v>
      </c>
      <c r="P722" s="14" t="s">
        <v>6904</v>
      </c>
      <c r="Q722" s="14" t="s">
        <v>11</v>
      </c>
      <c r="R722" s="3" t="s">
        <v>4170</v>
      </c>
      <c r="S722" s="3">
        <f t="shared" si="36"/>
        <v>640</v>
      </c>
      <c r="T722" s="3">
        <f t="shared" si="37"/>
        <v>19840</v>
      </c>
      <c r="U722" s="3" t="s">
        <v>6905</v>
      </c>
      <c r="V722" s="14" t="s">
        <v>6</v>
      </c>
      <c r="W722" s="14" t="s">
        <v>4287</v>
      </c>
      <c r="X722" s="14" t="s">
        <v>60</v>
      </c>
    </row>
    <row r="723" spans="1:24" ht="15" x14ac:dyDescent="0.3">
      <c r="A723" s="3">
        <v>21</v>
      </c>
      <c r="B723" s="3" t="s">
        <v>6906</v>
      </c>
      <c r="C723" s="14" t="s">
        <v>26</v>
      </c>
      <c r="D723" s="14" t="s">
        <v>1474</v>
      </c>
      <c r="E723" s="14" t="s">
        <v>6907</v>
      </c>
      <c r="F723" s="14" t="s">
        <v>1475</v>
      </c>
      <c r="G723" s="14" t="s">
        <v>3</v>
      </c>
      <c r="H723" s="14" t="s">
        <v>6908</v>
      </c>
      <c r="I723" s="14" t="s">
        <v>1476</v>
      </c>
      <c r="J723" s="14" t="s">
        <v>60</v>
      </c>
      <c r="K723" s="14" t="s">
        <v>60</v>
      </c>
      <c r="L723" s="14" t="s">
        <v>60</v>
      </c>
      <c r="M723" s="14" t="s">
        <v>1477</v>
      </c>
      <c r="N723" s="14" t="s">
        <v>60</v>
      </c>
      <c r="O723" s="14" t="s">
        <v>5052</v>
      </c>
      <c r="P723" s="14" t="s">
        <v>6909</v>
      </c>
      <c r="Q723" s="14" t="s">
        <v>185</v>
      </c>
      <c r="R723" s="3" t="s">
        <v>5244</v>
      </c>
      <c r="S723" s="3">
        <f t="shared" si="36"/>
        <v>770</v>
      </c>
      <c r="T723" s="3">
        <f t="shared" si="37"/>
        <v>20790</v>
      </c>
      <c r="U723" s="3" t="s">
        <v>60</v>
      </c>
      <c r="V723" s="14" t="s">
        <v>6</v>
      </c>
      <c r="W723" s="14" t="s">
        <v>4287</v>
      </c>
      <c r="X723" s="14" t="s">
        <v>60</v>
      </c>
    </row>
    <row r="724" spans="1:24" ht="15" x14ac:dyDescent="0.3">
      <c r="A724" s="3">
        <v>22</v>
      </c>
      <c r="B724" s="3" t="s">
        <v>6910</v>
      </c>
      <c r="C724" s="14" t="s">
        <v>14</v>
      </c>
      <c r="D724" s="14" t="s">
        <v>6911</v>
      </c>
      <c r="E724" s="14" t="s">
        <v>5828</v>
      </c>
      <c r="F724" s="14" t="s">
        <v>1478</v>
      </c>
      <c r="G724" s="14" t="s">
        <v>3</v>
      </c>
      <c r="H724" s="14" t="s">
        <v>6912</v>
      </c>
      <c r="I724" s="14" t="s">
        <v>1479</v>
      </c>
      <c r="J724" s="14" t="s">
        <v>60</v>
      </c>
      <c r="K724" s="14" t="s">
        <v>60</v>
      </c>
      <c r="L724" s="14" t="s">
        <v>60</v>
      </c>
      <c r="M724" s="14" t="s">
        <v>1480</v>
      </c>
      <c r="N724" s="14" t="s">
        <v>60</v>
      </c>
      <c r="O724" s="14" t="s">
        <v>184</v>
      </c>
      <c r="P724" s="14" t="s">
        <v>6913</v>
      </c>
      <c r="Q724" s="14" t="s">
        <v>185</v>
      </c>
      <c r="R724" s="3" t="s">
        <v>4170</v>
      </c>
      <c r="S724" s="3">
        <f t="shared" si="36"/>
        <v>640</v>
      </c>
      <c r="T724" s="3">
        <f t="shared" si="37"/>
        <v>19840</v>
      </c>
      <c r="U724" s="3" t="s">
        <v>60</v>
      </c>
      <c r="V724" s="14" t="s">
        <v>6</v>
      </c>
      <c r="W724" s="14" t="s">
        <v>4287</v>
      </c>
      <c r="X724" s="14" t="s">
        <v>60</v>
      </c>
    </row>
    <row r="725" spans="1:24" ht="15" x14ac:dyDescent="0.3">
      <c r="A725" s="3">
        <v>23</v>
      </c>
      <c r="B725" s="3" t="s">
        <v>6914</v>
      </c>
      <c r="C725" s="14" t="s">
        <v>26</v>
      </c>
      <c r="D725" s="14" t="s">
        <v>1481</v>
      </c>
      <c r="E725" s="14" t="s">
        <v>6915</v>
      </c>
      <c r="F725" s="14" t="s">
        <v>1482</v>
      </c>
      <c r="G725" s="14" t="s">
        <v>3</v>
      </c>
      <c r="H725" s="14" t="s">
        <v>6916</v>
      </c>
      <c r="I725" s="14" t="s">
        <v>1483</v>
      </c>
      <c r="J725" s="14" t="s">
        <v>60</v>
      </c>
      <c r="K725" s="14" t="s">
        <v>60</v>
      </c>
      <c r="L725" s="14" t="s">
        <v>60</v>
      </c>
      <c r="M725" s="14" t="s">
        <v>60</v>
      </c>
      <c r="N725" s="14" t="s">
        <v>60</v>
      </c>
      <c r="O725" s="14" t="s">
        <v>193</v>
      </c>
      <c r="P725" s="14" t="s">
        <v>6917</v>
      </c>
      <c r="Q725" s="14" t="s">
        <v>11</v>
      </c>
      <c r="R725" s="3" t="s">
        <v>4170</v>
      </c>
      <c r="S725" s="3">
        <f t="shared" si="36"/>
        <v>770</v>
      </c>
      <c r="T725" s="3">
        <f t="shared" si="37"/>
        <v>23870</v>
      </c>
      <c r="U725" s="3" t="s">
        <v>60</v>
      </c>
      <c r="V725" s="14" t="s">
        <v>6</v>
      </c>
      <c r="W725" s="14" t="s">
        <v>4287</v>
      </c>
      <c r="X725" s="14" t="s">
        <v>60</v>
      </c>
    </row>
    <row r="726" spans="1:24" ht="15" x14ac:dyDescent="0.3">
      <c r="A726" s="3">
        <v>24</v>
      </c>
      <c r="B726" s="3" t="s">
        <v>6918</v>
      </c>
      <c r="C726" s="14" t="s">
        <v>14</v>
      </c>
      <c r="D726" s="14" t="s">
        <v>1490</v>
      </c>
      <c r="E726" s="14" t="s">
        <v>6919</v>
      </c>
      <c r="F726" s="14" t="s">
        <v>1491</v>
      </c>
      <c r="G726" s="14" t="s">
        <v>3</v>
      </c>
      <c r="H726" s="14" t="s">
        <v>6920</v>
      </c>
      <c r="I726" s="14" t="s">
        <v>1492</v>
      </c>
      <c r="J726" s="14" t="s">
        <v>60</v>
      </c>
      <c r="K726" s="14" t="s">
        <v>60</v>
      </c>
      <c r="L726" s="14" t="s">
        <v>60</v>
      </c>
      <c r="M726" s="14" t="s">
        <v>1493</v>
      </c>
      <c r="N726" s="14" t="s">
        <v>60</v>
      </c>
      <c r="O726" s="14" t="s">
        <v>454</v>
      </c>
      <c r="P726" s="14" t="s">
        <v>6921</v>
      </c>
      <c r="Q726" s="14" t="s">
        <v>11</v>
      </c>
      <c r="R726" s="3" t="s">
        <v>4170</v>
      </c>
      <c r="S726" s="3">
        <f t="shared" si="36"/>
        <v>640</v>
      </c>
      <c r="T726" s="3">
        <f t="shared" si="37"/>
        <v>19840</v>
      </c>
      <c r="U726" s="3" t="s">
        <v>60</v>
      </c>
      <c r="V726" s="14" t="s">
        <v>6</v>
      </c>
      <c r="W726" s="14" t="s">
        <v>6789</v>
      </c>
      <c r="X726" s="14" t="s">
        <v>60</v>
      </c>
    </row>
    <row r="727" spans="1:24" ht="15" x14ac:dyDescent="0.3">
      <c r="A727" s="3">
        <v>25</v>
      </c>
      <c r="B727" s="3" t="s">
        <v>6922</v>
      </c>
      <c r="C727" s="14" t="s">
        <v>0</v>
      </c>
      <c r="D727" s="14" t="s">
        <v>828</v>
      </c>
      <c r="E727" s="14" t="s">
        <v>5037</v>
      </c>
      <c r="F727" s="14" t="s">
        <v>1620</v>
      </c>
      <c r="G727" s="14" t="s">
        <v>3</v>
      </c>
      <c r="H727" s="14" t="s">
        <v>6923</v>
      </c>
      <c r="I727" s="14" t="s">
        <v>1621</v>
      </c>
      <c r="J727" s="14" t="s">
        <v>60</v>
      </c>
      <c r="K727" s="14" t="s">
        <v>60</v>
      </c>
      <c r="L727" s="14" t="s">
        <v>60</v>
      </c>
      <c r="M727" s="14" t="s">
        <v>1622</v>
      </c>
      <c r="N727" s="14" t="s">
        <v>60</v>
      </c>
      <c r="O727" s="14" t="s">
        <v>388</v>
      </c>
      <c r="P727" s="14" t="s">
        <v>6924</v>
      </c>
      <c r="Q727" s="14" t="s">
        <v>11</v>
      </c>
      <c r="R727" s="3" t="s">
        <v>4170</v>
      </c>
      <c r="S727" s="3">
        <f t="shared" si="36"/>
        <v>550</v>
      </c>
      <c r="T727" s="3">
        <f t="shared" si="37"/>
        <v>17050</v>
      </c>
      <c r="U727" s="3" t="s">
        <v>60</v>
      </c>
      <c r="V727" s="14" t="s">
        <v>6</v>
      </c>
      <c r="W727" s="14" t="s">
        <v>6925</v>
      </c>
      <c r="X727" s="14" t="s">
        <v>60</v>
      </c>
    </row>
    <row r="728" spans="1:24" ht="15.6" x14ac:dyDescent="0.3">
      <c r="A728" s="3">
        <v>26</v>
      </c>
      <c r="B728" s="10">
        <v>8323</v>
      </c>
      <c r="C728" s="14" t="s">
        <v>0</v>
      </c>
      <c r="D728" s="15" t="s">
        <v>3297</v>
      </c>
      <c r="E728" s="12">
        <v>38353</v>
      </c>
      <c r="F728" s="5" t="s">
        <v>457</v>
      </c>
      <c r="G728" s="5" t="s">
        <v>3</v>
      </c>
      <c r="H728" s="5" t="s">
        <v>3347</v>
      </c>
      <c r="I728" s="7" t="s">
        <v>3348</v>
      </c>
      <c r="J728" s="5"/>
      <c r="K728" s="5"/>
      <c r="L728" s="5"/>
      <c r="M728" s="16" t="s">
        <v>3349</v>
      </c>
      <c r="N728" s="4"/>
      <c r="O728" s="17"/>
      <c r="P728" s="6">
        <v>97014406472</v>
      </c>
      <c r="Q728" s="7" t="s">
        <v>11</v>
      </c>
      <c r="R728" s="3" t="s">
        <v>4170</v>
      </c>
      <c r="S728" s="3">
        <f t="shared" si="36"/>
        <v>550</v>
      </c>
      <c r="T728" s="3">
        <f t="shared" si="37"/>
        <v>17050</v>
      </c>
      <c r="U728" s="3" t="s">
        <v>60</v>
      </c>
      <c r="V728" s="14" t="s">
        <v>6</v>
      </c>
      <c r="W728" s="11">
        <v>46170</v>
      </c>
      <c r="X728" s="14"/>
    </row>
    <row r="729" spans="1:24" ht="15" x14ac:dyDescent="0.3">
      <c r="A729" s="3">
        <v>27</v>
      </c>
      <c r="B729" s="3" t="s">
        <v>6926</v>
      </c>
      <c r="C729" s="14" t="s">
        <v>0</v>
      </c>
      <c r="D729" s="14" t="s">
        <v>2517</v>
      </c>
      <c r="E729" s="14" t="s">
        <v>4319</v>
      </c>
      <c r="F729" s="14" t="s">
        <v>457</v>
      </c>
      <c r="G729" s="14" t="s">
        <v>3</v>
      </c>
      <c r="H729" s="14" t="s">
        <v>6927</v>
      </c>
      <c r="I729" s="14" t="s">
        <v>3350</v>
      </c>
      <c r="J729" s="14" t="s">
        <v>60</v>
      </c>
      <c r="K729" s="14" t="s">
        <v>60</v>
      </c>
      <c r="L729" s="14" t="s">
        <v>60</v>
      </c>
      <c r="M729" s="14" t="s">
        <v>60</v>
      </c>
      <c r="N729" s="14" t="s">
        <v>60</v>
      </c>
      <c r="O729" s="14" t="s">
        <v>60</v>
      </c>
      <c r="P729" s="14" t="s">
        <v>6928</v>
      </c>
      <c r="Q729" s="14" t="s">
        <v>761</v>
      </c>
      <c r="R729" s="3" t="s">
        <v>4170</v>
      </c>
      <c r="S729" s="3">
        <f t="shared" si="36"/>
        <v>550</v>
      </c>
      <c r="T729" s="3">
        <f t="shared" si="37"/>
        <v>17050</v>
      </c>
      <c r="U729" s="3" t="s">
        <v>60</v>
      </c>
      <c r="V729" s="14" t="s">
        <v>6</v>
      </c>
      <c r="W729" s="14" t="s">
        <v>6929</v>
      </c>
      <c r="X729" s="14" t="s">
        <v>60</v>
      </c>
    </row>
    <row r="730" spans="1:24" ht="15" x14ac:dyDescent="0.3">
      <c r="A730" s="3">
        <v>28</v>
      </c>
      <c r="B730" s="3" t="s">
        <v>6930</v>
      </c>
      <c r="C730" s="14" t="s">
        <v>0</v>
      </c>
      <c r="D730" s="14" t="s">
        <v>3298</v>
      </c>
      <c r="E730" s="14" t="s">
        <v>6442</v>
      </c>
      <c r="F730" s="14" t="s">
        <v>3299</v>
      </c>
      <c r="G730" s="14" t="s">
        <v>3</v>
      </c>
      <c r="H730" s="14" t="s">
        <v>6931</v>
      </c>
      <c r="I730" s="14" t="s">
        <v>3351</v>
      </c>
      <c r="J730" s="14" t="s">
        <v>60</v>
      </c>
      <c r="K730" s="14" t="s">
        <v>60</v>
      </c>
      <c r="L730" s="14" t="s">
        <v>60</v>
      </c>
      <c r="M730" s="14" t="s">
        <v>3352</v>
      </c>
      <c r="N730" s="14" t="s">
        <v>60</v>
      </c>
      <c r="O730" s="14" t="s">
        <v>60</v>
      </c>
      <c r="P730" s="14" t="s">
        <v>6932</v>
      </c>
      <c r="Q730" s="14" t="s">
        <v>11</v>
      </c>
      <c r="R730" s="3" t="s">
        <v>4170</v>
      </c>
      <c r="S730" s="3">
        <f t="shared" si="36"/>
        <v>550</v>
      </c>
      <c r="T730" s="3">
        <f t="shared" si="37"/>
        <v>17050</v>
      </c>
      <c r="U730" s="3" t="s">
        <v>60</v>
      </c>
      <c r="V730" s="14" t="s">
        <v>6</v>
      </c>
      <c r="W730" s="14" t="s">
        <v>6929</v>
      </c>
      <c r="X730" s="14" t="s">
        <v>60</v>
      </c>
    </row>
    <row r="731" spans="1:24" ht="15" x14ac:dyDescent="0.3">
      <c r="A731" s="3">
        <v>29</v>
      </c>
      <c r="B731" s="3" t="s">
        <v>6933</v>
      </c>
      <c r="C731" s="14" t="s">
        <v>0</v>
      </c>
      <c r="D731" s="14" t="s">
        <v>3619</v>
      </c>
      <c r="E731" s="14" t="s">
        <v>6934</v>
      </c>
      <c r="F731" s="14" t="s">
        <v>3579</v>
      </c>
      <c r="G731" s="14" t="s">
        <v>3</v>
      </c>
      <c r="H731" s="14" t="s">
        <v>6935</v>
      </c>
      <c r="I731" s="14" t="s">
        <v>3821</v>
      </c>
      <c r="J731" s="14" t="s">
        <v>60</v>
      </c>
      <c r="K731" s="14" t="s">
        <v>60</v>
      </c>
      <c r="L731" s="14" t="s">
        <v>60</v>
      </c>
      <c r="M731" s="14" t="s">
        <v>3822</v>
      </c>
      <c r="N731" s="14" t="s">
        <v>60</v>
      </c>
      <c r="O731" s="14" t="s">
        <v>60</v>
      </c>
      <c r="P731" s="14" t="s">
        <v>6936</v>
      </c>
      <c r="Q731" s="14" t="s">
        <v>11</v>
      </c>
      <c r="R731" s="3" t="s">
        <v>4170</v>
      </c>
      <c r="S731" s="3">
        <f t="shared" si="36"/>
        <v>550</v>
      </c>
      <c r="T731" s="3">
        <f t="shared" si="37"/>
        <v>17050</v>
      </c>
      <c r="U731" s="3" t="s">
        <v>60</v>
      </c>
      <c r="V731" s="14" t="s">
        <v>6</v>
      </c>
      <c r="W731" s="14" t="s">
        <v>4444</v>
      </c>
      <c r="X731" s="14" t="s">
        <v>60</v>
      </c>
    </row>
    <row r="732" spans="1:24" ht="15" x14ac:dyDescent="0.3">
      <c r="A732" s="3">
        <v>30</v>
      </c>
      <c r="B732" s="3" t="s">
        <v>6937</v>
      </c>
      <c r="C732" s="14" t="s">
        <v>0</v>
      </c>
      <c r="D732" s="14" t="s">
        <v>3577</v>
      </c>
      <c r="E732" s="14" t="s">
        <v>6938</v>
      </c>
      <c r="F732" s="14" t="s">
        <v>3580</v>
      </c>
      <c r="G732" s="14" t="s">
        <v>3</v>
      </c>
      <c r="H732" s="14" t="s">
        <v>6939</v>
      </c>
      <c r="I732" s="14" t="s">
        <v>3823</v>
      </c>
      <c r="J732" s="14" t="s">
        <v>60</v>
      </c>
      <c r="K732" s="14" t="s">
        <v>60</v>
      </c>
      <c r="L732" s="14" t="s">
        <v>60</v>
      </c>
      <c r="M732" s="14" t="s">
        <v>3824</v>
      </c>
      <c r="N732" s="14" t="s">
        <v>60</v>
      </c>
      <c r="O732" s="14" t="s">
        <v>60</v>
      </c>
      <c r="P732" s="14" t="s">
        <v>6940</v>
      </c>
      <c r="Q732" s="14" t="s">
        <v>3825</v>
      </c>
      <c r="R732" s="3" t="s">
        <v>4170</v>
      </c>
      <c r="S732" s="3">
        <f t="shared" si="36"/>
        <v>550</v>
      </c>
      <c r="T732" s="3">
        <f t="shared" si="37"/>
        <v>17050</v>
      </c>
      <c r="U732" s="3" t="s">
        <v>60</v>
      </c>
      <c r="V732" s="14" t="s">
        <v>6</v>
      </c>
      <c r="W732" s="14" t="s">
        <v>4444</v>
      </c>
      <c r="X732" s="14" t="s">
        <v>60</v>
      </c>
    </row>
    <row r="733" spans="1:24" ht="15" x14ac:dyDescent="0.3">
      <c r="A733" s="3">
        <v>31</v>
      </c>
      <c r="B733" s="3" t="s">
        <v>6941</v>
      </c>
      <c r="C733" s="14" t="s">
        <v>0</v>
      </c>
      <c r="D733" s="14" t="s">
        <v>3578</v>
      </c>
      <c r="E733" s="14" t="s">
        <v>4308</v>
      </c>
      <c r="F733" s="14" t="s">
        <v>3581</v>
      </c>
      <c r="G733" s="14" t="s">
        <v>3</v>
      </c>
      <c r="H733" s="14" t="s">
        <v>3826</v>
      </c>
      <c r="I733" s="14" t="s">
        <v>3827</v>
      </c>
      <c r="J733" s="14" t="s">
        <v>60</v>
      </c>
      <c r="K733" s="14" t="s">
        <v>60</v>
      </c>
      <c r="L733" s="14" t="s">
        <v>60</v>
      </c>
      <c r="M733" s="14" t="s">
        <v>3828</v>
      </c>
      <c r="N733" s="14" t="s">
        <v>60</v>
      </c>
      <c r="O733" s="14" t="s">
        <v>60</v>
      </c>
      <c r="P733" s="14" t="s">
        <v>6942</v>
      </c>
      <c r="Q733" s="14" t="s">
        <v>11</v>
      </c>
      <c r="R733" s="3" t="s">
        <v>5870</v>
      </c>
      <c r="S733" s="3">
        <f t="shared" si="36"/>
        <v>550</v>
      </c>
      <c r="T733" s="3">
        <f t="shared" si="37"/>
        <v>13200</v>
      </c>
      <c r="U733" s="3" t="s">
        <v>60</v>
      </c>
      <c r="V733" s="14" t="s">
        <v>6</v>
      </c>
      <c r="W733" s="14" t="s">
        <v>4444</v>
      </c>
      <c r="X733" s="14" t="s">
        <v>6844</v>
      </c>
    </row>
    <row r="734" spans="1:24" ht="15" x14ac:dyDescent="0.3">
      <c r="A734" s="3">
        <v>32</v>
      </c>
      <c r="B734" s="3" t="s">
        <v>6943</v>
      </c>
      <c r="C734" s="14" t="s">
        <v>14</v>
      </c>
      <c r="D734" s="14" t="s">
        <v>1487</v>
      </c>
      <c r="E734" s="14" t="s">
        <v>6944</v>
      </c>
      <c r="F734" s="14" t="s">
        <v>256</v>
      </c>
      <c r="G734" s="14" t="s">
        <v>3</v>
      </c>
      <c r="H734" s="14" t="s">
        <v>6945</v>
      </c>
      <c r="I734" s="14" t="s">
        <v>1488</v>
      </c>
      <c r="J734" s="14" t="s">
        <v>60</v>
      </c>
      <c r="K734" s="14" t="s">
        <v>60</v>
      </c>
      <c r="L734" s="14" t="s">
        <v>60</v>
      </c>
      <c r="M734" s="14" t="s">
        <v>1489</v>
      </c>
      <c r="N734" s="14" t="s">
        <v>60</v>
      </c>
      <c r="O734" s="14" t="s">
        <v>257</v>
      </c>
      <c r="P734" s="14" t="s">
        <v>6946</v>
      </c>
      <c r="Q734" s="14" t="s">
        <v>11</v>
      </c>
      <c r="R734" s="3" t="s">
        <v>4170</v>
      </c>
      <c r="S734" s="3">
        <f t="shared" si="36"/>
        <v>640</v>
      </c>
      <c r="T734" s="3">
        <f t="shared" si="37"/>
        <v>19840</v>
      </c>
      <c r="U734" s="3" t="s">
        <v>60</v>
      </c>
      <c r="V734" s="14" t="s">
        <v>6</v>
      </c>
      <c r="W734" s="14" t="s">
        <v>6947</v>
      </c>
      <c r="X734" s="14" t="s">
        <v>60</v>
      </c>
    </row>
    <row r="735" spans="1:24" ht="15.6" x14ac:dyDescent="0.3">
      <c r="A735" s="3">
        <v>33</v>
      </c>
      <c r="B735" s="25" t="s">
        <v>6948</v>
      </c>
      <c r="C735" s="14" t="s">
        <v>0</v>
      </c>
      <c r="D735" s="14" t="s">
        <v>1651</v>
      </c>
      <c r="E735" s="14" t="s">
        <v>6949</v>
      </c>
      <c r="F735" s="14" t="s">
        <v>1652</v>
      </c>
      <c r="G735" s="14" t="s">
        <v>3</v>
      </c>
      <c r="H735" s="14" t="s">
        <v>6950</v>
      </c>
      <c r="I735" s="14" t="s">
        <v>6951</v>
      </c>
      <c r="J735" s="14" t="s">
        <v>60</v>
      </c>
      <c r="K735" s="14" t="s">
        <v>60</v>
      </c>
      <c r="L735" s="14" t="s">
        <v>60</v>
      </c>
      <c r="M735" s="14" t="s">
        <v>1653</v>
      </c>
      <c r="N735" s="14" t="s">
        <v>60</v>
      </c>
      <c r="O735" s="14" t="s">
        <v>60</v>
      </c>
      <c r="P735" s="14" t="s">
        <v>6952</v>
      </c>
      <c r="Q735" s="14" t="s">
        <v>11</v>
      </c>
      <c r="R735" s="3" t="s">
        <v>5222</v>
      </c>
      <c r="S735" s="3">
        <f t="shared" si="36"/>
        <v>550</v>
      </c>
      <c r="T735" s="3">
        <f t="shared" si="37"/>
        <v>14300</v>
      </c>
      <c r="U735" s="3" t="s">
        <v>60</v>
      </c>
      <c r="V735" s="14" t="s">
        <v>6</v>
      </c>
      <c r="W735" s="14" t="s">
        <v>6953</v>
      </c>
      <c r="X735" s="14" t="s">
        <v>60</v>
      </c>
    </row>
    <row r="736" spans="1:24" ht="15.6" x14ac:dyDescent="0.3">
      <c r="A736" s="3">
        <v>34</v>
      </c>
      <c r="B736" s="25" t="s">
        <v>6954</v>
      </c>
      <c r="C736" s="14" t="s">
        <v>0</v>
      </c>
      <c r="D736" s="14" t="s">
        <v>6955</v>
      </c>
      <c r="E736" s="14" t="s">
        <v>6956</v>
      </c>
      <c r="F736" s="14" t="s">
        <v>6957</v>
      </c>
      <c r="G736" s="14" t="s">
        <v>3</v>
      </c>
      <c r="H736" s="14" t="s">
        <v>6958</v>
      </c>
      <c r="I736" s="14" t="s">
        <v>1524</v>
      </c>
      <c r="J736" s="14" t="s">
        <v>60</v>
      </c>
      <c r="K736" s="14" t="s">
        <v>60</v>
      </c>
      <c r="L736" s="14" t="s">
        <v>60</v>
      </c>
      <c r="M736" s="14" t="s">
        <v>6959</v>
      </c>
      <c r="N736" s="14" t="s">
        <v>60</v>
      </c>
      <c r="O736" s="14" t="s">
        <v>60</v>
      </c>
      <c r="P736" s="14" t="s">
        <v>6960</v>
      </c>
      <c r="Q736" s="14" t="s">
        <v>2723</v>
      </c>
      <c r="R736" s="3" t="s">
        <v>5870</v>
      </c>
      <c r="S736" s="3">
        <f t="shared" si="36"/>
        <v>550</v>
      </c>
      <c r="T736" s="3">
        <f t="shared" si="37"/>
        <v>13200</v>
      </c>
      <c r="U736" s="3" t="s">
        <v>6961</v>
      </c>
      <c r="V736" s="14" t="s">
        <v>6</v>
      </c>
      <c r="W736" s="14" t="s">
        <v>6962</v>
      </c>
      <c r="X736" s="14" t="s">
        <v>60</v>
      </c>
    </row>
    <row r="737" spans="1:24" ht="15.6" x14ac:dyDescent="0.3">
      <c r="A737" s="26" t="s">
        <v>60</v>
      </c>
      <c r="B737" s="26" t="s">
        <v>60</v>
      </c>
      <c r="C737" s="27" t="s">
        <v>60</v>
      </c>
      <c r="D737" s="27" t="s">
        <v>60</v>
      </c>
      <c r="E737" s="27" t="s">
        <v>60</v>
      </c>
      <c r="F737" s="27" t="s">
        <v>60</v>
      </c>
      <c r="G737" s="27" t="s">
        <v>60</v>
      </c>
      <c r="H737" s="27" t="s">
        <v>60</v>
      </c>
      <c r="I737" s="27" t="s">
        <v>60</v>
      </c>
      <c r="J737" s="27" t="s">
        <v>60</v>
      </c>
      <c r="K737" s="27" t="s">
        <v>60</v>
      </c>
      <c r="L737" s="27" t="s">
        <v>60</v>
      </c>
      <c r="M737" s="27" t="s">
        <v>60</v>
      </c>
      <c r="N737" s="27" t="s">
        <v>60</v>
      </c>
      <c r="O737" s="27" t="s">
        <v>60</v>
      </c>
      <c r="P737" s="27" t="s">
        <v>60</v>
      </c>
      <c r="Q737" s="27" t="s">
        <v>60</v>
      </c>
      <c r="R737" s="35" t="s">
        <v>2009</v>
      </c>
      <c r="S737" s="35" t="s">
        <v>60</v>
      </c>
      <c r="T737" s="26">
        <f>SUM(T702:T736)</f>
        <v>556230</v>
      </c>
      <c r="U737" s="26" t="s">
        <v>6963</v>
      </c>
      <c r="V737" s="27" t="s">
        <v>60</v>
      </c>
      <c r="W737" s="27" t="s">
        <v>60</v>
      </c>
      <c r="X737" s="27" t="s">
        <v>60</v>
      </c>
    </row>
    <row r="738" spans="1:24" ht="15.6" x14ac:dyDescent="0.3">
      <c r="A738" s="34" t="s">
        <v>6964</v>
      </c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 spans="1:24" ht="109.2" x14ac:dyDescent="0.3">
      <c r="A739" s="23" t="s">
        <v>42</v>
      </c>
      <c r="B739" s="23" t="s">
        <v>43</v>
      </c>
      <c r="C739" s="24" t="s">
        <v>44</v>
      </c>
      <c r="D739" s="24" t="s">
        <v>4154</v>
      </c>
      <c r="E739" s="24" t="s">
        <v>4155</v>
      </c>
      <c r="F739" s="24" t="s">
        <v>4156</v>
      </c>
      <c r="G739" s="24" t="s">
        <v>45</v>
      </c>
      <c r="H739" s="24" t="s">
        <v>4157</v>
      </c>
      <c r="I739" s="24" t="s">
        <v>46</v>
      </c>
      <c r="J739" s="24" t="s">
        <v>4158</v>
      </c>
      <c r="K739" s="24" t="s">
        <v>4159</v>
      </c>
      <c r="L739" s="24" t="s">
        <v>4160</v>
      </c>
      <c r="M739" s="24" t="s">
        <v>4161</v>
      </c>
      <c r="N739" s="24" t="s">
        <v>47</v>
      </c>
      <c r="O739" s="24" t="s">
        <v>48</v>
      </c>
      <c r="P739" s="24" t="s">
        <v>49</v>
      </c>
      <c r="Q739" s="24" t="s">
        <v>50</v>
      </c>
      <c r="R739" s="23" t="s">
        <v>4162</v>
      </c>
      <c r="S739" s="23" t="s">
        <v>4163</v>
      </c>
      <c r="T739" s="23" t="s">
        <v>4164</v>
      </c>
      <c r="U739" s="23" t="s">
        <v>4165</v>
      </c>
      <c r="V739" s="24" t="s">
        <v>51</v>
      </c>
      <c r="W739" s="24" t="s">
        <v>52</v>
      </c>
      <c r="X739" s="24" t="s">
        <v>53</v>
      </c>
    </row>
    <row r="740" spans="1:24" ht="15" x14ac:dyDescent="0.3">
      <c r="A740" s="3">
        <v>1</v>
      </c>
      <c r="B740" s="3" t="s">
        <v>1677</v>
      </c>
      <c r="C740" s="14" t="s">
        <v>0</v>
      </c>
      <c r="D740" s="14" t="s">
        <v>1678</v>
      </c>
      <c r="E740" s="14" t="s">
        <v>6965</v>
      </c>
      <c r="F740" s="14" t="s">
        <v>1679</v>
      </c>
      <c r="G740" s="14" t="s">
        <v>3</v>
      </c>
      <c r="H740" s="14" t="s">
        <v>6966</v>
      </c>
      <c r="I740" s="14" t="s">
        <v>1680</v>
      </c>
      <c r="J740" s="14" t="s">
        <v>60</v>
      </c>
      <c r="K740" s="14" t="s">
        <v>60</v>
      </c>
      <c r="L740" s="14" t="s">
        <v>60</v>
      </c>
      <c r="M740" s="14" t="s">
        <v>1681</v>
      </c>
      <c r="N740" s="14" t="s">
        <v>60</v>
      </c>
      <c r="O740" s="14" t="s">
        <v>193</v>
      </c>
      <c r="P740" s="14" t="s">
        <v>6967</v>
      </c>
      <c r="Q740" s="14" t="s">
        <v>1676</v>
      </c>
      <c r="R740" s="3" t="s">
        <v>4170</v>
      </c>
      <c r="S740" s="3">
        <f t="shared" ref="S740:S803" si="38">IF(RIGHT(C740,3)="MAZ",550,IF(RIGHT(C740,4)="MATE",570,IF(RIGHT(C740,7)="SKD-III",640,IF(RIGHT(C740,6)="SKD-II",770,IF(RIGHT(C740,5)="SKD-I",900,IF(RIGHT(C740,5)="CPDVR",770,""))))))</f>
        <v>550</v>
      </c>
      <c r="T740" s="3">
        <f t="shared" ref="T740:T803" si="39">R740*S740</f>
        <v>17050</v>
      </c>
      <c r="U740" s="3" t="s">
        <v>60</v>
      </c>
      <c r="V740" s="14" t="s">
        <v>6</v>
      </c>
      <c r="W740" s="14" t="s">
        <v>4287</v>
      </c>
      <c r="X740" s="14" t="s">
        <v>60</v>
      </c>
    </row>
    <row r="741" spans="1:24" ht="15" x14ac:dyDescent="0.3">
      <c r="A741" s="3">
        <v>2</v>
      </c>
      <c r="B741" s="3" t="s">
        <v>6968</v>
      </c>
      <c r="C741" s="14" t="s">
        <v>0</v>
      </c>
      <c r="D741" s="14" t="s">
        <v>1691</v>
      </c>
      <c r="E741" s="14" t="s">
        <v>6969</v>
      </c>
      <c r="F741" s="14" t="s">
        <v>1692</v>
      </c>
      <c r="G741" s="14" t="s">
        <v>3</v>
      </c>
      <c r="H741" s="14" t="s">
        <v>6970</v>
      </c>
      <c r="I741" s="14" t="s">
        <v>1693</v>
      </c>
      <c r="J741" s="14" t="s">
        <v>60</v>
      </c>
      <c r="K741" s="14" t="s">
        <v>60</v>
      </c>
      <c r="L741" s="14" t="s">
        <v>60</v>
      </c>
      <c r="M741" s="14" t="s">
        <v>1694</v>
      </c>
      <c r="N741" s="14" t="s">
        <v>60</v>
      </c>
      <c r="O741" s="14" t="s">
        <v>60</v>
      </c>
      <c r="P741" s="14" t="s">
        <v>6971</v>
      </c>
      <c r="Q741" s="14" t="s">
        <v>81</v>
      </c>
      <c r="R741" s="3" t="s">
        <v>6972</v>
      </c>
      <c r="S741" s="3">
        <f t="shared" si="38"/>
        <v>550</v>
      </c>
      <c r="T741" s="3">
        <f t="shared" si="39"/>
        <v>1100</v>
      </c>
      <c r="U741" s="3" t="s">
        <v>60</v>
      </c>
      <c r="V741" s="14" t="s">
        <v>6</v>
      </c>
      <c r="W741" s="14" t="s">
        <v>4287</v>
      </c>
      <c r="X741" s="14" t="s">
        <v>60</v>
      </c>
    </row>
    <row r="742" spans="1:24" ht="15" x14ac:dyDescent="0.3">
      <c r="A742" s="3">
        <v>3</v>
      </c>
      <c r="B742" s="3" t="s">
        <v>1705</v>
      </c>
      <c r="C742" s="14" t="s">
        <v>0</v>
      </c>
      <c r="D742" s="14" t="s">
        <v>1706</v>
      </c>
      <c r="E742" s="14" t="s">
        <v>6973</v>
      </c>
      <c r="F742" s="14" t="s">
        <v>1707</v>
      </c>
      <c r="G742" s="14" t="s">
        <v>3</v>
      </c>
      <c r="H742" s="14" t="s">
        <v>6974</v>
      </c>
      <c r="I742" s="14" t="s">
        <v>1708</v>
      </c>
      <c r="J742" s="14" t="s">
        <v>60</v>
      </c>
      <c r="K742" s="14" t="s">
        <v>60</v>
      </c>
      <c r="L742" s="14" t="s">
        <v>60</v>
      </c>
      <c r="M742" s="14" t="s">
        <v>1709</v>
      </c>
      <c r="N742" s="14" t="s">
        <v>60</v>
      </c>
      <c r="O742" s="14" t="s">
        <v>193</v>
      </c>
      <c r="P742" s="14" t="s">
        <v>6975</v>
      </c>
      <c r="Q742" s="14" t="s">
        <v>1676</v>
      </c>
      <c r="R742" s="3" t="s">
        <v>4170</v>
      </c>
      <c r="S742" s="3">
        <f t="shared" si="38"/>
        <v>550</v>
      </c>
      <c r="T742" s="3">
        <f t="shared" si="39"/>
        <v>17050</v>
      </c>
      <c r="U742" s="3" t="s">
        <v>60</v>
      </c>
      <c r="V742" s="14" t="s">
        <v>6</v>
      </c>
      <c r="W742" s="14" t="s">
        <v>4287</v>
      </c>
      <c r="X742" s="14" t="s">
        <v>60</v>
      </c>
    </row>
    <row r="743" spans="1:24" ht="15" x14ac:dyDescent="0.3">
      <c r="A743" s="3">
        <v>4</v>
      </c>
      <c r="B743" s="3" t="s">
        <v>6976</v>
      </c>
      <c r="C743" s="14" t="s">
        <v>0</v>
      </c>
      <c r="D743" s="14" t="s">
        <v>1714</v>
      </c>
      <c r="E743" s="14" t="s">
        <v>6977</v>
      </c>
      <c r="F743" s="14" t="s">
        <v>1715</v>
      </c>
      <c r="G743" s="14" t="s">
        <v>3</v>
      </c>
      <c r="H743" s="14" t="s">
        <v>6978</v>
      </c>
      <c r="I743" s="14" t="s">
        <v>1716</v>
      </c>
      <c r="J743" s="14" t="s">
        <v>60</v>
      </c>
      <c r="K743" s="14" t="s">
        <v>60</v>
      </c>
      <c r="L743" s="14" t="s">
        <v>60</v>
      </c>
      <c r="M743" s="14" t="s">
        <v>1717</v>
      </c>
      <c r="N743" s="14" t="s">
        <v>60</v>
      </c>
      <c r="O743" s="14" t="s">
        <v>261</v>
      </c>
      <c r="P743" s="14" t="s">
        <v>6979</v>
      </c>
      <c r="Q743" s="14" t="s">
        <v>11</v>
      </c>
      <c r="R743" s="3" t="s">
        <v>4170</v>
      </c>
      <c r="S743" s="3">
        <f t="shared" si="38"/>
        <v>550</v>
      </c>
      <c r="T743" s="3">
        <f t="shared" si="39"/>
        <v>17050</v>
      </c>
      <c r="U743" s="3" t="s">
        <v>60</v>
      </c>
      <c r="V743" s="14" t="s">
        <v>4301</v>
      </c>
      <c r="W743" s="14" t="s">
        <v>6980</v>
      </c>
      <c r="X743" s="14" t="s">
        <v>60</v>
      </c>
    </row>
    <row r="744" spans="1:24" ht="15" x14ac:dyDescent="0.3">
      <c r="A744" s="3">
        <v>5</v>
      </c>
      <c r="B744" s="3" t="s">
        <v>6981</v>
      </c>
      <c r="C744" s="14" t="s">
        <v>0</v>
      </c>
      <c r="D744" s="14" t="s">
        <v>1610</v>
      </c>
      <c r="E744" s="14" t="s">
        <v>4815</v>
      </c>
      <c r="F744" s="14" t="s">
        <v>1719</v>
      </c>
      <c r="G744" s="14" t="s">
        <v>3</v>
      </c>
      <c r="H744" s="14" t="s">
        <v>6982</v>
      </c>
      <c r="I744" s="14" t="s">
        <v>1720</v>
      </c>
      <c r="J744" s="14" t="s">
        <v>60</v>
      </c>
      <c r="K744" s="14" t="s">
        <v>60</v>
      </c>
      <c r="L744" s="14" t="s">
        <v>60</v>
      </c>
      <c r="M744" s="14" t="s">
        <v>1721</v>
      </c>
      <c r="N744" s="14" t="s">
        <v>60</v>
      </c>
      <c r="O744" s="14" t="s">
        <v>261</v>
      </c>
      <c r="P744" s="14" t="s">
        <v>6983</v>
      </c>
      <c r="Q744" s="14" t="s">
        <v>11</v>
      </c>
      <c r="R744" s="3" t="s">
        <v>4170</v>
      </c>
      <c r="S744" s="3">
        <f t="shared" si="38"/>
        <v>550</v>
      </c>
      <c r="T744" s="3">
        <f t="shared" si="39"/>
        <v>17050</v>
      </c>
      <c r="U744" s="3" t="s">
        <v>60</v>
      </c>
      <c r="V744" s="14" t="s">
        <v>4301</v>
      </c>
      <c r="W744" s="14" t="s">
        <v>6984</v>
      </c>
      <c r="X744" s="14" t="s">
        <v>60</v>
      </c>
    </row>
    <row r="745" spans="1:24" ht="15" x14ac:dyDescent="0.3">
      <c r="A745" s="3">
        <v>6</v>
      </c>
      <c r="B745" s="3" t="s">
        <v>6985</v>
      </c>
      <c r="C745" s="14" t="s">
        <v>0</v>
      </c>
      <c r="D745" s="14" t="s">
        <v>1722</v>
      </c>
      <c r="E745" s="14" t="s">
        <v>5073</v>
      </c>
      <c r="F745" s="14" t="s">
        <v>1723</v>
      </c>
      <c r="G745" s="14" t="s">
        <v>3</v>
      </c>
      <c r="H745" s="14" t="s">
        <v>6986</v>
      </c>
      <c r="I745" s="14" t="s">
        <v>1724</v>
      </c>
      <c r="J745" s="14" t="s">
        <v>60</v>
      </c>
      <c r="K745" s="14" t="s">
        <v>60</v>
      </c>
      <c r="L745" s="14" t="s">
        <v>60</v>
      </c>
      <c r="M745" s="14" t="s">
        <v>1725</v>
      </c>
      <c r="N745" s="14" t="s">
        <v>60</v>
      </c>
      <c r="O745" s="14" t="s">
        <v>261</v>
      </c>
      <c r="P745" s="14" t="s">
        <v>6987</v>
      </c>
      <c r="Q745" s="14" t="s">
        <v>11</v>
      </c>
      <c r="R745" s="3" t="s">
        <v>4170</v>
      </c>
      <c r="S745" s="3">
        <f t="shared" si="38"/>
        <v>550</v>
      </c>
      <c r="T745" s="3">
        <f t="shared" si="39"/>
        <v>17050</v>
      </c>
      <c r="U745" s="3" t="s">
        <v>60</v>
      </c>
      <c r="V745" s="14" t="s">
        <v>4301</v>
      </c>
      <c r="W745" s="14" t="s">
        <v>6984</v>
      </c>
      <c r="X745" s="14" t="s">
        <v>60</v>
      </c>
    </row>
    <row r="746" spans="1:24" ht="15" x14ac:dyDescent="0.3">
      <c r="A746" s="3">
        <v>7</v>
      </c>
      <c r="B746" s="3" t="s">
        <v>6988</v>
      </c>
      <c r="C746" s="14" t="s">
        <v>0</v>
      </c>
      <c r="D746" s="14" t="s">
        <v>3293</v>
      </c>
      <c r="E746" s="14" t="s">
        <v>6989</v>
      </c>
      <c r="F746" s="14" t="s">
        <v>3294</v>
      </c>
      <c r="G746" s="14" t="s">
        <v>3</v>
      </c>
      <c r="H746" s="14" t="s">
        <v>6990</v>
      </c>
      <c r="I746" s="14" t="s">
        <v>3412</v>
      </c>
      <c r="J746" s="14" t="s">
        <v>60</v>
      </c>
      <c r="K746" s="14" t="s">
        <v>60</v>
      </c>
      <c r="L746" s="14" t="s">
        <v>60</v>
      </c>
      <c r="M746" s="14" t="s">
        <v>60</v>
      </c>
      <c r="N746" s="14" t="s">
        <v>60</v>
      </c>
      <c r="O746" s="14" t="s">
        <v>60</v>
      </c>
      <c r="P746" s="14" t="s">
        <v>6991</v>
      </c>
      <c r="Q746" s="14" t="s">
        <v>11</v>
      </c>
      <c r="R746" s="3" t="s">
        <v>4170</v>
      </c>
      <c r="S746" s="3">
        <f t="shared" si="38"/>
        <v>550</v>
      </c>
      <c r="T746" s="3">
        <f t="shared" si="39"/>
        <v>17050</v>
      </c>
      <c r="U746" s="3" t="s">
        <v>60</v>
      </c>
      <c r="V746" s="14" t="s">
        <v>6</v>
      </c>
      <c r="W746" s="14" t="s">
        <v>4428</v>
      </c>
      <c r="X746" s="14" t="s">
        <v>60</v>
      </c>
    </row>
    <row r="747" spans="1:24" ht="15" x14ac:dyDescent="0.3">
      <c r="A747" s="3">
        <v>8</v>
      </c>
      <c r="B747" s="3" t="s">
        <v>6992</v>
      </c>
      <c r="C747" s="14" t="s">
        <v>0</v>
      </c>
      <c r="D747" s="14" t="s">
        <v>1974</v>
      </c>
      <c r="E747" s="14" t="s">
        <v>4778</v>
      </c>
      <c r="F747" s="14" t="s">
        <v>1975</v>
      </c>
      <c r="G747" s="14" t="s">
        <v>3</v>
      </c>
      <c r="H747" s="14" t="s">
        <v>6993</v>
      </c>
      <c r="I747" s="14" t="s">
        <v>6994</v>
      </c>
      <c r="J747" s="14" t="s">
        <v>60</v>
      </c>
      <c r="K747" s="14" t="s">
        <v>60</v>
      </c>
      <c r="L747" s="14" t="s">
        <v>60</v>
      </c>
      <c r="M747" s="14" t="s">
        <v>1976</v>
      </c>
      <c r="N747" s="14" t="s">
        <v>60</v>
      </c>
      <c r="O747" s="14" t="s">
        <v>1977</v>
      </c>
      <c r="P747" s="14" t="s">
        <v>6995</v>
      </c>
      <c r="Q747" s="14" t="s">
        <v>11</v>
      </c>
      <c r="R747" s="3" t="s">
        <v>68</v>
      </c>
      <c r="S747" s="3">
        <f t="shared" si="38"/>
        <v>550</v>
      </c>
      <c r="T747" s="3">
        <f t="shared" si="39"/>
        <v>0</v>
      </c>
      <c r="U747" s="3" t="s">
        <v>60</v>
      </c>
      <c r="V747" s="14" t="s">
        <v>6</v>
      </c>
      <c r="W747" s="14" t="s">
        <v>6265</v>
      </c>
      <c r="X747" s="14" t="s">
        <v>60</v>
      </c>
    </row>
    <row r="748" spans="1:24" ht="15" x14ac:dyDescent="0.3">
      <c r="A748" s="3">
        <v>9</v>
      </c>
      <c r="B748" s="3" t="s">
        <v>6996</v>
      </c>
      <c r="C748" s="14" t="s">
        <v>354</v>
      </c>
      <c r="D748" s="14" t="s">
        <v>1981</v>
      </c>
      <c r="E748" s="14" t="s">
        <v>4216</v>
      </c>
      <c r="F748" s="14" t="s">
        <v>1982</v>
      </c>
      <c r="G748" s="14" t="s">
        <v>3</v>
      </c>
      <c r="H748" s="14" t="s">
        <v>1983</v>
      </c>
      <c r="I748" s="14" t="s">
        <v>1984</v>
      </c>
      <c r="J748" s="14" t="s">
        <v>60</v>
      </c>
      <c r="K748" s="14" t="s">
        <v>60</v>
      </c>
      <c r="L748" s="14" t="s">
        <v>60</v>
      </c>
      <c r="M748" s="14" t="s">
        <v>1985</v>
      </c>
      <c r="N748" s="14" t="s">
        <v>60</v>
      </c>
      <c r="O748" s="14" t="s">
        <v>6997</v>
      </c>
      <c r="P748" s="14" t="s">
        <v>6998</v>
      </c>
      <c r="Q748" s="14" t="s">
        <v>11</v>
      </c>
      <c r="R748" s="3" t="s">
        <v>4170</v>
      </c>
      <c r="S748" s="3">
        <f t="shared" si="38"/>
        <v>550</v>
      </c>
      <c r="T748" s="3">
        <f t="shared" si="39"/>
        <v>17050</v>
      </c>
      <c r="U748" s="3" t="s">
        <v>60</v>
      </c>
      <c r="V748" s="14" t="s">
        <v>6</v>
      </c>
      <c r="W748" s="14" t="s">
        <v>4287</v>
      </c>
      <c r="X748" s="14" t="s">
        <v>60</v>
      </c>
    </row>
    <row r="749" spans="1:24" ht="15" x14ac:dyDescent="0.3">
      <c r="A749" s="3">
        <v>10</v>
      </c>
      <c r="B749" s="3" t="s">
        <v>1806</v>
      </c>
      <c r="C749" s="14" t="s">
        <v>0</v>
      </c>
      <c r="D749" s="14" t="s">
        <v>1807</v>
      </c>
      <c r="E749" s="14" t="s">
        <v>4895</v>
      </c>
      <c r="F749" s="14" t="s">
        <v>1808</v>
      </c>
      <c r="G749" s="14" t="s">
        <v>3</v>
      </c>
      <c r="H749" s="14" t="s">
        <v>6999</v>
      </c>
      <c r="I749" s="14" t="s">
        <v>7000</v>
      </c>
      <c r="J749" s="14" t="s">
        <v>60</v>
      </c>
      <c r="K749" s="14" t="s">
        <v>60</v>
      </c>
      <c r="L749" s="14" t="s">
        <v>60</v>
      </c>
      <c r="M749" s="14" t="s">
        <v>1809</v>
      </c>
      <c r="N749" s="14" t="s">
        <v>60</v>
      </c>
      <c r="O749" s="14" t="s">
        <v>7001</v>
      </c>
      <c r="P749" s="14" t="s">
        <v>7002</v>
      </c>
      <c r="Q749" s="14" t="s">
        <v>11</v>
      </c>
      <c r="R749" s="3" t="s">
        <v>4170</v>
      </c>
      <c r="S749" s="3">
        <f t="shared" si="38"/>
        <v>550</v>
      </c>
      <c r="T749" s="3">
        <f t="shared" si="39"/>
        <v>17050</v>
      </c>
      <c r="U749" s="3" t="s">
        <v>60</v>
      </c>
      <c r="V749" s="14" t="s">
        <v>6</v>
      </c>
      <c r="W749" s="14" t="s">
        <v>4287</v>
      </c>
      <c r="X749" s="14" t="s">
        <v>60</v>
      </c>
    </row>
    <row r="750" spans="1:24" ht="15" x14ac:dyDescent="0.3">
      <c r="A750" s="3">
        <v>11</v>
      </c>
      <c r="B750" s="3" t="s">
        <v>1810</v>
      </c>
      <c r="C750" s="14" t="s">
        <v>0</v>
      </c>
      <c r="D750" s="14" t="s">
        <v>1811</v>
      </c>
      <c r="E750" s="14" t="s">
        <v>4644</v>
      </c>
      <c r="F750" s="14" t="s">
        <v>1812</v>
      </c>
      <c r="G750" s="14" t="s">
        <v>3</v>
      </c>
      <c r="H750" s="14" t="s">
        <v>7003</v>
      </c>
      <c r="I750" s="14" t="s">
        <v>1813</v>
      </c>
      <c r="J750" s="14" t="s">
        <v>60</v>
      </c>
      <c r="K750" s="14" t="s">
        <v>60</v>
      </c>
      <c r="L750" s="14" t="s">
        <v>60</v>
      </c>
      <c r="M750" s="14" t="s">
        <v>7004</v>
      </c>
      <c r="N750" s="14" t="s">
        <v>60</v>
      </c>
      <c r="O750" s="14" t="s">
        <v>193</v>
      </c>
      <c r="P750" s="14" t="s">
        <v>7005</v>
      </c>
      <c r="Q750" s="14" t="s">
        <v>1676</v>
      </c>
      <c r="R750" s="3" t="s">
        <v>4170</v>
      </c>
      <c r="S750" s="3">
        <f t="shared" si="38"/>
        <v>550</v>
      </c>
      <c r="T750" s="3">
        <f t="shared" si="39"/>
        <v>17050</v>
      </c>
      <c r="U750" s="3" t="s">
        <v>60</v>
      </c>
      <c r="V750" s="14" t="s">
        <v>6</v>
      </c>
      <c r="W750" s="14" t="s">
        <v>4287</v>
      </c>
      <c r="X750" s="14" t="s">
        <v>60</v>
      </c>
    </row>
    <row r="751" spans="1:24" ht="15" x14ac:dyDescent="0.3">
      <c r="A751" s="3">
        <v>12</v>
      </c>
      <c r="B751" s="3" t="s">
        <v>1729</v>
      </c>
      <c r="C751" s="14" t="s">
        <v>0</v>
      </c>
      <c r="D751" s="14" t="s">
        <v>1730</v>
      </c>
      <c r="E751" s="14" t="s">
        <v>1731</v>
      </c>
      <c r="F751" s="14" t="s">
        <v>1732</v>
      </c>
      <c r="G751" s="14" t="s">
        <v>3</v>
      </c>
      <c r="H751" s="14" t="s">
        <v>1733</v>
      </c>
      <c r="I751" s="14" t="s">
        <v>1734</v>
      </c>
      <c r="J751" s="14" t="s">
        <v>60</v>
      </c>
      <c r="K751" s="14" t="s">
        <v>60</v>
      </c>
      <c r="L751" s="14" t="s">
        <v>60</v>
      </c>
      <c r="M751" s="14" t="s">
        <v>1735</v>
      </c>
      <c r="N751" s="14" t="s">
        <v>60</v>
      </c>
      <c r="O751" s="14" t="s">
        <v>193</v>
      </c>
      <c r="P751" s="14" t="s">
        <v>7006</v>
      </c>
      <c r="Q751" s="14" t="s">
        <v>11</v>
      </c>
      <c r="R751" s="3" t="s">
        <v>4170</v>
      </c>
      <c r="S751" s="3">
        <f t="shared" si="38"/>
        <v>550</v>
      </c>
      <c r="T751" s="3">
        <f t="shared" si="39"/>
        <v>17050</v>
      </c>
      <c r="U751" s="3" t="s">
        <v>60</v>
      </c>
      <c r="V751" s="14" t="s">
        <v>6</v>
      </c>
      <c r="W751" s="14" t="s">
        <v>4287</v>
      </c>
      <c r="X751" s="14" t="s">
        <v>60</v>
      </c>
    </row>
    <row r="752" spans="1:24" ht="15" x14ac:dyDescent="0.3">
      <c r="A752" s="3">
        <v>13</v>
      </c>
      <c r="B752" s="3" t="s">
        <v>1742</v>
      </c>
      <c r="C752" s="14" t="s">
        <v>3614</v>
      </c>
      <c r="D752" s="14" t="s">
        <v>1743</v>
      </c>
      <c r="E752" s="14" t="s">
        <v>6208</v>
      </c>
      <c r="F752" s="14" t="s">
        <v>1744</v>
      </c>
      <c r="G752" s="14" t="s">
        <v>3</v>
      </c>
      <c r="H752" s="14" t="s">
        <v>1745</v>
      </c>
      <c r="I752" s="14" t="s">
        <v>1746</v>
      </c>
      <c r="J752" s="14" t="s">
        <v>60</v>
      </c>
      <c r="K752" s="14" t="s">
        <v>60</v>
      </c>
      <c r="L752" s="14" t="s">
        <v>60</v>
      </c>
      <c r="M752" s="14" t="s">
        <v>1747</v>
      </c>
      <c r="N752" s="14" t="s">
        <v>60</v>
      </c>
      <c r="O752" s="14" t="s">
        <v>193</v>
      </c>
      <c r="P752" s="14" t="s">
        <v>7007</v>
      </c>
      <c r="Q752" s="14" t="s">
        <v>1676</v>
      </c>
      <c r="R752" s="3" t="s">
        <v>4170</v>
      </c>
      <c r="S752" s="3">
        <f t="shared" si="38"/>
        <v>770</v>
      </c>
      <c r="T752" s="3">
        <f t="shared" si="39"/>
        <v>23870</v>
      </c>
      <c r="U752" s="3" t="s">
        <v>60</v>
      </c>
      <c r="V752" s="14" t="s">
        <v>6</v>
      </c>
      <c r="W752" s="14" t="s">
        <v>4287</v>
      </c>
      <c r="X752" s="14" t="s">
        <v>60</v>
      </c>
    </row>
    <row r="753" spans="1:24" ht="15" x14ac:dyDescent="0.3">
      <c r="A753" s="3">
        <v>14</v>
      </c>
      <c r="B753" s="3" t="s">
        <v>1748</v>
      </c>
      <c r="C753" s="14" t="s">
        <v>7008</v>
      </c>
      <c r="D753" s="14" t="s">
        <v>1749</v>
      </c>
      <c r="E753" s="14" t="s">
        <v>7009</v>
      </c>
      <c r="F753" s="14" t="s">
        <v>1750</v>
      </c>
      <c r="G753" s="14" t="s">
        <v>3</v>
      </c>
      <c r="H753" s="14" t="s">
        <v>1751</v>
      </c>
      <c r="I753" s="14" t="s">
        <v>1752</v>
      </c>
      <c r="J753" s="14" t="s">
        <v>60</v>
      </c>
      <c r="K753" s="14" t="s">
        <v>60</v>
      </c>
      <c r="L753" s="14" t="s">
        <v>60</v>
      </c>
      <c r="M753" s="14" t="s">
        <v>1753</v>
      </c>
      <c r="N753" s="14" t="s">
        <v>60</v>
      </c>
      <c r="O753" s="14" t="s">
        <v>193</v>
      </c>
      <c r="P753" s="14" t="s">
        <v>7010</v>
      </c>
      <c r="Q753" s="14" t="s">
        <v>1676</v>
      </c>
      <c r="R753" s="3" t="s">
        <v>4170</v>
      </c>
      <c r="S753" s="3">
        <f t="shared" si="38"/>
        <v>570</v>
      </c>
      <c r="T753" s="3">
        <f t="shared" si="39"/>
        <v>17670</v>
      </c>
      <c r="U753" s="3" t="s">
        <v>60</v>
      </c>
      <c r="V753" s="14" t="s">
        <v>6</v>
      </c>
      <c r="W753" s="14" t="s">
        <v>4287</v>
      </c>
      <c r="X753" s="14" t="s">
        <v>60</v>
      </c>
    </row>
    <row r="754" spans="1:24" ht="15" x14ac:dyDescent="0.3">
      <c r="A754" s="3">
        <v>15</v>
      </c>
      <c r="B754" s="3" t="s">
        <v>7011</v>
      </c>
      <c r="C754" s="14" t="s">
        <v>146</v>
      </c>
      <c r="D754" s="14" t="s">
        <v>1946</v>
      </c>
      <c r="E754" s="14" t="s">
        <v>7012</v>
      </c>
      <c r="F754" s="14" t="s">
        <v>1947</v>
      </c>
      <c r="G754" s="14" t="s">
        <v>3</v>
      </c>
      <c r="H754" s="14" t="s">
        <v>1948</v>
      </c>
      <c r="I754" s="14" t="s">
        <v>1949</v>
      </c>
      <c r="J754" s="14" t="s">
        <v>60</v>
      </c>
      <c r="K754" s="14" t="s">
        <v>60</v>
      </c>
      <c r="L754" s="14" t="s">
        <v>60</v>
      </c>
      <c r="M754" s="14" t="s">
        <v>1950</v>
      </c>
      <c r="N754" s="14" t="s">
        <v>60</v>
      </c>
      <c r="O754" s="14" t="s">
        <v>193</v>
      </c>
      <c r="P754" s="14" t="s">
        <v>7013</v>
      </c>
      <c r="Q754" s="14" t="s">
        <v>1951</v>
      </c>
      <c r="R754" s="3" t="s">
        <v>4170</v>
      </c>
      <c r="S754" s="3">
        <f t="shared" si="38"/>
        <v>570</v>
      </c>
      <c r="T754" s="3">
        <f t="shared" si="39"/>
        <v>17670</v>
      </c>
      <c r="U754" s="3" t="s">
        <v>60</v>
      </c>
      <c r="V754" s="14" t="s">
        <v>6</v>
      </c>
      <c r="W754" s="14" t="s">
        <v>4287</v>
      </c>
      <c r="X754" s="14" t="s">
        <v>60</v>
      </c>
    </row>
    <row r="755" spans="1:24" ht="15" x14ac:dyDescent="0.3">
      <c r="A755" s="3">
        <v>16</v>
      </c>
      <c r="B755" s="3" t="s">
        <v>7014</v>
      </c>
      <c r="C755" s="14" t="s">
        <v>7015</v>
      </c>
      <c r="D755" s="14" t="s">
        <v>65</v>
      </c>
      <c r="E755" s="14" t="s">
        <v>4746</v>
      </c>
      <c r="F755" s="14" t="s">
        <v>1754</v>
      </c>
      <c r="G755" s="14" t="s">
        <v>3</v>
      </c>
      <c r="H755" s="14" t="s">
        <v>1755</v>
      </c>
      <c r="I755" s="14" t="s">
        <v>1756</v>
      </c>
      <c r="J755" s="14" t="s">
        <v>60</v>
      </c>
      <c r="K755" s="14" t="s">
        <v>60</v>
      </c>
      <c r="L755" s="14" t="s">
        <v>60</v>
      </c>
      <c r="M755" s="14" t="s">
        <v>7016</v>
      </c>
      <c r="N755" s="14" t="s">
        <v>60</v>
      </c>
      <c r="O755" s="14" t="s">
        <v>193</v>
      </c>
      <c r="P755" s="14" t="s">
        <v>7017</v>
      </c>
      <c r="Q755" s="14" t="s">
        <v>11</v>
      </c>
      <c r="R755" s="3" t="s">
        <v>4170</v>
      </c>
      <c r="S755" s="3">
        <f t="shared" si="38"/>
        <v>770</v>
      </c>
      <c r="T755" s="3">
        <f t="shared" si="39"/>
        <v>23870</v>
      </c>
      <c r="U755" s="3" t="s">
        <v>60</v>
      </c>
      <c r="V755" s="14" t="s">
        <v>6</v>
      </c>
      <c r="W755" s="14" t="s">
        <v>4287</v>
      </c>
      <c r="X755" s="14" t="s">
        <v>60</v>
      </c>
    </row>
    <row r="756" spans="1:24" ht="15" x14ac:dyDescent="0.3">
      <c r="A756" s="3">
        <v>17</v>
      </c>
      <c r="B756" s="3" t="s">
        <v>1757</v>
      </c>
      <c r="C756" s="14" t="s">
        <v>0</v>
      </c>
      <c r="D756" s="14" t="s">
        <v>1758</v>
      </c>
      <c r="E756" s="14" t="s">
        <v>7018</v>
      </c>
      <c r="F756" s="14" t="s">
        <v>1759</v>
      </c>
      <c r="G756" s="14" t="s">
        <v>3</v>
      </c>
      <c r="H756" s="14" t="s">
        <v>7019</v>
      </c>
      <c r="I756" s="14" t="s">
        <v>1760</v>
      </c>
      <c r="J756" s="14" t="s">
        <v>60</v>
      </c>
      <c r="K756" s="14" t="s">
        <v>60</v>
      </c>
      <c r="L756" s="14" t="s">
        <v>60</v>
      </c>
      <c r="M756" s="14" t="s">
        <v>7020</v>
      </c>
      <c r="N756" s="14" t="s">
        <v>60</v>
      </c>
      <c r="O756" s="14" t="s">
        <v>193</v>
      </c>
      <c r="P756" s="14" t="s">
        <v>7021</v>
      </c>
      <c r="Q756" s="14" t="s">
        <v>1761</v>
      </c>
      <c r="R756" s="3" t="s">
        <v>4170</v>
      </c>
      <c r="S756" s="3">
        <f t="shared" si="38"/>
        <v>550</v>
      </c>
      <c r="T756" s="3">
        <f t="shared" si="39"/>
        <v>17050</v>
      </c>
      <c r="U756" s="3" t="s">
        <v>60</v>
      </c>
      <c r="V756" s="14" t="s">
        <v>6</v>
      </c>
      <c r="W756" s="14" t="s">
        <v>4287</v>
      </c>
      <c r="X756" s="14" t="s">
        <v>60</v>
      </c>
    </row>
    <row r="757" spans="1:24" ht="15" x14ac:dyDescent="0.3">
      <c r="A757" s="3">
        <v>18</v>
      </c>
      <c r="B757" s="3" t="s">
        <v>7022</v>
      </c>
      <c r="C757" s="14" t="s">
        <v>0</v>
      </c>
      <c r="D757" s="14" t="s">
        <v>1762</v>
      </c>
      <c r="E757" s="14" t="s">
        <v>7023</v>
      </c>
      <c r="F757" s="14" t="s">
        <v>1754</v>
      </c>
      <c r="G757" s="14" t="s">
        <v>3</v>
      </c>
      <c r="H757" s="14" t="s">
        <v>7024</v>
      </c>
      <c r="I757" s="14" t="s">
        <v>1763</v>
      </c>
      <c r="J757" s="14" t="s">
        <v>60</v>
      </c>
      <c r="K757" s="14" t="s">
        <v>60</v>
      </c>
      <c r="L757" s="14" t="s">
        <v>60</v>
      </c>
      <c r="M757" s="14" t="s">
        <v>7025</v>
      </c>
      <c r="N757" s="14" t="s">
        <v>60</v>
      </c>
      <c r="O757" s="14" t="s">
        <v>193</v>
      </c>
      <c r="P757" s="14" t="s">
        <v>7026</v>
      </c>
      <c r="Q757" s="14" t="s">
        <v>11</v>
      </c>
      <c r="R757" s="3" t="s">
        <v>4170</v>
      </c>
      <c r="S757" s="3">
        <f t="shared" si="38"/>
        <v>550</v>
      </c>
      <c r="T757" s="3">
        <f t="shared" si="39"/>
        <v>17050</v>
      </c>
      <c r="U757" s="3" t="s">
        <v>60</v>
      </c>
      <c r="V757" s="14" t="s">
        <v>6</v>
      </c>
      <c r="W757" s="14" t="s">
        <v>4287</v>
      </c>
      <c r="X757" s="14" t="s">
        <v>60</v>
      </c>
    </row>
    <row r="758" spans="1:24" ht="15" x14ac:dyDescent="0.3">
      <c r="A758" s="3">
        <v>19</v>
      </c>
      <c r="B758" s="3" t="s">
        <v>7027</v>
      </c>
      <c r="C758" s="14" t="s">
        <v>0</v>
      </c>
      <c r="D758" s="14" t="s">
        <v>1764</v>
      </c>
      <c r="E758" s="14" t="s">
        <v>7028</v>
      </c>
      <c r="F758" s="14" t="s">
        <v>1765</v>
      </c>
      <c r="G758" s="14" t="s">
        <v>3</v>
      </c>
      <c r="H758" s="14" t="s">
        <v>7029</v>
      </c>
      <c r="I758" s="14" t="s">
        <v>1766</v>
      </c>
      <c r="J758" s="14" t="s">
        <v>60</v>
      </c>
      <c r="K758" s="14" t="s">
        <v>60</v>
      </c>
      <c r="L758" s="14" t="s">
        <v>60</v>
      </c>
      <c r="M758" s="14" t="s">
        <v>7030</v>
      </c>
      <c r="N758" s="14" t="s">
        <v>60</v>
      </c>
      <c r="O758" s="14" t="s">
        <v>193</v>
      </c>
      <c r="P758" s="14" t="s">
        <v>7031</v>
      </c>
      <c r="Q758" s="14" t="s">
        <v>11</v>
      </c>
      <c r="R758" s="3" t="s">
        <v>4170</v>
      </c>
      <c r="S758" s="3">
        <f t="shared" si="38"/>
        <v>550</v>
      </c>
      <c r="T758" s="3">
        <f t="shared" si="39"/>
        <v>17050</v>
      </c>
      <c r="U758" s="3" t="s">
        <v>60</v>
      </c>
      <c r="V758" s="14" t="s">
        <v>6</v>
      </c>
      <c r="W758" s="14" t="s">
        <v>4287</v>
      </c>
      <c r="X758" s="14" t="s">
        <v>60</v>
      </c>
    </row>
    <row r="759" spans="1:24" ht="15" x14ac:dyDescent="0.3">
      <c r="A759" s="3">
        <v>20</v>
      </c>
      <c r="B759" s="3" t="s">
        <v>7032</v>
      </c>
      <c r="C759" s="14" t="s">
        <v>0</v>
      </c>
      <c r="D759" s="14" t="s">
        <v>1767</v>
      </c>
      <c r="E759" s="14" t="s">
        <v>7033</v>
      </c>
      <c r="F759" s="14" t="s">
        <v>1768</v>
      </c>
      <c r="G759" s="14" t="s">
        <v>3</v>
      </c>
      <c r="H759" s="14" t="s">
        <v>7034</v>
      </c>
      <c r="I759" s="14" t="s">
        <v>1769</v>
      </c>
      <c r="J759" s="14" t="s">
        <v>60</v>
      </c>
      <c r="K759" s="14" t="s">
        <v>60</v>
      </c>
      <c r="L759" s="14" t="s">
        <v>60</v>
      </c>
      <c r="M759" s="14" t="s">
        <v>1770</v>
      </c>
      <c r="N759" s="14" t="s">
        <v>60</v>
      </c>
      <c r="O759" s="14" t="s">
        <v>86</v>
      </c>
      <c r="P759" s="14" t="s">
        <v>7035</v>
      </c>
      <c r="Q759" s="14" t="s">
        <v>11</v>
      </c>
      <c r="R759" s="3" t="s">
        <v>4381</v>
      </c>
      <c r="S759" s="3">
        <f t="shared" si="38"/>
        <v>550</v>
      </c>
      <c r="T759" s="3">
        <f t="shared" si="39"/>
        <v>15400</v>
      </c>
      <c r="U759" s="3" t="s">
        <v>60</v>
      </c>
      <c r="V759" s="14" t="s">
        <v>6</v>
      </c>
      <c r="W759" s="14" t="s">
        <v>7036</v>
      </c>
      <c r="X759" s="14" t="s">
        <v>60</v>
      </c>
    </row>
    <row r="760" spans="1:24" ht="15" x14ac:dyDescent="0.3">
      <c r="A760" s="3">
        <v>21</v>
      </c>
      <c r="B760" s="3" t="s">
        <v>7037</v>
      </c>
      <c r="C760" s="14" t="s">
        <v>0</v>
      </c>
      <c r="D760" s="14" t="s">
        <v>1434</v>
      </c>
      <c r="E760" s="14" t="s">
        <v>7038</v>
      </c>
      <c r="F760" s="14" t="s">
        <v>1771</v>
      </c>
      <c r="G760" s="14" t="s">
        <v>3</v>
      </c>
      <c r="H760" s="14" t="s">
        <v>1772</v>
      </c>
      <c r="I760" s="14" t="s">
        <v>1773</v>
      </c>
      <c r="J760" s="14" t="s">
        <v>60</v>
      </c>
      <c r="K760" s="14" t="s">
        <v>60</v>
      </c>
      <c r="L760" s="14" t="s">
        <v>60</v>
      </c>
      <c r="M760" s="14" t="s">
        <v>1774</v>
      </c>
      <c r="N760" s="14" t="s">
        <v>60</v>
      </c>
      <c r="O760" s="14" t="s">
        <v>193</v>
      </c>
      <c r="P760" s="14" t="s">
        <v>7039</v>
      </c>
      <c r="Q760" s="14" t="s">
        <v>11</v>
      </c>
      <c r="R760" s="3" t="s">
        <v>4170</v>
      </c>
      <c r="S760" s="3">
        <f t="shared" si="38"/>
        <v>550</v>
      </c>
      <c r="T760" s="3">
        <f t="shared" si="39"/>
        <v>17050</v>
      </c>
      <c r="U760" s="3" t="s">
        <v>7040</v>
      </c>
      <c r="V760" s="14" t="s">
        <v>6</v>
      </c>
      <c r="W760" s="14" t="s">
        <v>4287</v>
      </c>
      <c r="X760" s="14" t="s">
        <v>60</v>
      </c>
    </row>
    <row r="761" spans="1:24" ht="15" x14ac:dyDescent="0.3">
      <c r="A761" s="3">
        <v>22</v>
      </c>
      <c r="B761" s="3" t="s">
        <v>7041</v>
      </c>
      <c r="C761" s="14" t="s">
        <v>0</v>
      </c>
      <c r="D761" s="14" t="s">
        <v>1775</v>
      </c>
      <c r="E761" s="14" t="s">
        <v>7042</v>
      </c>
      <c r="F761" s="14" t="s">
        <v>1776</v>
      </c>
      <c r="G761" s="14" t="s">
        <v>3</v>
      </c>
      <c r="H761" s="14" t="s">
        <v>7043</v>
      </c>
      <c r="I761" s="14" t="s">
        <v>1777</v>
      </c>
      <c r="J761" s="14" t="s">
        <v>60</v>
      </c>
      <c r="K761" s="14" t="s">
        <v>60</v>
      </c>
      <c r="L761" s="14" t="s">
        <v>60</v>
      </c>
      <c r="M761" s="14" t="s">
        <v>1778</v>
      </c>
      <c r="N761" s="14" t="s">
        <v>60</v>
      </c>
      <c r="O761" s="14" t="s">
        <v>255</v>
      </c>
      <c r="P761" s="14" t="s">
        <v>7044</v>
      </c>
      <c r="Q761" s="14" t="s">
        <v>11</v>
      </c>
      <c r="R761" s="3" t="s">
        <v>4170</v>
      </c>
      <c r="S761" s="3">
        <f t="shared" si="38"/>
        <v>550</v>
      </c>
      <c r="T761" s="3">
        <f t="shared" si="39"/>
        <v>17050</v>
      </c>
      <c r="U761" s="3" t="s">
        <v>60</v>
      </c>
      <c r="V761" s="14" t="s">
        <v>4208</v>
      </c>
      <c r="W761" s="14" t="s">
        <v>7045</v>
      </c>
      <c r="X761" s="14" t="s">
        <v>60</v>
      </c>
    </row>
    <row r="762" spans="1:24" ht="15" x14ac:dyDescent="0.3">
      <c r="A762" s="3">
        <v>23</v>
      </c>
      <c r="B762" s="3" t="s">
        <v>7046</v>
      </c>
      <c r="C762" s="14" t="s">
        <v>0</v>
      </c>
      <c r="D762" s="14" t="s">
        <v>1779</v>
      </c>
      <c r="E762" s="14" t="s">
        <v>4319</v>
      </c>
      <c r="F762" s="14" t="s">
        <v>1780</v>
      </c>
      <c r="G762" s="14" t="s">
        <v>3</v>
      </c>
      <c r="H762" s="14" t="s">
        <v>7047</v>
      </c>
      <c r="I762" s="14" t="s">
        <v>1781</v>
      </c>
      <c r="J762" s="14" t="s">
        <v>60</v>
      </c>
      <c r="K762" s="14" t="s">
        <v>60</v>
      </c>
      <c r="L762" s="14" t="s">
        <v>60</v>
      </c>
      <c r="M762" s="14" t="s">
        <v>1782</v>
      </c>
      <c r="N762" s="14" t="s">
        <v>60</v>
      </c>
      <c r="O762" s="14" t="s">
        <v>255</v>
      </c>
      <c r="P762" s="14" t="s">
        <v>7048</v>
      </c>
      <c r="Q762" s="14" t="s">
        <v>11</v>
      </c>
      <c r="R762" s="3" t="s">
        <v>4300</v>
      </c>
      <c r="S762" s="3">
        <f t="shared" si="38"/>
        <v>550</v>
      </c>
      <c r="T762" s="3">
        <f t="shared" si="39"/>
        <v>15950</v>
      </c>
      <c r="U762" s="3" t="s">
        <v>60</v>
      </c>
      <c r="V762" s="14" t="s">
        <v>4208</v>
      </c>
      <c r="W762" s="14" t="s">
        <v>7045</v>
      </c>
      <c r="X762" s="14" t="s">
        <v>60</v>
      </c>
    </row>
    <row r="763" spans="1:24" ht="15" x14ac:dyDescent="0.3">
      <c r="A763" s="3">
        <v>24</v>
      </c>
      <c r="B763" s="3" t="s">
        <v>7049</v>
      </c>
      <c r="C763" s="14" t="s">
        <v>0</v>
      </c>
      <c r="D763" s="14" t="s">
        <v>1783</v>
      </c>
      <c r="E763" s="14" t="s">
        <v>4746</v>
      </c>
      <c r="F763" s="14" t="s">
        <v>1784</v>
      </c>
      <c r="G763" s="14" t="s">
        <v>3</v>
      </c>
      <c r="H763" s="14" t="s">
        <v>7050</v>
      </c>
      <c r="I763" s="14" t="s">
        <v>1785</v>
      </c>
      <c r="J763" s="14" t="s">
        <v>60</v>
      </c>
      <c r="K763" s="14" t="s">
        <v>60</v>
      </c>
      <c r="L763" s="14" t="s">
        <v>60</v>
      </c>
      <c r="M763" s="14" t="s">
        <v>1786</v>
      </c>
      <c r="N763" s="14" t="s">
        <v>60</v>
      </c>
      <c r="O763" s="14" t="s">
        <v>917</v>
      </c>
      <c r="P763" s="14" t="s">
        <v>7051</v>
      </c>
      <c r="Q763" s="14" t="s">
        <v>11</v>
      </c>
      <c r="R763" s="3" t="s">
        <v>4170</v>
      </c>
      <c r="S763" s="3">
        <f t="shared" si="38"/>
        <v>550</v>
      </c>
      <c r="T763" s="3">
        <f t="shared" si="39"/>
        <v>17050</v>
      </c>
      <c r="U763" s="3" t="s">
        <v>60</v>
      </c>
      <c r="V763" s="14" t="s">
        <v>6</v>
      </c>
      <c r="W763" s="14" t="s">
        <v>7052</v>
      </c>
      <c r="X763" s="14" t="s">
        <v>60</v>
      </c>
    </row>
    <row r="764" spans="1:24" ht="15" x14ac:dyDescent="0.3">
      <c r="A764" s="3">
        <v>25</v>
      </c>
      <c r="B764" s="3" t="s">
        <v>7053</v>
      </c>
      <c r="C764" s="14" t="s">
        <v>0</v>
      </c>
      <c r="D764" s="14" t="s">
        <v>1787</v>
      </c>
      <c r="E764" s="14" t="s">
        <v>7054</v>
      </c>
      <c r="F764" s="14" t="s">
        <v>1788</v>
      </c>
      <c r="G764" s="14" t="s">
        <v>3</v>
      </c>
      <c r="H764" s="14" t="s">
        <v>7055</v>
      </c>
      <c r="I764" s="14" t="s">
        <v>1789</v>
      </c>
      <c r="J764" s="14" t="s">
        <v>60</v>
      </c>
      <c r="K764" s="14" t="s">
        <v>60</v>
      </c>
      <c r="L764" s="14" t="s">
        <v>60</v>
      </c>
      <c r="M764" s="14" t="s">
        <v>1790</v>
      </c>
      <c r="N764" s="14" t="s">
        <v>60</v>
      </c>
      <c r="O764" s="14" t="s">
        <v>261</v>
      </c>
      <c r="P764" s="14" t="s">
        <v>7056</v>
      </c>
      <c r="Q764" s="14" t="s">
        <v>11</v>
      </c>
      <c r="R764" s="3" t="s">
        <v>5244</v>
      </c>
      <c r="S764" s="3">
        <f t="shared" si="38"/>
        <v>550</v>
      </c>
      <c r="T764" s="3">
        <f t="shared" si="39"/>
        <v>14850</v>
      </c>
      <c r="U764" s="3" t="s">
        <v>60</v>
      </c>
      <c r="V764" s="14" t="s">
        <v>4301</v>
      </c>
      <c r="W764" s="14" t="s">
        <v>4202</v>
      </c>
      <c r="X764" s="14" t="s">
        <v>60</v>
      </c>
    </row>
    <row r="765" spans="1:24" ht="15" x14ac:dyDescent="0.3">
      <c r="A765" s="3">
        <v>26</v>
      </c>
      <c r="B765" s="3" t="s">
        <v>7057</v>
      </c>
      <c r="C765" s="14" t="s">
        <v>0</v>
      </c>
      <c r="D765" s="14" t="s">
        <v>1791</v>
      </c>
      <c r="E765" s="14" t="s">
        <v>7058</v>
      </c>
      <c r="F765" s="14" t="s">
        <v>1792</v>
      </c>
      <c r="G765" s="14" t="s">
        <v>3</v>
      </c>
      <c r="H765" s="14" t="s">
        <v>7059</v>
      </c>
      <c r="I765" s="14" t="s">
        <v>1793</v>
      </c>
      <c r="J765" s="14" t="s">
        <v>60</v>
      </c>
      <c r="K765" s="14" t="s">
        <v>60</v>
      </c>
      <c r="L765" s="14" t="s">
        <v>60</v>
      </c>
      <c r="M765" s="14" t="s">
        <v>1794</v>
      </c>
      <c r="N765" s="14" t="s">
        <v>60</v>
      </c>
      <c r="O765" s="14" t="s">
        <v>261</v>
      </c>
      <c r="P765" s="14" t="s">
        <v>7060</v>
      </c>
      <c r="Q765" s="14" t="s">
        <v>11</v>
      </c>
      <c r="R765" s="3" t="s">
        <v>4300</v>
      </c>
      <c r="S765" s="3">
        <f t="shared" si="38"/>
        <v>550</v>
      </c>
      <c r="T765" s="3">
        <f t="shared" si="39"/>
        <v>15950</v>
      </c>
      <c r="U765" s="3" t="s">
        <v>60</v>
      </c>
      <c r="V765" s="14" t="s">
        <v>4301</v>
      </c>
      <c r="W765" s="14" t="s">
        <v>4202</v>
      </c>
      <c r="X765" s="14" t="s">
        <v>60</v>
      </c>
    </row>
    <row r="766" spans="1:24" ht="15" x14ac:dyDescent="0.3">
      <c r="A766" s="3">
        <v>27</v>
      </c>
      <c r="B766" s="3" t="s">
        <v>7061</v>
      </c>
      <c r="C766" s="14" t="s">
        <v>0</v>
      </c>
      <c r="D766" s="14" t="s">
        <v>1958</v>
      </c>
      <c r="E766" s="14" t="s">
        <v>1959</v>
      </c>
      <c r="F766" s="14" t="s">
        <v>1960</v>
      </c>
      <c r="G766" s="14" t="s">
        <v>121</v>
      </c>
      <c r="H766" s="14" t="s">
        <v>7062</v>
      </c>
      <c r="I766" s="14" t="s">
        <v>1961</v>
      </c>
      <c r="J766" s="14" t="s">
        <v>60</v>
      </c>
      <c r="K766" s="14" t="s">
        <v>60</v>
      </c>
      <c r="L766" s="14" t="s">
        <v>60</v>
      </c>
      <c r="M766" s="14" t="s">
        <v>1962</v>
      </c>
      <c r="N766" s="14" t="s">
        <v>60</v>
      </c>
      <c r="O766" s="14" t="s">
        <v>193</v>
      </c>
      <c r="P766" s="14" t="s">
        <v>7063</v>
      </c>
      <c r="Q766" s="14" t="s">
        <v>11</v>
      </c>
      <c r="R766" s="3" t="s">
        <v>4170</v>
      </c>
      <c r="S766" s="3">
        <f t="shared" si="38"/>
        <v>550</v>
      </c>
      <c r="T766" s="3">
        <f t="shared" si="39"/>
        <v>17050</v>
      </c>
      <c r="U766" s="3" t="s">
        <v>60</v>
      </c>
      <c r="V766" s="14" t="s">
        <v>6</v>
      </c>
      <c r="W766" s="14" t="s">
        <v>4287</v>
      </c>
      <c r="X766" s="14" t="s">
        <v>60</v>
      </c>
    </row>
    <row r="767" spans="1:24" ht="15" x14ac:dyDescent="0.3">
      <c r="A767" s="3">
        <v>28</v>
      </c>
      <c r="B767" s="3" t="s">
        <v>7064</v>
      </c>
      <c r="C767" s="14" t="s">
        <v>91</v>
      </c>
      <c r="D767" s="14" t="s">
        <v>1659</v>
      </c>
      <c r="E767" s="14" t="s">
        <v>7065</v>
      </c>
      <c r="F767" s="14" t="s">
        <v>1660</v>
      </c>
      <c r="G767" s="14" t="s">
        <v>3</v>
      </c>
      <c r="H767" s="14" t="s">
        <v>7066</v>
      </c>
      <c r="I767" s="14" t="s">
        <v>7067</v>
      </c>
      <c r="J767" s="14" t="s">
        <v>60</v>
      </c>
      <c r="K767" s="14" t="s">
        <v>60</v>
      </c>
      <c r="L767" s="14" t="s">
        <v>60</v>
      </c>
      <c r="M767" s="14" t="s">
        <v>1661</v>
      </c>
      <c r="N767" s="14" t="s">
        <v>60</v>
      </c>
      <c r="O767" s="14" t="s">
        <v>193</v>
      </c>
      <c r="P767" s="14" t="s">
        <v>7068</v>
      </c>
      <c r="Q767" s="14" t="s">
        <v>11</v>
      </c>
      <c r="R767" s="3" t="s">
        <v>4170</v>
      </c>
      <c r="S767" s="3">
        <f t="shared" si="38"/>
        <v>770</v>
      </c>
      <c r="T767" s="3">
        <f t="shared" si="39"/>
        <v>23870</v>
      </c>
      <c r="U767" s="3" t="s">
        <v>60</v>
      </c>
      <c r="V767" s="14" t="s">
        <v>6</v>
      </c>
      <c r="W767" s="14" t="s">
        <v>4287</v>
      </c>
      <c r="X767" s="14" t="s">
        <v>60</v>
      </c>
    </row>
    <row r="768" spans="1:24" ht="15" x14ac:dyDescent="0.3">
      <c r="A768" s="3">
        <v>29</v>
      </c>
      <c r="B768" s="3" t="s">
        <v>7069</v>
      </c>
      <c r="C768" s="14" t="s">
        <v>91</v>
      </c>
      <c r="D768" s="14" t="s">
        <v>7070</v>
      </c>
      <c r="E768" s="14" t="s">
        <v>1799</v>
      </c>
      <c r="F768" s="14" t="s">
        <v>1660</v>
      </c>
      <c r="G768" s="14" t="s">
        <v>3</v>
      </c>
      <c r="H768" s="14" t="s">
        <v>7071</v>
      </c>
      <c r="I768" s="14" t="s">
        <v>1800</v>
      </c>
      <c r="J768" s="14" t="s">
        <v>60</v>
      </c>
      <c r="K768" s="14" t="s">
        <v>60</v>
      </c>
      <c r="L768" s="14" t="s">
        <v>60</v>
      </c>
      <c r="M768" s="14" t="s">
        <v>1801</v>
      </c>
      <c r="N768" s="14" t="s">
        <v>60</v>
      </c>
      <c r="O768" s="14" t="s">
        <v>193</v>
      </c>
      <c r="P768" s="14" t="s">
        <v>7072</v>
      </c>
      <c r="Q768" s="14" t="s">
        <v>11</v>
      </c>
      <c r="R768" s="3" t="s">
        <v>4170</v>
      </c>
      <c r="S768" s="3">
        <f t="shared" si="38"/>
        <v>770</v>
      </c>
      <c r="T768" s="3">
        <f t="shared" si="39"/>
        <v>23870</v>
      </c>
      <c r="U768" s="3" t="s">
        <v>60</v>
      </c>
      <c r="V768" s="14" t="s">
        <v>6</v>
      </c>
      <c r="W768" s="14" t="s">
        <v>4287</v>
      </c>
      <c r="X768" s="14" t="s">
        <v>60</v>
      </c>
    </row>
    <row r="769" spans="1:24" ht="15" x14ac:dyDescent="0.3">
      <c r="A769" s="3">
        <v>30</v>
      </c>
      <c r="B769" s="3" t="s">
        <v>7073</v>
      </c>
      <c r="C769" s="14" t="s">
        <v>3966</v>
      </c>
      <c r="D769" s="14" t="s">
        <v>1788</v>
      </c>
      <c r="E769" s="14" t="s">
        <v>7074</v>
      </c>
      <c r="F769" s="14" t="s">
        <v>1802</v>
      </c>
      <c r="G769" s="14" t="s">
        <v>3</v>
      </c>
      <c r="H769" s="14" t="s">
        <v>1803</v>
      </c>
      <c r="I769" s="14" t="s">
        <v>1804</v>
      </c>
      <c r="J769" s="14" t="s">
        <v>60</v>
      </c>
      <c r="K769" s="14" t="s">
        <v>60</v>
      </c>
      <c r="L769" s="14" t="s">
        <v>60</v>
      </c>
      <c r="M769" s="14" t="s">
        <v>1805</v>
      </c>
      <c r="N769" s="14" t="s">
        <v>60</v>
      </c>
      <c r="O769" s="14" t="s">
        <v>193</v>
      </c>
      <c r="P769" s="14" t="s">
        <v>7075</v>
      </c>
      <c r="Q769" s="14" t="s">
        <v>11</v>
      </c>
      <c r="R769" s="3" t="s">
        <v>4170</v>
      </c>
      <c r="S769" s="3">
        <f t="shared" si="38"/>
        <v>640</v>
      </c>
      <c r="T769" s="3">
        <f t="shared" si="39"/>
        <v>19840</v>
      </c>
      <c r="U769" s="3" t="s">
        <v>60</v>
      </c>
      <c r="V769" s="14" t="s">
        <v>6</v>
      </c>
      <c r="W769" s="14" t="s">
        <v>4287</v>
      </c>
      <c r="X769" s="14" t="s">
        <v>60</v>
      </c>
    </row>
    <row r="770" spans="1:24" ht="15" x14ac:dyDescent="0.3">
      <c r="A770" s="3">
        <v>31</v>
      </c>
      <c r="B770" s="3" t="s">
        <v>7076</v>
      </c>
      <c r="C770" s="14" t="s">
        <v>0</v>
      </c>
      <c r="D770" s="14" t="s">
        <v>1736</v>
      </c>
      <c r="E770" s="14" t="s">
        <v>1737</v>
      </c>
      <c r="F770" s="14" t="s">
        <v>1738</v>
      </c>
      <c r="G770" s="14" t="s">
        <v>3</v>
      </c>
      <c r="H770" s="14" t="s">
        <v>1739</v>
      </c>
      <c r="I770" s="14" t="s">
        <v>1740</v>
      </c>
      <c r="J770" s="14" t="s">
        <v>60</v>
      </c>
      <c r="K770" s="14" t="s">
        <v>60</v>
      </c>
      <c r="L770" s="14" t="s">
        <v>60</v>
      </c>
      <c r="M770" s="14" t="s">
        <v>60</v>
      </c>
      <c r="N770" s="14" t="s">
        <v>60</v>
      </c>
      <c r="O770" s="14" t="s">
        <v>1741</v>
      </c>
      <c r="P770" s="14" t="s">
        <v>7077</v>
      </c>
      <c r="Q770" s="14" t="s">
        <v>11</v>
      </c>
      <c r="R770" s="3" t="s">
        <v>68</v>
      </c>
      <c r="S770" s="3">
        <f t="shared" si="38"/>
        <v>550</v>
      </c>
      <c r="T770" s="3">
        <f t="shared" si="39"/>
        <v>0</v>
      </c>
      <c r="U770" s="3" t="s">
        <v>60</v>
      </c>
      <c r="V770" s="14" t="s">
        <v>6</v>
      </c>
      <c r="W770" s="14" t="s">
        <v>7078</v>
      </c>
      <c r="X770" s="14" t="s">
        <v>60</v>
      </c>
    </row>
    <row r="771" spans="1:24" ht="15" x14ac:dyDescent="0.3">
      <c r="A771" s="3">
        <v>32</v>
      </c>
      <c r="B771" s="3" t="s">
        <v>1814</v>
      </c>
      <c r="C771" s="14" t="s">
        <v>0</v>
      </c>
      <c r="D771" s="14" t="s">
        <v>1815</v>
      </c>
      <c r="E771" s="14" t="s">
        <v>4853</v>
      </c>
      <c r="F771" s="14" t="s">
        <v>1816</v>
      </c>
      <c r="G771" s="14" t="s">
        <v>3</v>
      </c>
      <c r="H771" s="14" t="s">
        <v>7079</v>
      </c>
      <c r="I771" s="14" t="s">
        <v>1817</v>
      </c>
      <c r="J771" s="14" t="s">
        <v>60</v>
      </c>
      <c r="K771" s="14" t="s">
        <v>60</v>
      </c>
      <c r="L771" s="14" t="s">
        <v>60</v>
      </c>
      <c r="M771" s="14" t="s">
        <v>1818</v>
      </c>
      <c r="N771" s="14" t="s">
        <v>60</v>
      </c>
      <c r="O771" s="14" t="s">
        <v>193</v>
      </c>
      <c r="P771" s="14" t="s">
        <v>7080</v>
      </c>
      <c r="Q771" s="14" t="s">
        <v>1676</v>
      </c>
      <c r="R771" s="3" t="s">
        <v>4170</v>
      </c>
      <c r="S771" s="3">
        <f t="shared" si="38"/>
        <v>550</v>
      </c>
      <c r="T771" s="3">
        <f t="shared" si="39"/>
        <v>17050</v>
      </c>
      <c r="U771" s="3" t="s">
        <v>60</v>
      </c>
      <c r="V771" s="14" t="s">
        <v>6</v>
      </c>
      <c r="W771" s="14" t="s">
        <v>4287</v>
      </c>
      <c r="X771" s="14" t="s">
        <v>60</v>
      </c>
    </row>
    <row r="772" spans="1:24" ht="15" x14ac:dyDescent="0.3">
      <c r="A772" s="3">
        <v>33</v>
      </c>
      <c r="B772" s="3" t="s">
        <v>7081</v>
      </c>
      <c r="C772" s="14" t="s">
        <v>0</v>
      </c>
      <c r="D772" s="14" t="s">
        <v>1819</v>
      </c>
      <c r="E772" s="14" t="s">
        <v>7082</v>
      </c>
      <c r="F772" s="14" t="s">
        <v>1820</v>
      </c>
      <c r="G772" s="14" t="s">
        <v>3</v>
      </c>
      <c r="H772" s="14" t="s">
        <v>7083</v>
      </c>
      <c r="I772" s="14" t="s">
        <v>1821</v>
      </c>
      <c r="J772" s="14" t="s">
        <v>60</v>
      </c>
      <c r="K772" s="14" t="s">
        <v>60</v>
      </c>
      <c r="L772" s="14" t="s">
        <v>60</v>
      </c>
      <c r="M772" s="14" t="s">
        <v>1822</v>
      </c>
      <c r="N772" s="14" t="s">
        <v>60</v>
      </c>
      <c r="O772" s="14" t="s">
        <v>193</v>
      </c>
      <c r="P772" s="14" t="s">
        <v>7084</v>
      </c>
      <c r="Q772" s="14" t="s">
        <v>1676</v>
      </c>
      <c r="R772" s="3" t="s">
        <v>4170</v>
      </c>
      <c r="S772" s="3">
        <f t="shared" si="38"/>
        <v>550</v>
      </c>
      <c r="T772" s="3">
        <f t="shared" si="39"/>
        <v>17050</v>
      </c>
      <c r="U772" s="3" t="s">
        <v>60</v>
      </c>
      <c r="V772" s="14" t="s">
        <v>6</v>
      </c>
      <c r="W772" s="14" t="s">
        <v>4287</v>
      </c>
      <c r="X772" s="14" t="s">
        <v>60</v>
      </c>
    </row>
    <row r="773" spans="1:24" ht="15" x14ac:dyDescent="0.3">
      <c r="A773" s="3">
        <v>34</v>
      </c>
      <c r="B773" s="3" t="s">
        <v>1823</v>
      </c>
      <c r="C773" s="14" t="s">
        <v>0</v>
      </c>
      <c r="D773" s="14" t="s">
        <v>1824</v>
      </c>
      <c r="E773" s="14" t="s">
        <v>7085</v>
      </c>
      <c r="F773" s="14" t="s">
        <v>1825</v>
      </c>
      <c r="G773" s="14" t="s">
        <v>3</v>
      </c>
      <c r="H773" s="14" t="s">
        <v>7086</v>
      </c>
      <c r="I773" s="14" t="s">
        <v>1826</v>
      </c>
      <c r="J773" s="14" t="s">
        <v>60</v>
      </c>
      <c r="K773" s="14" t="s">
        <v>60</v>
      </c>
      <c r="L773" s="14" t="s">
        <v>60</v>
      </c>
      <c r="M773" s="14" t="s">
        <v>1827</v>
      </c>
      <c r="N773" s="14" t="s">
        <v>60</v>
      </c>
      <c r="O773" s="14" t="s">
        <v>193</v>
      </c>
      <c r="P773" s="14" t="s">
        <v>7087</v>
      </c>
      <c r="Q773" s="14" t="s">
        <v>1676</v>
      </c>
      <c r="R773" s="3" t="s">
        <v>4170</v>
      </c>
      <c r="S773" s="3">
        <f t="shared" si="38"/>
        <v>550</v>
      </c>
      <c r="T773" s="3">
        <f t="shared" si="39"/>
        <v>17050</v>
      </c>
      <c r="U773" s="3" t="s">
        <v>60</v>
      </c>
      <c r="V773" s="14" t="s">
        <v>6</v>
      </c>
      <c r="W773" s="14" t="s">
        <v>4287</v>
      </c>
      <c r="X773" s="14" t="s">
        <v>60</v>
      </c>
    </row>
    <row r="774" spans="1:24" ht="15" x14ac:dyDescent="0.3">
      <c r="A774" s="3">
        <v>35</v>
      </c>
      <c r="B774" s="3" t="s">
        <v>1828</v>
      </c>
      <c r="C774" s="14" t="s">
        <v>0</v>
      </c>
      <c r="D774" s="14" t="s">
        <v>1829</v>
      </c>
      <c r="E774" s="14" t="s">
        <v>7088</v>
      </c>
      <c r="F774" s="14" t="s">
        <v>1830</v>
      </c>
      <c r="G774" s="14" t="s">
        <v>3</v>
      </c>
      <c r="H774" s="14" t="s">
        <v>7089</v>
      </c>
      <c r="I774" s="14" t="s">
        <v>7090</v>
      </c>
      <c r="J774" s="14" t="s">
        <v>60</v>
      </c>
      <c r="K774" s="14" t="s">
        <v>60</v>
      </c>
      <c r="L774" s="14" t="s">
        <v>60</v>
      </c>
      <c r="M774" s="14" t="s">
        <v>1831</v>
      </c>
      <c r="N774" s="14" t="s">
        <v>60</v>
      </c>
      <c r="O774" s="14" t="s">
        <v>193</v>
      </c>
      <c r="P774" s="14" t="s">
        <v>7091</v>
      </c>
      <c r="Q774" s="14" t="s">
        <v>1676</v>
      </c>
      <c r="R774" s="3" t="s">
        <v>4170</v>
      </c>
      <c r="S774" s="3">
        <f t="shared" si="38"/>
        <v>550</v>
      </c>
      <c r="T774" s="3">
        <f t="shared" si="39"/>
        <v>17050</v>
      </c>
      <c r="U774" s="3" t="s">
        <v>60</v>
      </c>
      <c r="V774" s="14" t="s">
        <v>6</v>
      </c>
      <c r="W774" s="14" t="s">
        <v>4287</v>
      </c>
      <c r="X774" s="14" t="s">
        <v>60</v>
      </c>
    </row>
    <row r="775" spans="1:24" ht="15" x14ac:dyDescent="0.3">
      <c r="A775" s="3">
        <v>36</v>
      </c>
      <c r="B775" s="3" t="s">
        <v>7092</v>
      </c>
      <c r="C775" s="14" t="s">
        <v>0</v>
      </c>
      <c r="D775" s="14" t="s">
        <v>1832</v>
      </c>
      <c r="E775" s="14" t="s">
        <v>7093</v>
      </c>
      <c r="F775" s="14" t="s">
        <v>1833</v>
      </c>
      <c r="G775" s="14" t="s">
        <v>3</v>
      </c>
      <c r="H775" s="14" t="s">
        <v>7094</v>
      </c>
      <c r="I775" s="14" t="s">
        <v>1834</v>
      </c>
      <c r="J775" s="14" t="s">
        <v>60</v>
      </c>
      <c r="K775" s="14" t="s">
        <v>60</v>
      </c>
      <c r="L775" s="14" t="s">
        <v>60</v>
      </c>
      <c r="M775" s="14" t="s">
        <v>60</v>
      </c>
      <c r="N775" s="14" t="s">
        <v>60</v>
      </c>
      <c r="O775" s="14" t="s">
        <v>193</v>
      </c>
      <c r="P775" s="14" t="s">
        <v>7095</v>
      </c>
      <c r="Q775" s="14" t="s">
        <v>11</v>
      </c>
      <c r="R775" s="3" t="s">
        <v>4170</v>
      </c>
      <c r="S775" s="3">
        <f t="shared" si="38"/>
        <v>550</v>
      </c>
      <c r="T775" s="3">
        <f t="shared" si="39"/>
        <v>17050</v>
      </c>
      <c r="U775" s="3" t="s">
        <v>60</v>
      </c>
      <c r="V775" s="14" t="s">
        <v>6</v>
      </c>
      <c r="W775" s="14" t="s">
        <v>4287</v>
      </c>
      <c r="X775" s="14" t="s">
        <v>60</v>
      </c>
    </row>
    <row r="776" spans="1:24" ht="15" x14ac:dyDescent="0.3">
      <c r="A776" s="3">
        <v>37</v>
      </c>
      <c r="B776" s="3" t="s">
        <v>7096</v>
      </c>
      <c r="C776" s="14" t="s">
        <v>0</v>
      </c>
      <c r="D776" s="14" t="s">
        <v>1835</v>
      </c>
      <c r="E776" s="14" t="s">
        <v>5154</v>
      </c>
      <c r="F776" s="14" t="s">
        <v>1836</v>
      </c>
      <c r="G776" s="14" t="s">
        <v>3</v>
      </c>
      <c r="H776" s="14" t="s">
        <v>7097</v>
      </c>
      <c r="I776" s="14" t="s">
        <v>1837</v>
      </c>
      <c r="J776" s="14" t="s">
        <v>60</v>
      </c>
      <c r="K776" s="14" t="s">
        <v>60</v>
      </c>
      <c r="L776" s="14" t="s">
        <v>60</v>
      </c>
      <c r="M776" s="14" t="s">
        <v>1838</v>
      </c>
      <c r="N776" s="14" t="s">
        <v>60</v>
      </c>
      <c r="O776" s="14" t="s">
        <v>255</v>
      </c>
      <c r="P776" s="14" t="s">
        <v>7098</v>
      </c>
      <c r="Q776" s="14" t="s">
        <v>11</v>
      </c>
      <c r="R776" s="3" t="s">
        <v>4170</v>
      </c>
      <c r="S776" s="3">
        <f t="shared" si="38"/>
        <v>550</v>
      </c>
      <c r="T776" s="3">
        <f t="shared" si="39"/>
        <v>17050</v>
      </c>
      <c r="U776" s="3" t="s">
        <v>60</v>
      </c>
      <c r="V776" s="14" t="s">
        <v>4208</v>
      </c>
      <c r="W776" s="14" t="s">
        <v>7099</v>
      </c>
      <c r="X776" s="14" t="s">
        <v>60</v>
      </c>
    </row>
    <row r="777" spans="1:24" ht="15" x14ac:dyDescent="0.3">
      <c r="A777" s="3">
        <v>38</v>
      </c>
      <c r="B777" s="3" t="s">
        <v>7100</v>
      </c>
      <c r="C777" s="14" t="s">
        <v>0</v>
      </c>
      <c r="D777" s="14" t="s">
        <v>1839</v>
      </c>
      <c r="E777" s="14" t="s">
        <v>7101</v>
      </c>
      <c r="F777" s="14" t="s">
        <v>1840</v>
      </c>
      <c r="G777" s="14" t="s">
        <v>3</v>
      </c>
      <c r="H777" s="14" t="s">
        <v>7102</v>
      </c>
      <c r="I777" s="14" t="s">
        <v>1841</v>
      </c>
      <c r="J777" s="14" t="s">
        <v>60</v>
      </c>
      <c r="K777" s="14" t="s">
        <v>60</v>
      </c>
      <c r="L777" s="14" t="s">
        <v>60</v>
      </c>
      <c r="M777" s="14" t="s">
        <v>1842</v>
      </c>
      <c r="N777" s="14" t="s">
        <v>60</v>
      </c>
      <c r="O777" s="14" t="s">
        <v>261</v>
      </c>
      <c r="P777" s="14" t="s">
        <v>7103</v>
      </c>
      <c r="Q777" s="14" t="s">
        <v>1843</v>
      </c>
      <c r="R777" s="3" t="s">
        <v>4170</v>
      </c>
      <c r="S777" s="3">
        <f t="shared" si="38"/>
        <v>550</v>
      </c>
      <c r="T777" s="3">
        <f t="shared" si="39"/>
        <v>17050</v>
      </c>
      <c r="U777" s="3" t="s">
        <v>60</v>
      </c>
      <c r="V777" s="14" t="s">
        <v>4301</v>
      </c>
      <c r="W777" s="14" t="s">
        <v>4202</v>
      </c>
      <c r="X777" s="14" t="s">
        <v>60</v>
      </c>
    </row>
    <row r="778" spans="1:24" ht="15" x14ac:dyDescent="0.3">
      <c r="A778" s="3">
        <v>39</v>
      </c>
      <c r="B778" s="3" t="s">
        <v>7104</v>
      </c>
      <c r="C778" s="14" t="s">
        <v>0</v>
      </c>
      <c r="D778" s="14" t="s">
        <v>1844</v>
      </c>
      <c r="E778" s="14" t="s">
        <v>7105</v>
      </c>
      <c r="F778" s="14" t="s">
        <v>1845</v>
      </c>
      <c r="G778" s="14" t="s">
        <v>3</v>
      </c>
      <c r="H778" s="14" t="s">
        <v>7106</v>
      </c>
      <c r="I778" s="14" t="s">
        <v>1846</v>
      </c>
      <c r="J778" s="14" t="s">
        <v>60</v>
      </c>
      <c r="K778" s="14" t="s">
        <v>60</v>
      </c>
      <c r="L778" s="14" t="s">
        <v>60</v>
      </c>
      <c r="M778" s="14" t="s">
        <v>1847</v>
      </c>
      <c r="N778" s="14" t="s">
        <v>60</v>
      </c>
      <c r="O778" s="14" t="s">
        <v>261</v>
      </c>
      <c r="P778" s="14" t="s">
        <v>7107</v>
      </c>
      <c r="Q778" s="14" t="s">
        <v>11</v>
      </c>
      <c r="R778" s="3" t="s">
        <v>4170</v>
      </c>
      <c r="S778" s="3">
        <f t="shared" si="38"/>
        <v>550</v>
      </c>
      <c r="T778" s="3">
        <f t="shared" si="39"/>
        <v>17050</v>
      </c>
      <c r="U778" s="3" t="s">
        <v>60</v>
      </c>
      <c r="V778" s="14" t="s">
        <v>4301</v>
      </c>
      <c r="W778" s="14" t="s">
        <v>4202</v>
      </c>
      <c r="X778" s="14" t="s">
        <v>60</v>
      </c>
    </row>
    <row r="779" spans="1:24" ht="15" x14ac:dyDescent="0.3">
      <c r="A779" s="3">
        <v>40</v>
      </c>
      <c r="B779" s="3" t="s">
        <v>7108</v>
      </c>
      <c r="C779" s="14" t="s">
        <v>0</v>
      </c>
      <c r="D779" s="14" t="s">
        <v>1848</v>
      </c>
      <c r="E779" s="14" t="s">
        <v>1849</v>
      </c>
      <c r="F779" s="14" t="s">
        <v>1850</v>
      </c>
      <c r="G779" s="14" t="s">
        <v>3</v>
      </c>
      <c r="H779" s="14" t="s">
        <v>7109</v>
      </c>
      <c r="I779" s="14" t="s">
        <v>1851</v>
      </c>
      <c r="J779" s="14" t="s">
        <v>60</v>
      </c>
      <c r="K779" s="14" t="s">
        <v>60</v>
      </c>
      <c r="L779" s="14" t="s">
        <v>60</v>
      </c>
      <c r="M779" s="14" t="s">
        <v>7110</v>
      </c>
      <c r="N779" s="14" t="s">
        <v>60</v>
      </c>
      <c r="O779" s="14" t="s">
        <v>193</v>
      </c>
      <c r="P779" s="14" t="s">
        <v>7111</v>
      </c>
      <c r="Q779" s="14" t="s">
        <v>11</v>
      </c>
      <c r="R779" s="3" t="s">
        <v>4300</v>
      </c>
      <c r="S779" s="3">
        <f t="shared" si="38"/>
        <v>550</v>
      </c>
      <c r="T779" s="3">
        <f t="shared" si="39"/>
        <v>15950</v>
      </c>
      <c r="U779" s="3" t="s">
        <v>60</v>
      </c>
      <c r="V779" s="14" t="s">
        <v>6</v>
      </c>
      <c r="W779" s="14" t="s">
        <v>4287</v>
      </c>
      <c r="X779" s="14" t="s">
        <v>60</v>
      </c>
    </row>
    <row r="780" spans="1:24" ht="15" x14ac:dyDescent="0.3">
      <c r="A780" s="3">
        <v>41</v>
      </c>
      <c r="B780" s="3" t="s">
        <v>7112</v>
      </c>
      <c r="C780" s="14" t="s">
        <v>0</v>
      </c>
      <c r="D780" s="14" t="s">
        <v>1148</v>
      </c>
      <c r="E780" s="14" t="s">
        <v>7113</v>
      </c>
      <c r="F780" s="14" t="s">
        <v>1852</v>
      </c>
      <c r="G780" s="14" t="s">
        <v>3</v>
      </c>
      <c r="H780" s="14" t="s">
        <v>7114</v>
      </c>
      <c r="I780" s="14" t="s">
        <v>1853</v>
      </c>
      <c r="J780" s="14" t="s">
        <v>60</v>
      </c>
      <c r="K780" s="14" t="s">
        <v>60</v>
      </c>
      <c r="L780" s="14" t="s">
        <v>60</v>
      </c>
      <c r="M780" s="14" t="s">
        <v>7115</v>
      </c>
      <c r="N780" s="14" t="s">
        <v>60</v>
      </c>
      <c r="O780" s="14" t="s">
        <v>193</v>
      </c>
      <c r="P780" s="14" t="s">
        <v>7116</v>
      </c>
      <c r="Q780" s="14" t="s">
        <v>11</v>
      </c>
      <c r="R780" s="3" t="s">
        <v>4170</v>
      </c>
      <c r="S780" s="3">
        <f t="shared" si="38"/>
        <v>550</v>
      </c>
      <c r="T780" s="3">
        <f t="shared" si="39"/>
        <v>17050</v>
      </c>
      <c r="U780" s="3" t="s">
        <v>60</v>
      </c>
      <c r="V780" s="14" t="s">
        <v>6</v>
      </c>
      <c r="W780" s="14" t="s">
        <v>4287</v>
      </c>
      <c r="X780" s="14" t="s">
        <v>60</v>
      </c>
    </row>
    <row r="781" spans="1:24" ht="15" x14ac:dyDescent="0.3">
      <c r="A781" s="3">
        <v>42</v>
      </c>
      <c r="B781" s="3" t="s">
        <v>7117</v>
      </c>
      <c r="C781" s="14" t="s">
        <v>0</v>
      </c>
      <c r="D781" s="14" t="s">
        <v>1854</v>
      </c>
      <c r="E781" s="14" t="s">
        <v>7118</v>
      </c>
      <c r="F781" s="14" t="s">
        <v>1601</v>
      </c>
      <c r="G781" s="14" t="s">
        <v>3</v>
      </c>
      <c r="H781" s="14" t="s">
        <v>1855</v>
      </c>
      <c r="I781" s="14" t="s">
        <v>1856</v>
      </c>
      <c r="J781" s="14" t="s">
        <v>60</v>
      </c>
      <c r="K781" s="14" t="s">
        <v>60</v>
      </c>
      <c r="L781" s="14" t="s">
        <v>60</v>
      </c>
      <c r="M781" s="14" t="s">
        <v>1857</v>
      </c>
      <c r="N781" s="14" t="s">
        <v>60</v>
      </c>
      <c r="O781" s="14" t="s">
        <v>261</v>
      </c>
      <c r="P781" s="14" t="s">
        <v>7119</v>
      </c>
      <c r="Q781" s="14" t="s">
        <v>11</v>
      </c>
      <c r="R781" s="3" t="s">
        <v>4170</v>
      </c>
      <c r="S781" s="3">
        <f t="shared" si="38"/>
        <v>550</v>
      </c>
      <c r="T781" s="3">
        <f t="shared" si="39"/>
        <v>17050</v>
      </c>
      <c r="U781" s="3" t="s">
        <v>7120</v>
      </c>
      <c r="V781" s="14" t="s">
        <v>5111</v>
      </c>
      <c r="W781" s="14" t="s">
        <v>4202</v>
      </c>
      <c r="X781" s="14" t="s">
        <v>60</v>
      </c>
    </row>
    <row r="782" spans="1:24" ht="15" x14ac:dyDescent="0.3">
      <c r="A782" s="3">
        <v>43</v>
      </c>
      <c r="B782" s="3" t="s">
        <v>7121</v>
      </c>
      <c r="C782" s="14" t="s">
        <v>0</v>
      </c>
      <c r="D782" s="14" t="s">
        <v>1858</v>
      </c>
      <c r="E782" s="14" t="s">
        <v>7122</v>
      </c>
      <c r="F782" s="14" t="s">
        <v>1859</v>
      </c>
      <c r="G782" s="14" t="s">
        <v>3</v>
      </c>
      <c r="H782" s="14" t="s">
        <v>7123</v>
      </c>
      <c r="I782" s="14" t="s">
        <v>1860</v>
      </c>
      <c r="J782" s="14" t="s">
        <v>60</v>
      </c>
      <c r="K782" s="14" t="s">
        <v>60</v>
      </c>
      <c r="L782" s="14" t="s">
        <v>60</v>
      </c>
      <c r="M782" s="14" t="s">
        <v>1861</v>
      </c>
      <c r="N782" s="14" t="s">
        <v>60</v>
      </c>
      <c r="O782" s="14" t="s">
        <v>261</v>
      </c>
      <c r="P782" s="14" t="s">
        <v>7124</v>
      </c>
      <c r="Q782" s="14" t="s">
        <v>11</v>
      </c>
      <c r="R782" s="3" t="s">
        <v>4170</v>
      </c>
      <c r="S782" s="3">
        <f t="shared" si="38"/>
        <v>550</v>
      </c>
      <c r="T782" s="3">
        <f t="shared" si="39"/>
        <v>17050</v>
      </c>
      <c r="U782" s="3" t="s">
        <v>60</v>
      </c>
      <c r="V782" s="14" t="s">
        <v>4301</v>
      </c>
      <c r="W782" s="14" t="s">
        <v>4202</v>
      </c>
      <c r="X782" s="14" t="s">
        <v>60</v>
      </c>
    </row>
    <row r="783" spans="1:24" ht="15" x14ac:dyDescent="0.3">
      <c r="A783" s="3">
        <v>44</v>
      </c>
      <c r="B783" s="3" t="s">
        <v>7125</v>
      </c>
      <c r="C783" s="14" t="s">
        <v>0</v>
      </c>
      <c r="D783" s="14" t="s">
        <v>1862</v>
      </c>
      <c r="E783" s="14" t="s">
        <v>7126</v>
      </c>
      <c r="F783" s="14" t="s">
        <v>1863</v>
      </c>
      <c r="G783" s="14" t="s">
        <v>3</v>
      </c>
      <c r="H783" s="14" t="s">
        <v>7127</v>
      </c>
      <c r="I783" s="14" t="s">
        <v>7128</v>
      </c>
      <c r="J783" s="14" t="s">
        <v>60</v>
      </c>
      <c r="K783" s="14" t="s">
        <v>60</v>
      </c>
      <c r="L783" s="14" t="s">
        <v>60</v>
      </c>
      <c r="M783" s="14" t="s">
        <v>7129</v>
      </c>
      <c r="N783" s="14" t="s">
        <v>60</v>
      </c>
      <c r="O783" s="14" t="s">
        <v>193</v>
      </c>
      <c r="P783" s="14" t="s">
        <v>7130</v>
      </c>
      <c r="Q783" s="14" t="s">
        <v>11</v>
      </c>
      <c r="R783" s="3" t="s">
        <v>4170</v>
      </c>
      <c r="S783" s="3">
        <f t="shared" si="38"/>
        <v>550</v>
      </c>
      <c r="T783" s="3">
        <f t="shared" si="39"/>
        <v>17050</v>
      </c>
      <c r="U783" s="3" t="s">
        <v>60</v>
      </c>
      <c r="V783" s="14" t="s">
        <v>6</v>
      </c>
      <c r="W783" s="14" t="s">
        <v>4287</v>
      </c>
      <c r="X783" s="14" t="s">
        <v>60</v>
      </c>
    </row>
    <row r="784" spans="1:24" ht="15" x14ac:dyDescent="0.3">
      <c r="A784" s="3">
        <v>45</v>
      </c>
      <c r="B784" s="3" t="s">
        <v>7131</v>
      </c>
      <c r="C784" s="14" t="s">
        <v>0</v>
      </c>
      <c r="D784" s="14" t="s">
        <v>1864</v>
      </c>
      <c r="E784" s="14" t="s">
        <v>7132</v>
      </c>
      <c r="F784" s="14" t="s">
        <v>1865</v>
      </c>
      <c r="G784" s="14" t="s">
        <v>121</v>
      </c>
      <c r="H784" s="14" t="s">
        <v>7133</v>
      </c>
      <c r="I784" s="14" t="s">
        <v>1866</v>
      </c>
      <c r="J784" s="14" t="s">
        <v>60</v>
      </c>
      <c r="K784" s="14" t="s">
        <v>60</v>
      </c>
      <c r="L784" s="14" t="s">
        <v>60</v>
      </c>
      <c r="M784" s="14" t="s">
        <v>1867</v>
      </c>
      <c r="N784" s="14" t="s">
        <v>60</v>
      </c>
      <c r="O784" s="14" t="s">
        <v>193</v>
      </c>
      <c r="P784" s="14" t="s">
        <v>7134</v>
      </c>
      <c r="Q784" s="14" t="s">
        <v>11</v>
      </c>
      <c r="R784" s="3" t="s">
        <v>4170</v>
      </c>
      <c r="S784" s="3">
        <f t="shared" si="38"/>
        <v>550</v>
      </c>
      <c r="T784" s="3">
        <f t="shared" si="39"/>
        <v>17050</v>
      </c>
      <c r="U784" s="3" t="s">
        <v>60</v>
      </c>
      <c r="V784" s="14" t="s">
        <v>6</v>
      </c>
      <c r="W784" s="14" t="s">
        <v>4287</v>
      </c>
      <c r="X784" s="14" t="s">
        <v>60</v>
      </c>
    </row>
    <row r="785" spans="1:24" ht="15" x14ac:dyDescent="0.3">
      <c r="A785" s="3">
        <v>46</v>
      </c>
      <c r="B785" s="3" t="s">
        <v>7135</v>
      </c>
      <c r="C785" s="14" t="s">
        <v>0</v>
      </c>
      <c r="D785" s="14" t="s">
        <v>2005</v>
      </c>
      <c r="E785" s="14" t="s">
        <v>7136</v>
      </c>
      <c r="F785" s="14" t="s">
        <v>2006</v>
      </c>
      <c r="G785" s="14" t="s">
        <v>3</v>
      </c>
      <c r="H785" s="14" t="s">
        <v>7137</v>
      </c>
      <c r="I785" s="14" t="s">
        <v>2007</v>
      </c>
      <c r="J785" s="14" t="s">
        <v>60</v>
      </c>
      <c r="K785" s="14" t="s">
        <v>60</v>
      </c>
      <c r="L785" s="14" t="s">
        <v>60</v>
      </c>
      <c r="M785" s="14" t="s">
        <v>2008</v>
      </c>
      <c r="N785" s="14" t="s">
        <v>60</v>
      </c>
      <c r="O785" s="14" t="s">
        <v>60</v>
      </c>
      <c r="P785" s="14" t="s">
        <v>7138</v>
      </c>
      <c r="Q785" s="14" t="s">
        <v>11</v>
      </c>
      <c r="R785" s="3" t="s">
        <v>4170</v>
      </c>
      <c r="S785" s="3">
        <f t="shared" si="38"/>
        <v>550</v>
      </c>
      <c r="T785" s="3">
        <f t="shared" si="39"/>
        <v>17050</v>
      </c>
      <c r="U785" s="3" t="s">
        <v>60</v>
      </c>
      <c r="V785" s="14" t="s">
        <v>6</v>
      </c>
      <c r="W785" s="14" t="s">
        <v>7139</v>
      </c>
      <c r="X785" s="14" t="s">
        <v>60</v>
      </c>
    </row>
    <row r="786" spans="1:24" ht="15" x14ac:dyDescent="0.3">
      <c r="A786" s="3">
        <v>47</v>
      </c>
      <c r="B786" s="3" t="s">
        <v>7140</v>
      </c>
      <c r="C786" s="14" t="s">
        <v>0</v>
      </c>
      <c r="D786" s="14" t="s">
        <v>1888</v>
      </c>
      <c r="E786" s="14" t="s">
        <v>7141</v>
      </c>
      <c r="F786" s="14" t="s">
        <v>1889</v>
      </c>
      <c r="G786" s="14" t="s">
        <v>3</v>
      </c>
      <c r="H786" s="14" t="s">
        <v>7142</v>
      </c>
      <c r="I786" s="14" t="s">
        <v>1890</v>
      </c>
      <c r="J786" s="14" t="s">
        <v>60</v>
      </c>
      <c r="K786" s="14" t="s">
        <v>60</v>
      </c>
      <c r="L786" s="14" t="s">
        <v>60</v>
      </c>
      <c r="M786" s="14" t="s">
        <v>60</v>
      </c>
      <c r="N786" s="14" t="s">
        <v>60</v>
      </c>
      <c r="O786" s="14" t="s">
        <v>7143</v>
      </c>
      <c r="P786" s="14" t="s">
        <v>7144</v>
      </c>
      <c r="Q786" s="14" t="s">
        <v>213</v>
      </c>
      <c r="R786" s="3" t="s">
        <v>4170</v>
      </c>
      <c r="S786" s="3">
        <f t="shared" si="38"/>
        <v>550</v>
      </c>
      <c r="T786" s="3">
        <f t="shared" si="39"/>
        <v>17050</v>
      </c>
      <c r="U786" s="3" t="s">
        <v>60</v>
      </c>
      <c r="V786" s="14" t="s">
        <v>6</v>
      </c>
      <c r="W786" s="14" t="s">
        <v>4287</v>
      </c>
      <c r="X786" s="14" t="s">
        <v>60</v>
      </c>
    </row>
    <row r="787" spans="1:24" ht="15" x14ac:dyDescent="0.3">
      <c r="A787" s="3">
        <v>48</v>
      </c>
      <c r="B787" s="3" t="s">
        <v>1868</v>
      </c>
      <c r="C787" s="14" t="s">
        <v>0</v>
      </c>
      <c r="D787" s="14" t="s">
        <v>1869</v>
      </c>
      <c r="E787" s="14" t="s">
        <v>1870</v>
      </c>
      <c r="F787" s="14" t="s">
        <v>1871</v>
      </c>
      <c r="G787" s="14" t="s">
        <v>3</v>
      </c>
      <c r="H787" s="14" t="s">
        <v>7145</v>
      </c>
      <c r="I787" s="14" t="s">
        <v>7146</v>
      </c>
      <c r="J787" s="14" t="s">
        <v>60</v>
      </c>
      <c r="K787" s="14" t="s">
        <v>60</v>
      </c>
      <c r="L787" s="14" t="s">
        <v>60</v>
      </c>
      <c r="M787" s="14" t="s">
        <v>1872</v>
      </c>
      <c r="N787" s="14" t="s">
        <v>60</v>
      </c>
      <c r="O787" s="14" t="s">
        <v>193</v>
      </c>
      <c r="P787" s="14" t="s">
        <v>7147</v>
      </c>
      <c r="Q787" s="14" t="s">
        <v>185</v>
      </c>
      <c r="R787" s="3" t="s">
        <v>4170</v>
      </c>
      <c r="S787" s="3">
        <f t="shared" si="38"/>
        <v>550</v>
      </c>
      <c r="T787" s="3">
        <f t="shared" si="39"/>
        <v>17050</v>
      </c>
      <c r="U787" s="3" t="s">
        <v>60</v>
      </c>
      <c r="V787" s="14" t="s">
        <v>6</v>
      </c>
      <c r="W787" s="14" t="s">
        <v>4287</v>
      </c>
      <c r="X787" s="14" t="s">
        <v>60</v>
      </c>
    </row>
    <row r="788" spans="1:24" ht="15" x14ac:dyDescent="0.3">
      <c r="A788" s="3">
        <v>49</v>
      </c>
      <c r="B788" s="3" t="s">
        <v>7148</v>
      </c>
      <c r="C788" s="14" t="s">
        <v>0</v>
      </c>
      <c r="D788" s="14" t="s">
        <v>1873</v>
      </c>
      <c r="E788" s="14" t="s">
        <v>4644</v>
      </c>
      <c r="F788" s="14" t="s">
        <v>1874</v>
      </c>
      <c r="G788" s="14" t="s">
        <v>3</v>
      </c>
      <c r="H788" s="14" t="s">
        <v>7149</v>
      </c>
      <c r="I788" s="14" t="s">
        <v>7150</v>
      </c>
      <c r="J788" s="14" t="s">
        <v>60</v>
      </c>
      <c r="K788" s="14" t="s">
        <v>60</v>
      </c>
      <c r="L788" s="14" t="s">
        <v>60</v>
      </c>
      <c r="M788" s="14" t="s">
        <v>1875</v>
      </c>
      <c r="N788" s="14" t="s">
        <v>60</v>
      </c>
      <c r="O788" s="14" t="s">
        <v>193</v>
      </c>
      <c r="P788" s="14" t="s">
        <v>7151</v>
      </c>
      <c r="Q788" s="14" t="s">
        <v>11</v>
      </c>
      <c r="R788" s="3" t="s">
        <v>4300</v>
      </c>
      <c r="S788" s="3">
        <f t="shared" si="38"/>
        <v>550</v>
      </c>
      <c r="T788" s="3">
        <f t="shared" si="39"/>
        <v>15950</v>
      </c>
      <c r="U788" s="3" t="s">
        <v>60</v>
      </c>
      <c r="V788" s="14" t="s">
        <v>6</v>
      </c>
      <c r="W788" s="14" t="s">
        <v>4287</v>
      </c>
      <c r="X788" s="14" t="s">
        <v>60</v>
      </c>
    </row>
    <row r="789" spans="1:24" ht="15" x14ac:dyDescent="0.3">
      <c r="A789" s="3">
        <v>50</v>
      </c>
      <c r="B789" s="3" t="s">
        <v>7152</v>
      </c>
      <c r="C789" s="14" t="s">
        <v>3966</v>
      </c>
      <c r="D789" s="14" t="s">
        <v>2358</v>
      </c>
      <c r="E789" s="14" t="s">
        <v>2359</v>
      </c>
      <c r="F789" s="14" t="s">
        <v>2360</v>
      </c>
      <c r="G789" s="14" t="s">
        <v>3</v>
      </c>
      <c r="H789" s="14" t="s">
        <v>2361</v>
      </c>
      <c r="I789" s="14" t="s">
        <v>2362</v>
      </c>
      <c r="J789" s="14" t="s">
        <v>60</v>
      </c>
      <c r="K789" s="14" t="s">
        <v>60</v>
      </c>
      <c r="L789" s="14" t="s">
        <v>60</v>
      </c>
      <c r="M789" s="14" t="s">
        <v>2363</v>
      </c>
      <c r="N789" s="14" t="s">
        <v>60</v>
      </c>
      <c r="O789" s="14" t="s">
        <v>558</v>
      </c>
      <c r="P789" s="14" t="s">
        <v>7153</v>
      </c>
      <c r="Q789" s="14" t="s">
        <v>185</v>
      </c>
      <c r="R789" s="3" t="s">
        <v>4170</v>
      </c>
      <c r="S789" s="3">
        <f t="shared" si="38"/>
        <v>640</v>
      </c>
      <c r="T789" s="3">
        <f t="shared" si="39"/>
        <v>19840</v>
      </c>
      <c r="U789" s="3" t="s">
        <v>60</v>
      </c>
      <c r="V789" s="14" t="s">
        <v>6</v>
      </c>
      <c r="W789" s="14" t="s">
        <v>4287</v>
      </c>
      <c r="X789" s="14" t="s">
        <v>60</v>
      </c>
    </row>
    <row r="790" spans="1:24" ht="15" x14ac:dyDescent="0.3">
      <c r="A790" s="3">
        <v>51</v>
      </c>
      <c r="B790" s="3" t="s">
        <v>1881</v>
      </c>
      <c r="C790" s="14" t="s">
        <v>0</v>
      </c>
      <c r="D790" s="14" t="s">
        <v>1576</v>
      </c>
      <c r="E790" s="14" t="s">
        <v>5081</v>
      </c>
      <c r="F790" s="14" t="s">
        <v>1882</v>
      </c>
      <c r="G790" s="14" t="s">
        <v>3</v>
      </c>
      <c r="H790" s="14" t="s">
        <v>7154</v>
      </c>
      <c r="I790" s="14" t="s">
        <v>7155</v>
      </c>
      <c r="J790" s="14" t="s">
        <v>60</v>
      </c>
      <c r="K790" s="14" t="s">
        <v>60</v>
      </c>
      <c r="L790" s="14" t="s">
        <v>60</v>
      </c>
      <c r="M790" s="14" t="s">
        <v>1883</v>
      </c>
      <c r="N790" s="14" t="s">
        <v>60</v>
      </c>
      <c r="O790" s="14" t="s">
        <v>193</v>
      </c>
      <c r="P790" s="14" t="s">
        <v>7156</v>
      </c>
      <c r="Q790" s="14" t="s">
        <v>11</v>
      </c>
      <c r="R790" s="3" t="s">
        <v>4170</v>
      </c>
      <c r="S790" s="3">
        <f t="shared" si="38"/>
        <v>550</v>
      </c>
      <c r="T790" s="3">
        <f t="shared" si="39"/>
        <v>17050</v>
      </c>
      <c r="U790" s="3" t="s">
        <v>60</v>
      </c>
      <c r="V790" s="14" t="s">
        <v>6</v>
      </c>
      <c r="W790" s="14" t="s">
        <v>4287</v>
      </c>
      <c r="X790" s="14" t="s">
        <v>60</v>
      </c>
    </row>
    <row r="791" spans="1:24" ht="15" x14ac:dyDescent="0.3">
      <c r="A791" s="3">
        <v>52</v>
      </c>
      <c r="B791" s="3" t="s">
        <v>1884</v>
      </c>
      <c r="C791" s="14" t="s">
        <v>0</v>
      </c>
      <c r="D791" s="14" t="s">
        <v>1885</v>
      </c>
      <c r="E791" s="14" t="s">
        <v>7157</v>
      </c>
      <c r="F791" s="14" t="s">
        <v>1886</v>
      </c>
      <c r="G791" s="14" t="s">
        <v>3</v>
      </c>
      <c r="H791" s="14" t="s">
        <v>7158</v>
      </c>
      <c r="I791" s="14" t="s">
        <v>7159</v>
      </c>
      <c r="J791" s="14" t="s">
        <v>60</v>
      </c>
      <c r="K791" s="14" t="s">
        <v>60</v>
      </c>
      <c r="L791" s="14" t="s">
        <v>60</v>
      </c>
      <c r="M791" s="14" t="s">
        <v>1887</v>
      </c>
      <c r="N791" s="14" t="s">
        <v>60</v>
      </c>
      <c r="O791" s="14" t="s">
        <v>193</v>
      </c>
      <c r="P791" s="14" t="s">
        <v>7160</v>
      </c>
      <c r="Q791" s="14" t="s">
        <v>213</v>
      </c>
      <c r="R791" s="3" t="s">
        <v>4170</v>
      </c>
      <c r="S791" s="3">
        <f t="shared" si="38"/>
        <v>550</v>
      </c>
      <c r="T791" s="3">
        <f t="shared" si="39"/>
        <v>17050</v>
      </c>
      <c r="U791" s="3" t="s">
        <v>60</v>
      </c>
      <c r="V791" s="14" t="s">
        <v>6</v>
      </c>
      <c r="W791" s="14" t="s">
        <v>4287</v>
      </c>
      <c r="X791" s="14" t="s">
        <v>60</v>
      </c>
    </row>
    <row r="792" spans="1:24" ht="15" x14ac:dyDescent="0.3">
      <c r="A792" s="3">
        <v>53</v>
      </c>
      <c r="B792" s="3" t="s">
        <v>7161</v>
      </c>
      <c r="C792" s="14" t="s">
        <v>0</v>
      </c>
      <c r="D792" s="14" t="s">
        <v>1788</v>
      </c>
      <c r="E792" s="14" t="s">
        <v>5684</v>
      </c>
      <c r="F792" s="14" t="s">
        <v>1601</v>
      </c>
      <c r="G792" s="14" t="s">
        <v>3</v>
      </c>
      <c r="H792" s="14" t="s">
        <v>7162</v>
      </c>
      <c r="I792" s="14" t="s">
        <v>3829</v>
      </c>
      <c r="J792" s="14" t="s">
        <v>60</v>
      </c>
      <c r="K792" s="14" t="s">
        <v>60</v>
      </c>
      <c r="L792" s="14" t="s">
        <v>60</v>
      </c>
      <c r="M792" s="14" t="s">
        <v>3830</v>
      </c>
      <c r="N792" s="14" t="s">
        <v>60</v>
      </c>
      <c r="O792" s="14" t="s">
        <v>60</v>
      </c>
      <c r="P792" s="14" t="s">
        <v>7163</v>
      </c>
      <c r="Q792" s="14" t="s">
        <v>11</v>
      </c>
      <c r="R792" s="3" t="s">
        <v>4170</v>
      </c>
      <c r="S792" s="3">
        <f t="shared" si="38"/>
        <v>550</v>
      </c>
      <c r="T792" s="3">
        <f t="shared" si="39"/>
        <v>17050</v>
      </c>
      <c r="U792" s="3" t="s">
        <v>60</v>
      </c>
      <c r="V792" s="14" t="s">
        <v>6</v>
      </c>
      <c r="W792" s="14" t="s">
        <v>4444</v>
      </c>
      <c r="X792" s="14" t="s">
        <v>60</v>
      </c>
    </row>
    <row r="793" spans="1:24" ht="15" x14ac:dyDescent="0.3">
      <c r="A793" s="3">
        <v>54</v>
      </c>
      <c r="B793" s="3" t="s">
        <v>7164</v>
      </c>
      <c r="C793" s="14" t="s">
        <v>0</v>
      </c>
      <c r="D793" s="14" t="s">
        <v>3604</v>
      </c>
      <c r="E793" s="14" t="s">
        <v>4205</v>
      </c>
      <c r="F793" s="14" t="s">
        <v>1754</v>
      </c>
      <c r="G793" s="14" t="s">
        <v>3</v>
      </c>
      <c r="H793" s="14" t="s">
        <v>7165</v>
      </c>
      <c r="I793" s="14" t="s">
        <v>3831</v>
      </c>
      <c r="J793" s="14" t="s">
        <v>60</v>
      </c>
      <c r="K793" s="14" t="s">
        <v>60</v>
      </c>
      <c r="L793" s="14" t="s">
        <v>60</v>
      </c>
      <c r="M793" s="14" t="s">
        <v>3832</v>
      </c>
      <c r="N793" s="14" t="s">
        <v>60</v>
      </c>
      <c r="O793" s="14" t="s">
        <v>60</v>
      </c>
      <c r="P793" s="14" t="s">
        <v>7166</v>
      </c>
      <c r="Q793" s="14" t="s">
        <v>11</v>
      </c>
      <c r="R793" s="3" t="s">
        <v>4170</v>
      </c>
      <c r="S793" s="3">
        <f t="shared" si="38"/>
        <v>550</v>
      </c>
      <c r="T793" s="3">
        <f t="shared" si="39"/>
        <v>17050</v>
      </c>
      <c r="U793" s="3" t="s">
        <v>60</v>
      </c>
      <c r="V793" s="14" t="s">
        <v>6</v>
      </c>
      <c r="W793" s="14" t="s">
        <v>4444</v>
      </c>
      <c r="X793" s="14" t="s">
        <v>60</v>
      </c>
    </row>
    <row r="794" spans="1:24" ht="15" x14ac:dyDescent="0.3">
      <c r="A794" s="3">
        <v>55</v>
      </c>
      <c r="B794" s="3" t="s">
        <v>7167</v>
      </c>
      <c r="C794" s="14" t="s">
        <v>0</v>
      </c>
      <c r="D794" s="14" t="s">
        <v>3605</v>
      </c>
      <c r="E794" s="14" t="s">
        <v>7168</v>
      </c>
      <c r="F794" s="14" t="s">
        <v>3612</v>
      </c>
      <c r="G794" s="14" t="s">
        <v>3</v>
      </c>
      <c r="H794" s="14" t="s">
        <v>7169</v>
      </c>
      <c r="I794" s="14" t="s">
        <v>3833</v>
      </c>
      <c r="J794" s="14" t="s">
        <v>60</v>
      </c>
      <c r="K794" s="14" t="s">
        <v>60</v>
      </c>
      <c r="L794" s="14" t="s">
        <v>60</v>
      </c>
      <c r="M794" s="14" t="s">
        <v>60</v>
      </c>
      <c r="N794" s="14" t="s">
        <v>60</v>
      </c>
      <c r="O794" s="14" t="s">
        <v>60</v>
      </c>
      <c r="P794" s="14" t="s">
        <v>7170</v>
      </c>
      <c r="Q794" s="14" t="s">
        <v>11</v>
      </c>
      <c r="R794" s="3" t="s">
        <v>4170</v>
      </c>
      <c r="S794" s="3">
        <f t="shared" si="38"/>
        <v>550</v>
      </c>
      <c r="T794" s="3">
        <f t="shared" si="39"/>
        <v>17050</v>
      </c>
      <c r="U794" s="3" t="s">
        <v>60</v>
      </c>
      <c r="V794" s="14" t="s">
        <v>6</v>
      </c>
      <c r="W794" s="14" t="s">
        <v>4444</v>
      </c>
      <c r="X794" s="14" t="s">
        <v>60</v>
      </c>
    </row>
    <row r="795" spans="1:24" ht="15" x14ac:dyDescent="0.3">
      <c r="A795" s="3">
        <v>56</v>
      </c>
      <c r="B795" s="3" t="s">
        <v>7171</v>
      </c>
      <c r="C795" s="14" t="s">
        <v>0</v>
      </c>
      <c r="D795" s="14" t="s">
        <v>3606</v>
      </c>
      <c r="E795" s="14" t="s">
        <v>7172</v>
      </c>
      <c r="F795" s="14" t="s">
        <v>3613</v>
      </c>
      <c r="G795" s="14" t="s">
        <v>121</v>
      </c>
      <c r="H795" s="14" t="s">
        <v>7173</v>
      </c>
      <c r="I795" s="14" t="s">
        <v>3834</v>
      </c>
      <c r="J795" s="14" t="s">
        <v>60</v>
      </c>
      <c r="K795" s="14" t="s">
        <v>60</v>
      </c>
      <c r="L795" s="14" t="s">
        <v>60</v>
      </c>
      <c r="M795" s="14" t="s">
        <v>60</v>
      </c>
      <c r="N795" s="14" t="s">
        <v>60</v>
      </c>
      <c r="O795" s="14" t="s">
        <v>60</v>
      </c>
      <c r="P795" s="14" t="s">
        <v>7174</v>
      </c>
      <c r="Q795" s="14" t="s">
        <v>11</v>
      </c>
      <c r="R795" s="3" t="s">
        <v>4170</v>
      </c>
      <c r="S795" s="3">
        <f t="shared" si="38"/>
        <v>550</v>
      </c>
      <c r="T795" s="3">
        <f t="shared" si="39"/>
        <v>17050</v>
      </c>
      <c r="U795" s="3" t="s">
        <v>60</v>
      </c>
      <c r="V795" s="14" t="s">
        <v>6</v>
      </c>
      <c r="W795" s="14" t="s">
        <v>4444</v>
      </c>
      <c r="X795" s="14" t="s">
        <v>60</v>
      </c>
    </row>
    <row r="796" spans="1:24" ht="15" x14ac:dyDescent="0.3">
      <c r="A796" s="3">
        <v>57</v>
      </c>
      <c r="B796" s="3" t="s">
        <v>7175</v>
      </c>
      <c r="C796" s="14" t="s">
        <v>0</v>
      </c>
      <c r="D796" s="14" t="s">
        <v>3607</v>
      </c>
      <c r="E796" s="14" t="s">
        <v>4746</v>
      </c>
      <c r="F796" s="14" t="s">
        <v>65</v>
      </c>
      <c r="G796" s="14" t="s">
        <v>121</v>
      </c>
      <c r="H796" s="14" t="s">
        <v>7176</v>
      </c>
      <c r="I796" s="14" t="s">
        <v>3835</v>
      </c>
      <c r="J796" s="14" t="s">
        <v>60</v>
      </c>
      <c r="K796" s="14" t="s">
        <v>60</v>
      </c>
      <c r="L796" s="14" t="s">
        <v>60</v>
      </c>
      <c r="M796" s="14" t="s">
        <v>3836</v>
      </c>
      <c r="N796" s="14" t="s">
        <v>60</v>
      </c>
      <c r="O796" s="14" t="s">
        <v>60</v>
      </c>
      <c r="P796" s="14" t="s">
        <v>7177</v>
      </c>
      <c r="Q796" s="14" t="s">
        <v>11</v>
      </c>
      <c r="R796" s="3" t="s">
        <v>4170</v>
      </c>
      <c r="S796" s="3">
        <f t="shared" si="38"/>
        <v>550</v>
      </c>
      <c r="T796" s="3">
        <f t="shared" si="39"/>
        <v>17050</v>
      </c>
      <c r="U796" s="3" t="s">
        <v>60</v>
      </c>
      <c r="V796" s="14" t="s">
        <v>6</v>
      </c>
      <c r="W796" s="14" t="s">
        <v>4444</v>
      </c>
      <c r="X796" s="14" t="s">
        <v>60</v>
      </c>
    </row>
    <row r="797" spans="1:24" ht="15" x14ac:dyDescent="0.3">
      <c r="A797" s="3">
        <v>58</v>
      </c>
      <c r="B797" s="3" t="s">
        <v>7178</v>
      </c>
      <c r="C797" s="14" t="s">
        <v>0</v>
      </c>
      <c r="D797" s="14" t="s">
        <v>3608</v>
      </c>
      <c r="E797" s="14" t="s">
        <v>6538</v>
      </c>
      <c r="F797" s="14" t="s">
        <v>3610</v>
      </c>
      <c r="G797" s="14" t="s">
        <v>121</v>
      </c>
      <c r="H797" s="14" t="s">
        <v>7179</v>
      </c>
      <c r="I797" s="14" t="s">
        <v>3837</v>
      </c>
      <c r="J797" s="14" t="s">
        <v>60</v>
      </c>
      <c r="K797" s="14" t="s">
        <v>60</v>
      </c>
      <c r="L797" s="14" t="s">
        <v>60</v>
      </c>
      <c r="M797" s="14" t="s">
        <v>3838</v>
      </c>
      <c r="N797" s="14" t="s">
        <v>60</v>
      </c>
      <c r="O797" s="14" t="s">
        <v>60</v>
      </c>
      <c r="P797" s="14" t="s">
        <v>7180</v>
      </c>
      <c r="Q797" s="14" t="s">
        <v>11</v>
      </c>
      <c r="R797" s="3" t="s">
        <v>4170</v>
      </c>
      <c r="S797" s="3">
        <f t="shared" si="38"/>
        <v>550</v>
      </c>
      <c r="T797" s="3">
        <f t="shared" si="39"/>
        <v>17050</v>
      </c>
      <c r="U797" s="3" t="s">
        <v>60</v>
      </c>
      <c r="V797" s="14" t="s">
        <v>6</v>
      </c>
      <c r="W797" s="14" t="s">
        <v>4444</v>
      </c>
      <c r="X797" s="14" t="s">
        <v>60</v>
      </c>
    </row>
    <row r="798" spans="1:24" ht="15" x14ac:dyDescent="0.3">
      <c r="A798" s="3">
        <v>59</v>
      </c>
      <c r="B798" s="3" t="s">
        <v>7181</v>
      </c>
      <c r="C798" s="14" t="s">
        <v>0</v>
      </c>
      <c r="D798" s="14" t="s">
        <v>3609</v>
      </c>
      <c r="E798" s="14" t="s">
        <v>7182</v>
      </c>
      <c r="F798" s="14" t="s">
        <v>1762</v>
      </c>
      <c r="G798" s="14" t="s">
        <v>121</v>
      </c>
      <c r="H798" s="14" t="s">
        <v>7183</v>
      </c>
      <c r="I798" s="14" t="s">
        <v>3839</v>
      </c>
      <c r="J798" s="14" t="s">
        <v>60</v>
      </c>
      <c r="K798" s="14" t="s">
        <v>60</v>
      </c>
      <c r="L798" s="14" t="s">
        <v>60</v>
      </c>
      <c r="M798" s="14" t="s">
        <v>3840</v>
      </c>
      <c r="N798" s="14" t="s">
        <v>60</v>
      </c>
      <c r="O798" s="14" t="s">
        <v>60</v>
      </c>
      <c r="P798" s="14" t="s">
        <v>7184</v>
      </c>
      <c r="Q798" s="14" t="s">
        <v>11</v>
      </c>
      <c r="R798" s="3" t="s">
        <v>4170</v>
      </c>
      <c r="S798" s="3">
        <f t="shared" si="38"/>
        <v>550</v>
      </c>
      <c r="T798" s="3">
        <f t="shared" si="39"/>
        <v>17050</v>
      </c>
      <c r="U798" s="3" t="s">
        <v>60</v>
      </c>
      <c r="V798" s="14" t="s">
        <v>6</v>
      </c>
      <c r="W798" s="14" t="s">
        <v>4444</v>
      </c>
      <c r="X798" s="14" t="s">
        <v>60</v>
      </c>
    </row>
    <row r="799" spans="1:24" ht="15" x14ac:dyDescent="0.3">
      <c r="A799" s="3">
        <v>60</v>
      </c>
      <c r="B799" s="3" t="s">
        <v>7185</v>
      </c>
      <c r="C799" s="14" t="s">
        <v>0</v>
      </c>
      <c r="D799" s="14" t="s">
        <v>3610</v>
      </c>
      <c r="E799" s="14" t="s">
        <v>7186</v>
      </c>
      <c r="F799" s="14" t="s">
        <v>1771</v>
      </c>
      <c r="G799" s="14" t="s">
        <v>3</v>
      </c>
      <c r="H799" s="14" t="s">
        <v>7187</v>
      </c>
      <c r="I799" s="14" t="s">
        <v>3841</v>
      </c>
      <c r="J799" s="14" t="s">
        <v>60</v>
      </c>
      <c r="K799" s="14" t="s">
        <v>60</v>
      </c>
      <c r="L799" s="14" t="s">
        <v>60</v>
      </c>
      <c r="M799" s="14" t="s">
        <v>3842</v>
      </c>
      <c r="N799" s="14" t="s">
        <v>60</v>
      </c>
      <c r="O799" s="14" t="s">
        <v>60</v>
      </c>
      <c r="P799" s="14" t="s">
        <v>7188</v>
      </c>
      <c r="Q799" s="14" t="s">
        <v>11</v>
      </c>
      <c r="R799" s="3" t="s">
        <v>4170</v>
      </c>
      <c r="S799" s="3">
        <f t="shared" si="38"/>
        <v>550</v>
      </c>
      <c r="T799" s="3">
        <f t="shared" si="39"/>
        <v>17050</v>
      </c>
      <c r="U799" s="3" t="s">
        <v>60</v>
      </c>
      <c r="V799" s="14" t="s">
        <v>6</v>
      </c>
      <c r="W799" s="14" t="s">
        <v>4444</v>
      </c>
      <c r="X799" s="14" t="s">
        <v>60</v>
      </c>
    </row>
    <row r="800" spans="1:24" ht="15" x14ac:dyDescent="0.3">
      <c r="A800" s="3">
        <v>61</v>
      </c>
      <c r="B800" s="3" t="s">
        <v>7189</v>
      </c>
      <c r="C800" s="14" t="s">
        <v>0</v>
      </c>
      <c r="D800" s="14" t="s">
        <v>1891</v>
      </c>
      <c r="E800" s="14" t="s">
        <v>4367</v>
      </c>
      <c r="F800" s="14" t="s">
        <v>1892</v>
      </c>
      <c r="G800" s="14" t="s">
        <v>3</v>
      </c>
      <c r="H800" s="14" t="s">
        <v>7190</v>
      </c>
      <c r="I800" s="14" t="s">
        <v>1893</v>
      </c>
      <c r="J800" s="14" t="s">
        <v>60</v>
      </c>
      <c r="K800" s="14" t="s">
        <v>60</v>
      </c>
      <c r="L800" s="14" t="s">
        <v>60</v>
      </c>
      <c r="M800" s="14" t="s">
        <v>1894</v>
      </c>
      <c r="N800" s="14" t="s">
        <v>60</v>
      </c>
      <c r="O800" s="14" t="s">
        <v>193</v>
      </c>
      <c r="P800" s="14" t="s">
        <v>7191</v>
      </c>
      <c r="Q800" s="14" t="s">
        <v>11</v>
      </c>
      <c r="R800" s="3" t="s">
        <v>4170</v>
      </c>
      <c r="S800" s="3">
        <f t="shared" si="38"/>
        <v>550</v>
      </c>
      <c r="T800" s="3">
        <f t="shared" si="39"/>
        <v>17050</v>
      </c>
      <c r="U800" s="3" t="s">
        <v>60</v>
      </c>
      <c r="V800" s="14" t="s">
        <v>6</v>
      </c>
      <c r="W800" s="14" t="s">
        <v>4287</v>
      </c>
      <c r="X800" s="14" t="s">
        <v>60</v>
      </c>
    </row>
    <row r="801" spans="1:24" ht="15" x14ac:dyDescent="0.3">
      <c r="A801" s="3">
        <v>62</v>
      </c>
      <c r="B801" s="3" t="s">
        <v>7192</v>
      </c>
      <c r="C801" s="14" t="s">
        <v>0</v>
      </c>
      <c r="D801" s="14" t="s">
        <v>1899</v>
      </c>
      <c r="E801" s="14" t="s">
        <v>7193</v>
      </c>
      <c r="F801" s="14" t="s">
        <v>1900</v>
      </c>
      <c r="G801" s="14" t="s">
        <v>3</v>
      </c>
      <c r="H801" s="14" t="s">
        <v>1901</v>
      </c>
      <c r="I801" s="14" t="s">
        <v>1902</v>
      </c>
      <c r="J801" s="14" t="s">
        <v>60</v>
      </c>
      <c r="K801" s="14" t="s">
        <v>60</v>
      </c>
      <c r="L801" s="14" t="s">
        <v>60</v>
      </c>
      <c r="M801" s="14" t="s">
        <v>7194</v>
      </c>
      <c r="N801" s="14" t="s">
        <v>60</v>
      </c>
      <c r="O801" s="14" t="s">
        <v>193</v>
      </c>
      <c r="P801" s="14" t="s">
        <v>7195</v>
      </c>
      <c r="Q801" s="14" t="s">
        <v>11</v>
      </c>
      <c r="R801" s="3" t="s">
        <v>4381</v>
      </c>
      <c r="S801" s="3">
        <f t="shared" si="38"/>
        <v>550</v>
      </c>
      <c r="T801" s="3">
        <f t="shared" si="39"/>
        <v>15400</v>
      </c>
      <c r="U801" s="3" t="s">
        <v>7196</v>
      </c>
      <c r="V801" s="14" t="s">
        <v>6</v>
      </c>
      <c r="W801" s="14" t="s">
        <v>4287</v>
      </c>
      <c r="X801" s="14" t="s">
        <v>60</v>
      </c>
    </row>
    <row r="802" spans="1:24" ht="15" x14ac:dyDescent="0.3">
      <c r="A802" s="3">
        <v>63</v>
      </c>
      <c r="B802" s="3" t="s">
        <v>7197</v>
      </c>
      <c r="C802" s="14" t="s">
        <v>0</v>
      </c>
      <c r="D802" s="14" t="s">
        <v>1903</v>
      </c>
      <c r="E802" s="14" t="s">
        <v>7198</v>
      </c>
      <c r="F802" s="14" t="s">
        <v>1904</v>
      </c>
      <c r="G802" s="14" t="s">
        <v>3</v>
      </c>
      <c r="H802" s="14" t="s">
        <v>7199</v>
      </c>
      <c r="I802" s="14" t="s">
        <v>1905</v>
      </c>
      <c r="J802" s="14" t="s">
        <v>60</v>
      </c>
      <c r="K802" s="14" t="s">
        <v>60</v>
      </c>
      <c r="L802" s="14" t="s">
        <v>60</v>
      </c>
      <c r="M802" s="14" t="s">
        <v>7200</v>
      </c>
      <c r="N802" s="14" t="s">
        <v>60</v>
      </c>
      <c r="O802" s="14" t="s">
        <v>193</v>
      </c>
      <c r="P802" s="14" t="s">
        <v>7201</v>
      </c>
      <c r="Q802" s="14" t="s">
        <v>11</v>
      </c>
      <c r="R802" s="3" t="s">
        <v>4311</v>
      </c>
      <c r="S802" s="3">
        <f t="shared" si="38"/>
        <v>550</v>
      </c>
      <c r="T802" s="3">
        <f t="shared" si="39"/>
        <v>16500</v>
      </c>
      <c r="U802" s="3" t="s">
        <v>60</v>
      </c>
      <c r="V802" s="14" t="s">
        <v>6</v>
      </c>
      <c r="W802" s="14" t="s">
        <v>4287</v>
      </c>
      <c r="X802" s="14" t="s">
        <v>60</v>
      </c>
    </row>
    <row r="803" spans="1:24" ht="15" x14ac:dyDescent="0.3">
      <c r="A803" s="3">
        <v>64</v>
      </c>
      <c r="B803" s="3" t="s">
        <v>7202</v>
      </c>
      <c r="C803" s="14" t="s">
        <v>0</v>
      </c>
      <c r="D803" s="14" t="s">
        <v>1912</v>
      </c>
      <c r="E803" s="14" t="s">
        <v>7203</v>
      </c>
      <c r="F803" s="14" t="s">
        <v>1913</v>
      </c>
      <c r="G803" s="14" t="s">
        <v>3</v>
      </c>
      <c r="H803" s="14" t="s">
        <v>7204</v>
      </c>
      <c r="I803" s="14" t="s">
        <v>1914</v>
      </c>
      <c r="J803" s="14" t="s">
        <v>60</v>
      </c>
      <c r="K803" s="14" t="s">
        <v>60</v>
      </c>
      <c r="L803" s="14" t="s">
        <v>60</v>
      </c>
      <c r="M803" s="14" t="s">
        <v>60</v>
      </c>
      <c r="N803" s="14" t="s">
        <v>60</v>
      </c>
      <c r="O803" s="14" t="s">
        <v>255</v>
      </c>
      <c r="P803" s="14" t="s">
        <v>7205</v>
      </c>
      <c r="Q803" s="14" t="s">
        <v>11</v>
      </c>
      <c r="R803" s="3" t="s">
        <v>4170</v>
      </c>
      <c r="S803" s="3">
        <f t="shared" si="38"/>
        <v>550</v>
      </c>
      <c r="T803" s="3">
        <f t="shared" si="39"/>
        <v>17050</v>
      </c>
      <c r="U803" s="3" t="s">
        <v>60</v>
      </c>
      <c r="V803" s="14" t="s">
        <v>4208</v>
      </c>
      <c r="W803" s="14" t="s">
        <v>7206</v>
      </c>
      <c r="X803" s="14" t="s">
        <v>60</v>
      </c>
    </row>
    <row r="804" spans="1:24" ht="15" x14ac:dyDescent="0.3">
      <c r="A804" s="3">
        <v>65</v>
      </c>
      <c r="B804" s="3" t="s">
        <v>1915</v>
      </c>
      <c r="C804" s="14" t="s">
        <v>0</v>
      </c>
      <c r="D804" s="14" t="s">
        <v>1916</v>
      </c>
      <c r="E804" s="14" t="s">
        <v>1917</v>
      </c>
      <c r="F804" s="14" t="s">
        <v>1918</v>
      </c>
      <c r="G804" s="14" t="s">
        <v>3</v>
      </c>
      <c r="H804" s="14" t="s">
        <v>7207</v>
      </c>
      <c r="I804" s="14" t="s">
        <v>7208</v>
      </c>
      <c r="J804" s="14" t="s">
        <v>60</v>
      </c>
      <c r="K804" s="14" t="s">
        <v>60</v>
      </c>
      <c r="L804" s="14" t="s">
        <v>60</v>
      </c>
      <c r="M804" s="14" t="s">
        <v>7209</v>
      </c>
      <c r="N804" s="14" t="s">
        <v>60</v>
      </c>
      <c r="O804" s="14" t="s">
        <v>193</v>
      </c>
      <c r="P804" s="14" t="s">
        <v>7210</v>
      </c>
      <c r="Q804" s="14" t="s">
        <v>1676</v>
      </c>
      <c r="R804" s="3" t="s">
        <v>4170</v>
      </c>
      <c r="S804" s="3">
        <f t="shared" ref="S804:S833" si="40">IF(RIGHT(C804,3)="MAZ",550,IF(RIGHT(C804,4)="MATE",570,IF(RIGHT(C804,7)="SKD-III",640,IF(RIGHT(C804,6)="SKD-II",770,IF(RIGHT(C804,5)="SKD-I",900,IF(RIGHT(C804,5)="CPDVR",770,""))))))</f>
        <v>550</v>
      </c>
      <c r="T804" s="3">
        <f t="shared" ref="T804:T833" si="41">R804*S804</f>
        <v>17050</v>
      </c>
      <c r="U804" s="3" t="s">
        <v>60</v>
      </c>
      <c r="V804" s="14" t="s">
        <v>6</v>
      </c>
      <c r="W804" s="14" t="s">
        <v>4287</v>
      </c>
      <c r="X804" s="14" t="s">
        <v>60</v>
      </c>
    </row>
    <row r="805" spans="1:24" ht="15" x14ac:dyDescent="0.3">
      <c r="A805" s="3">
        <v>66</v>
      </c>
      <c r="B805" s="3" t="s">
        <v>7211</v>
      </c>
      <c r="C805" s="14" t="s">
        <v>0</v>
      </c>
      <c r="D805" s="14" t="s">
        <v>1919</v>
      </c>
      <c r="E805" s="14" t="s">
        <v>4895</v>
      </c>
      <c r="F805" s="14" t="s">
        <v>1920</v>
      </c>
      <c r="G805" s="14" t="s">
        <v>3</v>
      </c>
      <c r="H805" s="14" t="s">
        <v>7212</v>
      </c>
      <c r="I805" s="14" t="s">
        <v>7213</v>
      </c>
      <c r="J805" s="14" t="s">
        <v>60</v>
      </c>
      <c r="K805" s="14" t="s">
        <v>60</v>
      </c>
      <c r="L805" s="14" t="s">
        <v>60</v>
      </c>
      <c r="M805" s="14" t="s">
        <v>7214</v>
      </c>
      <c r="N805" s="14" t="s">
        <v>60</v>
      </c>
      <c r="O805" s="14" t="s">
        <v>193</v>
      </c>
      <c r="P805" s="14" t="s">
        <v>7215</v>
      </c>
      <c r="Q805" s="14" t="s">
        <v>1921</v>
      </c>
      <c r="R805" s="3" t="s">
        <v>4316</v>
      </c>
      <c r="S805" s="3">
        <f t="shared" si="40"/>
        <v>550</v>
      </c>
      <c r="T805" s="3">
        <f t="shared" si="41"/>
        <v>13750</v>
      </c>
      <c r="U805" s="3" t="s">
        <v>60</v>
      </c>
      <c r="V805" s="14" t="s">
        <v>6</v>
      </c>
      <c r="W805" s="14" t="s">
        <v>4287</v>
      </c>
      <c r="X805" s="14" t="s">
        <v>60</v>
      </c>
    </row>
    <row r="806" spans="1:24" ht="15" x14ac:dyDescent="0.3">
      <c r="A806" s="3">
        <v>67</v>
      </c>
      <c r="B806" s="3" t="s">
        <v>7216</v>
      </c>
      <c r="C806" s="14" t="s">
        <v>0</v>
      </c>
      <c r="D806" s="14" t="s">
        <v>3611</v>
      </c>
      <c r="E806" s="14" t="s">
        <v>7217</v>
      </c>
      <c r="F806" s="14" t="s">
        <v>1659</v>
      </c>
      <c r="G806" s="14" t="s">
        <v>121</v>
      </c>
      <c r="H806" s="14" t="s">
        <v>7218</v>
      </c>
      <c r="I806" s="14" t="s">
        <v>3841</v>
      </c>
      <c r="J806" s="14" t="s">
        <v>60</v>
      </c>
      <c r="K806" s="14" t="s">
        <v>60</v>
      </c>
      <c r="L806" s="14" t="s">
        <v>60</v>
      </c>
      <c r="M806" s="14" t="s">
        <v>3842</v>
      </c>
      <c r="N806" s="14" t="s">
        <v>60</v>
      </c>
      <c r="O806" s="14" t="s">
        <v>60</v>
      </c>
      <c r="P806" s="14" t="s">
        <v>7219</v>
      </c>
      <c r="Q806" s="14" t="s">
        <v>11</v>
      </c>
      <c r="R806" s="3" t="s">
        <v>4170</v>
      </c>
      <c r="S806" s="3">
        <f t="shared" si="40"/>
        <v>550</v>
      </c>
      <c r="T806" s="3">
        <f t="shared" si="41"/>
        <v>17050</v>
      </c>
      <c r="U806" s="3" t="s">
        <v>60</v>
      </c>
      <c r="V806" s="14" t="s">
        <v>6</v>
      </c>
      <c r="W806" s="14" t="s">
        <v>4454</v>
      </c>
      <c r="X806" s="14" t="s">
        <v>60</v>
      </c>
    </row>
    <row r="807" spans="1:24" ht="15" x14ac:dyDescent="0.3">
      <c r="A807" s="3">
        <v>68</v>
      </c>
      <c r="B807" s="3" t="s">
        <v>7220</v>
      </c>
      <c r="C807" s="14" t="s">
        <v>0</v>
      </c>
      <c r="D807" s="14" t="s">
        <v>1929</v>
      </c>
      <c r="E807" s="14" t="s">
        <v>7221</v>
      </c>
      <c r="F807" s="14" t="s">
        <v>1930</v>
      </c>
      <c r="G807" s="14" t="s">
        <v>3</v>
      </c>
      <c r="H807" s="14" t="s">
        <v>7222</v>
      </c>
      <c r="I807" s="14" t="s">
        <v>1931</v>
      </c>
      <c r="J807" s="14" t="s">
        <v>60</v>
      </c>
      <c r="K807" s="14" t="s">
        <v>60</v>
      </c>
      <c r="L807" s="14" t="s">
        <v>60</v>
      </c>
      <c r="M807" s="14" t="s">
        <v>1932</v>
      </c>
      <c r="N807" s="14" t="s">
        <v>60</v>
      </c>
      <c r="O807" s="14" t="s">
        <v>261</v>
      </c>
      <c r="P807" s="14" t="s">
        <v>7223</v>
      </c>
      <c r="Q807" s="14" t="s">
        <v>11</v>
      </c>
      <c r="R807" s="3" t="s">
        <v>4300</v>
      </c>
      <c r="S807" s="3">
        <f t="shared" si="40"/>
        <v>550</v>
      </c>
      <c r="T807" s="3">
        <f t="shared" si="41"/>
        <v>15950</v>
      </c>
      <c r="U807" s="3" t="s">
        <v>60</v>
      </c>
      <c r="V807" s="14" t="s">
        <v>4301</v>
      </c>
      <c r="W807" s="14" t="s">
        <v>4202</v>
      </c>
      <c r="X807" s="14" t="s">
        <v>60</v>
      </c>
    </row>
    <row r="808" spans="1:24" ht="15" x14ac:dyDescent="0.3">
      <c r="A808" s="3">
        <v>69</v>
      </c>
      <c r="B808" s="3" t="s">
        <v>7224</v>
      </c>
      <c r="C808" s="14" t="s">
        <v>0</v>
      </c>
      <c r="D808" s="14" t="s">
        <v>1045</v>
      </c>
      <c r="E808" s="14" t="s">
        <v>4864</v>
      </c>
      <c r="F808" s="14" t="s">
        <v>1926</v>
      </c>
      <c r="G808" s="14" t="s">
        <v>3</v>
      </c>
      <c r="H808" s="14" t="s">
        <v>7225</v>
      </c>
      <c r="I808" s="14" t="s">
        <v>1927</v>
      </c>
      <c r="J808" s="14" t="s">
        <v>60</v>
      </c>
      <c r="K808" s="14" t="s">
        <v>60</v>
      </c>
      <c r="L808" s="14" t="s">
        <v>60</v>
      </c>
      <c r="M808" s="14" t="s">
        <v>1928</v>
      </c>
      <c r="N808" s="14" t="s">
        <v>60</v>
      </c>
      <c r="O808" s="14" t="s">
        <v>487</v>
      </c>
      <c r="P808" s="14" t="s">
        <v>7226</v>
      </c>
      <c r="Q808" s="14" t="s">
        <v>11</v>
      </c>
      <c r="R808" s="3" t="s">
        <v>4170</v>
      </c>
      <c r="S808" s="3">
        <f t="shared" si="40"/>
        <v>550</v>
      </c>
      <c r="T808" s="3">
        <f t="shared" si="41"/>
        <v>17050</v>
      </c>
      <c r="U808" s="3" t="s">
        <v>60</v>
      </c>
      <c r="V808" s="14" t="s">
        <v>6</v>
      </c>
      <c r="W808" s="14" t="s">
        <v>7227</v>
      </c>
      <c r="X808" s="14" t="s">
        <v>60</v>
      </c>
    </row>
    <row r="809" spans="1:24" ht="15" x14ac:dyDescent="0.3">
      <c r="A809" s="3">
        <v>70</v>
      </c>
      <c r="B809" s="3" t="s">
        <v>7228</v>
      </c>
      <c r="C809" s="14" t="s">
        <v>0</v>
      </c>
      <c r="D809" s="14" t="s">
        <v>1795</v>
      </c>
      <c r="E809" s="14" t="s">
        <v>7229</v>
      </c>
      <c r="F809" s="14" t="s">
        <v>1796</v>
      </c>
      <c r="G809" s="14" t="s">
        <v>3</v>
      </c>
      <c r="H809" s="14" t="s">
        <v>7230</v>
      </c>
      <c r="I809" s="14" t="s">
        <v>1797</v>
      </c>
      <c r="J809" s="14" t="s">
        <v>60</v>
      </c>
      <c r="K809" s="14" t="s">
        <v>60</v>
      </c>
      <c r="L809" s="14" t="s">
        <v>60</v>
      </c>
      <c r="M809" s="14" t="s">
        <v>1798</v>
      </c>
      <c r="N809" s="14" t="s">
        <v>60</v>
      </c>
      <c r="O809" s="14" t="s">
        <v>261</v>
      </c>
      <c r="P809" s="14" t="s">
        <v>7231</v>
      </c>
      <c r="Q809" s="14" t="s">
        <v>11</v>
      </c>
      <c r="R809" s="3" t="s">
        <v>4300</v>
      </c>
      <c r="S809" s="3">
        <f t="shared" si="40"/>
        <v>550</v>
      </c>
      <c r="T809" s="3">
        <f t="shared" si="41"/>
        <v>15950</v>
      </c>
      <c r="U809" s="3" t="s">
        <v>60</v>
      </c>
      <c r="V809" s="14" t="s">
        <v>4301</v>
      </c>
      <c r="W809" s="14" t="s">
        <v>4202</v>
      </c>
      <c r="X809" s="14" t="s">
        <v>60</v>
      </c>
    </row>
    <row r="810" spans="1:24" ht="15" x14ac:dyDescent="0.3">
      <c r="A810" s="3">
        <v>71</v>
      </c>
      <c r="B810" s="3" t="s">
        <v>7232</v>
      </c>
      <c r="C810" s="14" t="s">
        <v>146</v>
      </c>
      <c r="D810" s="14" t="s">
        <v>420</v>
      </c>
      <c r="E810" s="14" t="s">
        <v>1986</v>
      </c>
      <c r="F810" s="14" t="s">
        <v>1228</v>
      </c>
      <c r="G810" s="14" t="s">
        <v>3</v>
      </c>
      <c r="H810" s="14" t="s">
        <v>1987</v>
      </c>
      <c r="I810" s="14" t="s">
        <v>1988</v>
      </c>
      <c r="J810" s="14" t="s">
        <v>60</v>
      </c>
      <c r="K810" s="14" t="s">
        <v>60</v>
      </c>
      <c r="L810" s="14" t="s">
        <v>60</v>
      </c>
      <c r="M810" s="14" t="s">
        <v>1989</v>
      </c>
      <c r="N810" s="14" t="s">
        <v>60</v>
      </c>
      <c r="O810" s="14" t="s">
        <v>246</v>
      </c>
      <c r="P810" s="14" t="s">
        <v>7233</v>
      </c>
      <c r="Q810" s="14" t="s">
        <v>11</v>
      </c>
      <c r="R810" s="3" t="s">
        <v>4170</v>
      </c>
      <c r="S810" s="3">
        <f t="shared" si="40"/>
        <v>570</v>
      </c>
      <c r="T810" s="3">
        <f t="shared" si="41"/>
        <v>17670</v>
      </c>
      <c r="U810" s="3" t="s">
        <v>60</v>
      </c>
      <c r="V810" s="14" t="s">
        <v>6</v>
      </c>
      <c r="W810" s="14" t="s">
        <v>7234</v>
      </c>
      <c r="X810" s="14" t="s">
        <v>60</v>
      </c>
    </row>
    <row r="811" spans="1:24" ht="15" x14ac:dyDescent="0.3">
      <c r="A811" s="3">
        <v>72</v>
      </c>
      <c r="B811" s="3" t="s">
        <v>1963</v>
      </c>
      <c r="C811" s="14" t="s">
        <v>0</v>
      </c>
      <c r="D811" s="14" t="s">
        <v>236</v>
      </c>
      <c r="E811" s="14" t="s">
        <v>5037</v>
      </c>
      <c r="F811" s="14" t="s">
        <v>1964</v>
      </c>
      <c r="G811" s="14" t="s">
        <v>3</v>
      </c>
      <c r="H811" s="14" t="s">
        <v>7235</v>
      </c>
      <c r="I811" s="14" t="s">
        <v>7236</v>
      </c>
      <c r="J811" s="14" t="s">
        <v>60</v>
      </c>
      <c r="K811" s="14" t="s">
        <v>60</v>
      </c>
      <c r="L811" s="14" t="s">
        <v>60</v>
      </c>
      <c r="M811" s="14" t="s">
        <v>1965</v>
      </c>
      <c r="N811" s="14" t="s">
        <v>60</v>
      </c>
      <c r="O811" s="14" t="s">
        <v>193</v>
      </c>
      <c r="P811" s="14" t="s">
        <v>7237</v>
      </c>
      <c r="Q811" s="14" t="s">
        <v>11</v>
      </c>
      <c r="R811" s="3" t="s">
        <v>4170</v>
      </c>
      <c r="S811" s="3">
        <f t="shared" si="40"/>
        <v>550</v>
      </c>
      <c r="T811" s="3">
        <f t="shared" si="41"/>
        <v>17050</v>
      </c>
      <c r="U811" s="3" t="s">
        <v>60</v>
      </c>
      <c r="V811" s="14" t="s">
        <v>6</v>
      </c>
      <c r="W811" s="14" t="s">
        <v>4287</v>
      </c>
      <c r="X811" s="14" t="s">
        <v>60</v>
      </c>
    </row>
    <row r="812" spans="1:24" ht="15" x14ac:dyDescent="0.3">
      <c r="A812" s="3">
        <v>73</v>
      </c>
      <c r="B812" s="3" t="s">
        <v>1966</v>
      </c>
      <c r="C812" s="14" t="s">
        <v>0</v>
      </c>
      <c r="D812" s="14" t="s">
        <v>1967</v>
      </c>
      <c r="E812" s="14" t="s">
        <v>1968</v>
      </c>
      <c r="F812" s="14" t="s">
        <v>1969</v>
      </c>
      <c r="G812" s="14" t="s">
        <v>3</v>
      </c>
      <c r="H812" s="14" t="s">
        <v>7238</v>
      </c>
      <c r="I812" s="14" t="s">
        <v>7239</v>
      </c>
      <c r="J812" s="14" t="s">
        <v>60</v>
      </c>
      <c r="K812" s="14" t="s">
        <v>60</v>
      </c>
      <c r="L812" s="14" t="s">
        <v>60</v>
      </c>
      <c r="M812" s="14" t="s">
        <v>7240</v>
      </c>
      <c r="N812" s="14" t="s">
        <v>60</v>
      </c>
      <c r="O812" s="14" t="s">
        <v>193</v>
      </c>
      <c r="P812" s="14" t="s">
        <v>7241</v>
      </c>
      <c r="Q812" s="14" t="s">
        <v>1676</v>
      </c>
      <c r="R812" s="3" t="s">
        <v>4170</v>
      </c>
      <c r="S812" s="3">
        <f t="shared" si="40"/>
        <v>550</v>
      </c>
      <c r="T812" s="3">
        <f t="shared" si="41"/>
        <v>17050</v>
      </c>
      <c r="U812" s="3" t="s">
        <v>60</v>
      </c>
      <c r="V812" s="14" t="s">
        <v>6</v>
      </c>
      <c r="W812" s="14" t="s">
        <v>4287</v>
      </c>
      <c r="X812" s="14" t="s">
        <v>60</v>
      </c>
    </row>
    <row r="813" spans="1:24" ht="15" x14ac:dyDescent="0.3">
      <c r="A813" s="3">
        <v>74</v>
      </c>
      <c r="B813" s="3" t="s">
        <v>7242</v>
      </c>
      <c r="C813" s="14" t="s">
        <v>0</v>
      </c>
      <c r="D813" s="14" t="s">
        <v>1933</v>
      </c>
      <c r="E813" s="14" t="s">
        <v>7243</v>
      </c>
      <c r="F813" s="14" t="s">
        <v>1934</v>
      </c>
      <c r="G813" s="14" t="s">
        <v>3</v>
      </c>
      <c r="H813" s="14" t="s">
        <v>7244</v>
      </c>
      <c r="I813" s="14" t="s">
        <v>1935</v>
      </c>
      <c r="J813" s="14" t="s">
        <v>60</v>
      </c>
      <c r="K813" s="14" t="s">
        <v>60</v>
      </c>
      <c r="L813" s="14" t="s">
        <v>60</v>
      </c>
      <c r="M813" s="14" t="s">
        <v>7245</v>
      </c>
      <c r="N813" s="14" t="s">
        <v>60</v>
      </c>
      <c r="O813" s="14" t="s">
        <v>193</v>
      </c>
      <c r="P813" s="14" t="s">
        <v>7246</v>
      </c>
      <c r="Q813" s="14" t="s">
        <v>11</v>
      </c>
      <c r="R813" s="3" t="s">
        <v>4300</v>
      </c>
      <c r="S813" s="3">
        <f t="shared" si="40"/>
        <v>550</v>
      </c>
      <c r="T813" s="3">
        <f t="shared" si="41"/>
        <v>15950</v>
      </c>
      <c r="U813" s="3" t="s">
        <v>60</v>
      </c>
      <c r="V813" s="14" t="s">
        <v>6</v>
      </c>
      <c r="W813" s="14" t="s">
        <v>4287</v>
      </c>
      <c r="X813" s="14" t="s">
        <v>60</v>
      </c>
    </row>
    <row r="814" spans="1:24" ht="15" x14ac:dyDescent="0.3">
      <c r="A814" s="3">
        <v>75</v>
      </c>
      <c r="B814" s="3" t="s">
        <v>7247</v>
      </c>
      <c r="C814" s="14" t="s">
        <v>0</v>
      </c>
      <c r="D814" s="14" t="s">
        <v>1936</v>
      </c>
      <c r="E814" s="14" t="s">
        <v>7248</v>
      </c>
      <c r="F814" s="14" t="s">
        <v>1937</v>
      </c>
      <c r="G814" s="14" t="s">
        <v>3</v>
      </c>
      <c r="H814" s="14" t="s">
        <v>7249</v>
      </c>
      <c r="I814" s="14" t="s">
        <v>1938</v>
      </c>
      <c r="J814" s="14" t="s">
        <v>60</v>
      </c>
      <c r="K814" s="14" t="s">
        <v>60</v>
      </c>
      <c r="L814" s="14" t="s">
        <v>60</v>
      </c>
      <c r="M814" s="14" t="s">
        <v>7250</v>
      </c>
      <c r="N814" s="14" t="s">
        <v>60</v>
      </c>
      <c r="O814" s="14" t="s">
        <v>193</v>
      </c>
      <c r="P814" s="14" t="s">
        <v>7251</v>
      </c>
      <c r="Q814" s="14" t="s">
        <v>11</v>
      </c>
      <c r="R814" s="3" t="s">
        <v>4170</v>
      </c>
      <c r="S814" s="3">
        <f t="shared" si="40"/>
        <v>550</v>
      </c>
      <c r="T814" s="3">
        <f t="shared" si="41"/>
        <v>17050</v>
      </c>
      <c r="U814" s="3" t="s">
        <v>60</v>
      </c>
      <c r="V814" s="14" t="s">
        <v>6</v>
      </c>
      <c r="W814" s="14" t="s">
        <v>4287</v>
      </c>
      <c r="X814" s="14" t="s">
        <v>60</v>
      </c>
    </row>
    <row r="815" spans="1:24" ht="15" x14ac:dyDescent="0.3">
      <c r="A815" s="3">
        <v>76</v>
      </c>
      <c r="B815" s="3" t="s">
        <v>7252</v>
      </c>
      <c r="C815" s="14" t="s">
        <v>0</v>
      </c>
      <c r="D815" s="14" t="s">
        <v>1939</v>
      </c>
      <c r="E815" s="14" t="s">
        <v>7253</v>
      </c>
      <c r="F815" s="14" t="s">
        <v>1940</v>
      </c>
      <c r="G815" s="14" t="s">
        <v>3</v>
      </c>
      <c r="H815" s="14" t="s">
        <v>7254</v>
      </c>
      <c r="I815" s="14" t="s">
        <v>1941</v>
      </c>
      <c r="J815" s="14" t="s">
        <v>60</v>
      </c>
      <c r="K815" s="14" t="s">
        <v>60</v>
      </c>
      <c r="L815" s="14" t="s">
        <v>60</v>
      </c>
      <c r="M815" s="14" t="s">
        <v>60</v>
      </c>
      <c r="N815" s="14" t="s">
        <v>60</v>
      </c>
      <c r="O815" s="14" t="s">
        <v>485</v>
      </c>
      <c r="P815" s="14" t="s">
        <v>7255</v>
      </c>
      <c r="Q815" s="14" t="s">
        <v>1676</v>
      </c>
      <c r="R815" s="3" t="s">
        <v>4170</v>
      </c>
      <c r="S815" s="3">
        <f t="shared" si="40"/>
        <v>550</v>
      </c>
      <c r="T815" s="3">
        <f t="shared" si="41"/>
        <v>17050</v>
      </c>
      <c r="U815" s="3" t="s">
        <v>60</v>
      </c>
      <c r="V815" s="14" t="s">
        <v>6</v>
      </c>
      <c r="W815" s="14" t="s">
        <v>6271</v>
      </c>
      <c r="X815" s="14" t="s">
        <v>60</v>
      </c>
    </row>
    <row r="816" spans="1:24" ht="15" x14ac:dyDescent="0.3">
      <c r="A816" s="3">
        <v>77</v>
      </c>
      <c r="B816" s="3" t="s">
        <v>1942</v>
      </c>
      <c r="C816" s="14" t="s">
        <v>0</v>
      </c>
      <c r="D816" s="14" t="s">
        <v>1943</v>
      </c>
      <c r="E816" s="14" t="s">
        <v>7256</v>
      </c>
      <c r="F816" s="14" t="s">
        <v>1944</v>
      </c>
      <c r="G816" s="14" t="s">
        <v>3</v>
      </c>
      <c r="H816" s="14" t="s">
        <v>7257</v>
      </c>
      <c r="I816" s="14" t="s">
        <v>1945</v>
      </c>
      <c r="J816" s="14" t="s">
        <v>60</v>
      </c>
      <c r="K816" s="14" t="s">
        <v>60</v>
      </c>
      <c r="L816" s="14" t="s">
        <v>60</v>
      </c>
      <c r="M816" s="14" t="s">
        <v>7258</v>
      </c>
      <c r="N816" s="14" t="s">
        <v>60</v>
      </c>
      <c r="O816" s="14" t="s">
        <v>193</v>
      </c>
      <c r="P816" s="14" t="s">
        <v>7259</v>
      </c>
      <c r="Q816" s="14" t="s">
        <v>11</v>
      </c>
      <c r="R816" s="3" t="s">
        <v>4170</v>
      </c>
      <c r="S816" s="3">
        <f t="shared" si="40"/>
        <v>550</v>
      </c>
      <c r="T816" s="3">
        <f t="shared" si="41"/>
        <v>17050</v>
      </c>
      <c r="U816" s="3" t="s">
        <v>60</v>
      </c>
      <c r="V816" s="14" t="s">
        <v>6</v>
      </c>
      <c r="W816" s="14" t="s">
        <v>4287</v>
      </c>
      <c r="X816" s="14" t="s">
        <v>60</v>
      </c>
    </row>
    <row r="817" spans="1:24" ht="15" x14ac:dyDescent="0.3">
      <c r="A817" s="3">
        <v>78</v>
      </c>
      <c r="B817" s="3" t="s">
        <v>1993</v>
      </c>
      <c r="C817" s="14" t="s">
        <v>0</v>
      </c>
      <c r="D817" s="14" t="s">
        <v>1994</v>
      </c>
      <c r="E817" s="14" t="s">
        <v>7260</v>
      </c>
      <c r="F817" s="14" t="s">
        <v>1995</v>
      </c>
      <c r="G817" s="14" t="s">
        <v>3</v>
      </c>
      <c r="H817" s="14" t="s">
        <v>7261</v>
      </c>
      <c r="I817" s="14" t="s">
        <v>7262</v>
      </c>
      <c r="J817" s="14" t="s">
        <v>60</v>
      </c>
      <c r="K817" s="14" t="s">
        <v>60</v>
      </c>
      <c r="L817" s="14" t="s">
        <v>60</v>
      </c>
      <c r="M817" s="14" t="s">
        <v>60</v>
      </c>
      <c r="N817" s="14" t="s">
        <v>60</v>
      </c>
      <c r="O817" s="14" t="s">
        <v>60</v>
      </c>
      <c r="P817" s="14" t="s">
        <v>7263</v>
      </c>
      <c r="Q817" s="14" t="s">
        <v>1996</v>
      </c>
      <c r="R817" s="3" t="s">
        <v>4170</v>
      </c>
      <c r="S817" s="3">
        <f t="shared" si="40"/>
        <v>550</v>
      </c>
      <c r="T817" s="3">
        <f t="shared" si="41"/>
        <v>17050</v>
      </c>
      <c r="U817" s="3" t="s">
        <v>60</v>
      </c>
      <c r="V817" s="14" t="s">
        <v>6</v>
      </c>
      <c r="W817" s="14" t="s">
        <v>4287</v>
      </c>
      <c r="X817" s="14" t="s">
        <v>60</v>
      </c>
    </row>
    <row r="818" spans="1:24" ht="15" x14ac:dyDescent="0.3">
      <c r="A818" s="3">
        <v>79</v>
      </c>
      <c r="B818" s="3" t="s">
        <v>7264</v>
      </c>
      <c r="C818" s="14" t="s">
        <v>0</v>
      </c>
      <c r="D818" s="14" t="s">
        <v>1997</v>
      </c>
      <c r="E818" s="14" t="s">
        <v>1998</v>
      </c>
      <c r="F818" s="14" t="s">
        <v>1999</v>
      </c>
      <c r="G818" s="14" t="s">
        <v>3</v>
      </c>
      <c r="H818" s="14" t="s">
        <v>7265</v>
      </c>
      <c r="I818" s="14" t="s">
        <v>7266</v>
      </c>
      <c r="J818" s="14" t="s">
        <v>60</v>
      </c>
      <c r="K818" s="14" t="s">
        <v>60</v>
      </c>
      <c r="L818" s="14" t="s">
        <v>60</v>
      </c>
      <c r="M818" s="14" t="s">
        <v>60</v>
      </c>
      <c r="N818" s="14" t="s">
        <v>60</v>
      </c>
      <c r="O818" s="14" t="s">
        <v>60</v>
      </c>
      <c r="P818" s="14" t="s">
        <v>7267</v>
      </c>
      <c r="Q818" s="14" t="s">
        <v>588</v>
      </c>
      <c r="R818" s="3" t="s">
        <v>4170</v>
      </c>
      <c r="S818" s="3">
        <f t="shared" si="40"/>
        <v>550</v>
      </c>
      <c r="T818" s="3">
        <f t="shared" si="41"/>
        <v>17050</v>
      </c>
      <c r="U818" s="3" t="s">
        <v>60</v>
      </c>
      <c r="V818" s="14" t="s">
        <v>6</v>
      </c>
      <c r="W818" s="14" t="s">
        <v>4287</v>
      </c>
      <c r="X818" s="14" t="s">
        <v>60</v>
      </c>
    </row>
    <row r="819" spans="1:24" ht="15" x14ac:dyDescent="0.3">
      <c r="A819" s="3">
        <v>80</v>
      </c>
      <c r="B819" s="3" t="s">
        <v>7268</v>
      </c>
      <c r="C819" s="14" t="s">
        <v>0</v>
      </c>
      <c r="D819" s="14" t="s">
        <v>1952</v>
      </c>
      <c r="E819" s="14" t="s">
        <v>4293</v>
      </c>
      <c r="F819" s="14" t="s">
        <v>1953</v>
      </c>
      <c r="G819" s="14" t="s">
        <v>3</v>
      </c>
      <c r="H819" s="14" t="s">
        <v>7269</v>
      </c>
      <c r="I819" s="14" t="s">
        <v>1954</v>
      </c>
      <c r="J819" s="14" t="s">
        <v>60</v>
      </c>
      <c r="K819" s="14" t="s">
        <v>60</v>
      </c>
      <c r="L819" s="14" t="s">
        <v>60</v>
      </c>
      <c r="M819" s="14" t="s">
        <v>1955</v>
      </c>
      <c r="N819" s="14" t="s">
        <v>60</v>
      </c>
      <c r="O819" s="14" t="s">
        <v>255</v>
      </c>
      <c r="P819" s="14" t="s">
        <v>7270</v>
      </c>
      <c r="Q819" s="14" t="s">
        <v>11</v>
      </c>
      <c r="R819" s="3" t="s">
        <v>4170</v>
      </c>
      <c r="S819" s="3">
        <f t="shared" si="40"/>
        <v>550</v>
      </c>
      <c r="T819" s="3">
        <f t="shared" si="41"/>
        <v>17050</v>
      </c>
      <c r="U819" s="3" t="s">
        <v>60</v>
      </c>
      <c r="V819" s="14" t="s">
        <v>4208</v>
      </c>
      <c r="W819" s="14" t="s">
        <v>5223</v>
      </c>
      <c r="X819" s="14" t="s">
        <v>60</v>
      </c>
    </row>
    <row r="820" spans="1:24" ht="15" x14ac:dyDescent="0.3">
      <c r="A820" s="3">
        <v>81</v>
      </c>
      <c r="B820" s="3" t="s">
        <v>7271</v>
      </c>
      <c r="C820" s="14" t="s">
        <v>0</v>
      </c>
      <c r="D820" s="14" t="s">
        <v>1956</v>
      </c>
      <c r="E820" s="14" t="s">
        <v>7272</v>
      </c>
      <c r="F820" s="14" t="s">
        <v>1916</v>
      </c>
      <c r="G820" s="14" t="s">
        <v>3</v>
      </c>
      <c r="H820" s="14" t="s">
        <v>7273</v>
      </c>
      <c r="I820" s="14" t="s">
        <v>1957</v>
      </c>
      <c r="J820" s="14" t="s">
        <v>60</v>
      </c>
      <c r="K820" s="14" t="s">
        <v>60</v>
      </c>
      <c r="L820" s="14" t="s">
        <v>60</v>
      </c>
      <c r="M820" s="14" t="s">
        <v>7274</v>
      </c>
      <c r="N820" s="14" t="s">
        <v>60</v>
      </c>
      <c r="O820" s="14" t="s">
        <v>193</v>
      </c>
      <c r="P820" s="14" t="s">
        <v>7275</v>
      </c>
      <c r="Q820" s="14" t="s">
        <v>11</v>
      </c>
      <c r="R820" s="3" t="s">
        <v>4170</v>
      </c>
      <c r="S820" s="3">
        <f t="shared" si="40"/>
        <v>550</v>
      </c>
      <c r="T820" s="3">
        <f t="shared" si="41"/>
        <v>17050</v>
      </c>
      <c r="U820" s="3" t="s">
        <v>60</v>
      </c>
      <c r="V820" s="14" t="s">
        <v>6</v>
      </c>
      <c r="W820" s="14" t="s">
        <v>4287</v>
      </c>
      <c r="X820" s="14" t="s">
        <v>60</v>
      </c>
    </row>
    <row r="821" spans="1:24" ht="15" x14ac:dyDescent="0.3">
      <c r="A821" s="3">
        <v>82</v>
      </c>
      <c r="B821" s="3" t="s">
        <v>7276</v>
      </c>
      <c r="C821" s="14" t="s">
        <v>2079</v>
      </c>
      <c r="D821" s="14" t="s">
        <v>1970</v>
      </c>
      <c r="E821" s="14" t="s">
        <v>4216</v>
      </c>
      <c r="F821" s="14" t="s">
        <v>1971</v>
      </c>
      <c r="G821" s="14" t="s">
        <v>3</v>
      </c>
      <c r="H821" s="14" t="s">
        <v>1972</v>
      </c>
      <c r="I821" s="14" t="s">
        <v>1973</v>
      </c>
      <c r="J821" s="14" t="s">
        <v>60</v>
      </c>
      <c r="K821" s="14" t="s">
        <v>60</v>
      </c>
      <c r="L821" s="14" t="s">
        <v>60</v>
      </c>
      <c r="M821" s="14" t="s">
        <v>7277</v>
      </c>
      <c r="N821" s="14" t="s">
        <v>60</v>
      </c>
      <c r="O821" s="14" t="s">
        <v>193</v>
      </c>
      <c r="P821" s="14" t="s">
        <v>7278</v>
      </c>
      <c r="Q821" s="14" t="s">
        <v>11</v>
      </c>
      <c r="R821" s="3" t="s">
        <v>4170</v>
      </c>
      <c r="S821" s="3">
        <f t="shared" si="40"/>
        <v>640</v>
      </c>
      <c r="T821" s="3">
        <f t="shared" si="41"/>
        <v>19840</v>
      </c>
      <c r="U821" s="3" t="s">
        <v>7279</v>
      </c>
      <c r="V821" s="14" t="s">
        <v>6</v>
      </c>
      <c r="W821" s="14" t="s">
        <v>4287</v>
      </c>
      <c r="X821" s="14" t="s">
        <v>60</v>
      </c>
    </row>
    <row r="822" spans="1:24" ht="15" x14ac:dyDescent="0.3">
      <c r="A822" s="3">
        <v>83</v>
      </c>
      <c r="B822" s="3" t="s">
        <v>7280</v>
      </c>
      <c r="C822" s="14" t="s">
        <v>26</v>
      </c>
      <c r="D822" s="14" t="s">
        <v>1990</v>
      </c>
      <c r="E822" s="14" t="s">
        <v>7281</v>
      </c>
      <c r="F822" s="14" t="s">
        <v>1991</v>
      </c>
      <c r="G822" s="14" t="s">
        <v>3</v>
      </c>
      <c r="H822" s="14" t="s">
        <v>7282</v>
      </c>
      <c r="I822" s="14" t="s">
        <v>1992</v>
      </c>
      <c r="J822" s="14" t="s">
        <v>60</v>
      </c>
      <c r="K822" s="14" t="s">
        <v>60</v>
      </c>
      <c r="L822" s="14" t="s">
        <v>60</v>
      </c>
      <c r="M822" s="14" t="s">
        <v>60</v>
      </c>
      <c r="N822" s="14" t="s">
        <v>60</v>
      </c>
      <c r="O822" s="14" t="s">
        <v>1980</v>
      </c>
      <c r="P822" s="14" t="s">
        <v>7283</v>
      </c>
      <c r="Q822" s="14" t="s">
        <v>11</v>
      </c>
      <c r="R822" s="3" t="s">
        <v>4170</v>
      </c>
      <c r="S822" s="3">
        <f t="shared" si="40"/>
        <v>770</v>
      </c>
      <c r="T822" s="3">
        <f t="shared" si="41"/>
        <v>23870</v>
      </c>
      <c r="U822" s="3" t="s">
        <v>60</v>
      </c>
      <c r="V822" s="14" t="s">
        <v>6</v>
      </c>
      <c r="W822" s="14" t="s">
        <v>4557</v>
      </c>
      <c r="X822" s="14" t="s">
        <v>60</v>
      </c>
    </row>
    <row r="823" spans="1:24" ht="15" x14ac:dyDescent="0.3">
      <c r="A823" s="3">
        <v>84</v>
      </c>
      <c r="B823" s="3" t="s">
        <v>7284</v>
      </c>
      <c r="C823" s="14" t="s">
        <v>0</v>
      </c>
      <c r="D823" s="14" t="s">
        <v>1978</v>
      </c>
      <c r="E823" s="14" t="s">
        <v>7285</v>
      </c>
      <c r="F823" s="14" t="s">
        <v>7286</v>
      </c>
      <c r="G823" s="14" t="s">
        <v>121</v>
      </c>
      <c r="H823" s="14" t="s">
        <v>7287</v>
      </c>
      <c r="I823" s="14" t="s">
        <v>1979</v>
      </c>
      <c r="J823" s="14" t="s">
        <v>60</v>
      </c>
      <c r="K823" s="14" t="s">
        <v>60</v>
      </c>
      <c r="L823" s="14" t="s">
        <v>60</v>
      </c>
      <c r="M823" s="14" t="s">
        <v>60</v>
      </c>
      <c r="N823" s="14" t="s">
        <v>60</v>
      </c>
      <c r="O823" s="14" t="s">
        <v>1980</v>
      </c>
      <c r="P823" s="14" t="s">
        <v>7288</v>
      </c>
      <c r="Q823" s="14" t="s">
        <v>11</v>
      </c>
      <c r="R823" s="3" t="s">
        <v>4170</v>
      </c>
      <c r="S823" s="3">
        <f t="shared" si="40"/>
        <v>550</v>
      </c>
      <c r="T823" s="3">
        <f t="shared" si="41"/>
        <v>17050</v>
      </c>
      <c r="U823" s="3" t="s">
        <v>60</v>
      </c>
      <c r="V823" s="14" t="s">
        <v>6</v>
      </c>
      <c r="W823" s="14" t="s">
        <v>4557</v>
      </c>
      <c r="X823" s="14" t="s">
        <v>60</v>
      </c>
    </row>
    <row r="824" spans="1:24" ht="15" x14ac:dyDescent="0.3">
      <c r="A824" s="3">
        <v>85</v>
      </c>
      <c r="B824" s="3" t="s">
        <v>7289</v>
      </c>
      <c r="C824" s="14" t="s">
        <v>0</v>
      </c>
      <c r="D824" s="14" t="s">
        <v>2000</v>
      </c>
      <c r="E824" s="14" t="s">
        <v>7290</v>
      </c>
      <c r="F824" s="14" t="s">
        <v>2001</v>
      </c>
      <c r="G824" s="14" t="s">
        <v>3</v>
      </c>
      <c r="H824" s="14" t="s">
        <v>2002</v>
      </c>
      <c r="I824" s="14" t="s">
        <v>2003</v>
      </c>
      <c r="J824" s="14" t="s">
        <v>60</v>
      </c>
      <c r="K824" s="14" t="s">
        <v>60</v>
      </c>
      <c r="L824" s="14" t="s">
        <v>60</v>
      </c>
      <c r="M824" s="14" t="s">
        <v>2004</v>
      </c>
      <c r="N824" s="14" t="s">
        <v>60</v>
      </c>
      <c r="O824" s="14" t="s">
        <v>60</v>
      </c>
      <c r="P824" s="14" t="s">
        <v>7291</v>
      </c>
      <c r="Q824" s="14" t="s">
        <v>11</v>
      </c>
      <c r="R824" s="3" t="s">
        <v>4170</v>
      </c>
      <c r="S824" s="3">
        <f t="shared" si="40"/>
        <v>550</v>
      </c>
      <c r="T824" s="3">
        <f t="shared" si="41"/>
        <v>17050</v>
      </c>
      <c r="U824" s="3" t="s">
        <v>60</v>
      </c>
      <c r="V824" s="14" t="s">
        <v>6</v>
      </c>
      <c r="W824" s="14" t="s">
        <v>4634</v>
      </c>
      <c r="X824" s="14" t="s">
        <v>60</v>
      </c>
    </row>
    <row r="825" spans="1:24" ht="15" x14ac:dyDescent="0.3">
      <c r="A825" s="3">
        <v>86</v>
      </c>
      <c r="B825" s="3" t="s">
        <v>7292</v>
      </c>
      <c r="C825" s="14" t="s">
        <v>0</v>
      </c>
      <c r="D825" s="14" t="s">
        <v>3533</v>
      </c>
      <c r="E825" s="30">
        <v>37846</v>
      </c>
      <c r="F825" s="14" t="s">
        <v>3538</v>
      </c>
      <c r="G825" s="14" t="s">
        <v>3</v>
      </c>
      <c r="H825" s="14" t="s">
        <v>7293</v>
      </c>
      <c r="I825" s="14" t="s">
        <v>3652</v>
      </c>
      <c r="J825" s="14" t="s">
        <v>60</v>
      </c>
      <c r="K825" s="14" t="s">
        <v>60</v>
      </c>
      <c r="L825" s="14" t="s">
        <v>60</v>
      </c>
      <c r="M825" s="14" t="s">
        <v>3653</v>
      </c>
      <c r="N825" s="14" t="s">
        <v>60</v>
      </c>
      <c r="O825" s="14" t="s">
        <v>60</v>
      </c>
      <c r="P825" s="14" t="s">
        <v>7294</v>
      </c>
      <c r="Q825" s="14" t="s">
        <v>3531</v>
      </c>
      <c r="R825" s="3" t="s">
        <v>4170</v>
      </c>
      <c r="S825" s="3">
        <f t="shared" si="40"/>
        <v>550</v>
      </c>
      <c r="T825" s="3">
        <f t="shared" si="41"/>
        <v>17050</v>
      </c>
      <c r="U825" s="3" t="s">
        <v>60</v>
      </c>
      <c r="V825" s="14" t="s">
        <v>6</v>
      </c>
      <c r="W825" s="14" t="s">
        <v>7295</v>
      </c>
      <c r="X825" s="14" t="s">
        <v>60</v>
      </c>
    </row>
    <row r="826" spans="1:24" ht="15" x14ac:dyDescent="0.3">
      <c r="A826" s="3">
        <v>87</v>
      </c>
      <c r="B826" s="3" t="s">
        <v>7296</v>
      </c>
      <c r="C826" s="14" t="s">
        <v>0</v>
      </c>
      <c r="D826" s="14" t="s">
        <v>1017</v>
      </c>
      <c r="E826" s="14" t="s">
        <v>7297</v>
      </c>
      <c r="F826" s="14" t="s">
        <v>3968</v>
      </c>
      <c r="G826" s="14" t="s">
        <v>3</v>
      </c>
      <c r="H826" s="14" t="s">
        <v>7298</v>
      </c>
      <c r="I826" s="14" t="s">
        <v>3974</v>
      </c>
      <c r="J826" s="14" t="s">
        <v>60</v>
      </c>
      <c r="K826" s="14" t="s">
        <v>60</v>
      </c>
      <c r="L826" s="14" t="s">
        <v>60</v>
      </c>
      <c r="M826" s="14" t="s">
        <v>3969</v>
      </c>
      <c r="N826" s="14" t="s">
        <v>60</v>
      </c>
      <c r="O826" s="14" t="s">
        <v>3910</v>
      </c>
      <c r="P826" s="14" t="s">
        <v>7299</v>
      </c>
      <c r="Q826" s="14" t="s">
        <v>11</v>
      </c>
      <c r="R826" s="3" t="s">
        <v>4170</v>
      </c>
      <c r="S826" s="3">
        <f t="shared" si="40"/>
        <v>550</v>
      </c>
      <c r="T826" s="3">
        <f t="shared" si="41"/>
        <v>17050</v>
      </c>
      <c r="U826" s="3" t="s">
        <v>60</v>
      </c>
      <c r="V826" s="14" t="s">
        <v>6</v>
      </c>
      <c r="W826" s="14" t="s">
        <v>7300</v>
      </c>
      <c r="X826" s="14" t="s">
        <v>60</v>
      </c>
    </row>
    <row r="827" spans="1:24" ht="15" x14ac:dyDescent="0.3">
      <c r="A827" s="3">
        <v>88</v>
      </c>
      <c r="B827" s="3" t="s">
        <v>7301</v>
      </c>
      <c r="C827" s="14" t="s">
        <v>0</v>
      </c>
      <c r="D827" s="14" t="s">
        <v>3970</v>
      </c>
      <c r="E827" s="14" t="s">
        <v>7302</v>
      </c>
      <c r="F827" s="14" t="s">
        <v>3971</v>
      </c>
      <c r="G827" s="14" t="s">
        <v>3</v>
      </c>
      <c r="H827" s="14" t="s">
        <v>7303</v>
      </c>
      <c r="I827" s="14" t="s">
        <v>3975</v>
      </c>
      <c r="J827" s="14" t="s">
        <v>60</v>
      </c>
      <c r="K827" s="14" t="s">
        <v>60</v>
      </c>
      <c r="L827" s="14" t="s">
        <v>60</v>
      </c>
      <c r="M827" s="14" t="s">
        <v>3972</v>
      </c>
      <c r="N827" s="14" t="s">
        <v>60</v>
      </c>
      <c r="O827" s="14" t="s">
        <v>3910</v>
      </c>
      <c r="P827" s="14" t="s">
        <v>7304</v>
      </c>
      <c r="Q827" s="14" t="s">
        <v>11</v>
      </c>
      <c r="R827" s="3" t="s">
        <v>4170</v>
      </c>
      <c r="S827" s="3">
        <f t="shared" si="40"/>
        <v>550</v>
      </c>
      <c r="T827" s="3">
        <f t="shared" si="41"/>
        <v>17050</v>
      </c>
      <c r="U827" s="3" t="s">
        <v>60</v>
      </c>
      <c r="V827" s="14" t="s">
        <v>6</v>
      </c>
      <c r="W827" s="14" t="s">
        <v>7300</v>
      </c>
      <c r="X827" s="14" t="s">
        <v>60</v>
      </c>
    </row>
    <row r="828" spans="1:24" ht="15" x14ac:dyDescent="0.3">
      <c r="A828" s="3">
        <v>89</v>
      </c>
      <c r="B828" s="3" t="s">
        <v>7305</v>
      </c>
      <c r="C828" s="14" t="s">
        <v>0</v>
      </c>
      <c r="D828" s="14" t="s">
        <v>3973</v>
      </c>
      <c r="E828" s="14" t="s">
        <v>7306</v>
      </c>
      <c r="F828" s="14" t="s">
        <v>3971</v>
      </c>
      <c r="G828" s="14" t="s">
        <v>121</v>
      </c>
      <c r="H828" s="14" t="s">
        <v>7307</v>
      </c>
      <c r="I828" s="14" t="s">
        <v>3976</v>
      </c>
      <c r="J828" s="14" t="s">
        <v>60</v>
      </c>
      <c r="K828" s="14" t="s">
        <v>60</v>
      </c>
      <c r="L828" s="14" t="s">
        <v>60</v>
      </c>
      <c r="M828" s="14" t="s">
        <v>60</v>
      </c>
      <c r="N828" s="14" t="s">
        <v>60</v>
      </c>
      <c r="O828" s="14" t="s">
        <v>3910</v>
      </c>
      <c r="P828" s="14" t="s">
        <v>7308</v>
      </c>
      <c r="Q828" s="14" t="s">
        <v>11</v>
      </c>
      <c r="R828" s="3" t="s">
        <v>4170</v>
      </c>
      <c r="S828" s="3">
        <f t="shared" si="40"/>
        <v>550</v>
      </c>
      <c r="T828" s="3">
        <f t="shared" si="41"/>
        <v>17050</v>
      </c>
      <c r="U828" s="3" t="s">
        <v>60</v>
      </c>
      <c r="V828" s="14" t="s">
        <v>6</v>
      </c>
      <c r="W828" s="14" t="s">
        <v>7300</v>
      </c>
      <c r="X828" s="14" t="s">
        <v>60</v>
      </c>
    </row>
    <row r="829" spans="1:24" ht="15" x14ac:dyDescent="0.3">
      <c r="A829" s="3">
        <v>90</v>
      </c>
      <c r="B829" s="3" t="s">
        <v>7309</v>
      </c>
      <c r="C829" s="32" t="s">
        <v>354</v>
      </c>
      <c r="D829" s="14" t="s">
        <v>2169</v>
      </c>
      <c r="E829" s="14" t="s">
        <v>5390</v>
      </c>
      <c r="F829" s="14" t="s">
        <v>2170</v>
      </c>
      <c r="G829" s="14" t="s">
        <v>3</v>
      </c>
      <c r="H829" s="14" t="s">
        <v>7310</v>
      </c>
      <c r="I829" s="14" t="s">
        <v>7311</v>
      </c>
      <c r="J829" s="14" t="s">
        <v>60</v>
      </c>
      <c r="K829" s="14" t="s">
        <v>60</v>
      </c>
      <c r="L829" s="14" t="s">
        <v>60</v>
      </c>
      <c r="M829" s="14" t="s">
        <v>2171</v>
      </c>
      <c r="N829" s="14" t="s">
        <v>60</v>
      </c>
      <c r="O829" s="14" t="s">
        <v>60</v>
      </c>
      <c r="P829" s="14" t="s">
        <v>7312</v>
      </c>
      <c r="Q829" s="14" t="s">
        <v>11</v>
      </c>
      <c r="R829" s="3" t="s">
        <v>68</v>
      </c>
      <c r="S829" s="3">
        <f t="shared" si="40"/>
        <v>550</v>
      </c>
      <c r="T829" s="3">
        <f t="shared" si="41"/>
        <v>0</v>
      </c>
      <c r="U829" s="3" t="s">
        <v>60</v>
      </c>
      <c r="V829" s="14" t="s">
        <v>6</v>
      </c>
      <c r="W829" s="14" t="s">
        <v>4287</v>
      </c>
      <c r="X829" s="14" t="s">
        <v>60</v>
      </c>
    </row>
    <row r="830" spans="1:24" ht="15.6" x14ac:dyDescent="0.3">
      <c r="A830" s="3">
        <v>91</v>
      </c>
      <c r="B830" s="25" t="s">
        <v>7313</v>
      </c>
      <c r="C830" s="14" t="s">
        <v>0</v>
      </c>
      <c r="D830" s="14" t="s">
        <v>4114</v>
      </c>
      <c r="E830" s="14" t="s">
        <v>7314</v>
      </c>
      <c r="F830" s="14" t="s">
        <v>4115</v>
      </c>
      <c r="G830" s="14" t="s">
        <v>3</v>
      </c>
      <c r="H830" s="14" t="s">
        <v>7315</v>
      </c>
      <c r="I830" s="14" t="s">
        <v>7316</v>
      </c>
      <c r="J830" s="14" t="s">
        <v>60</v>
      </c>
      <c r="K830" s="14" t="s">
        <v>60</v>
      </c>
      <c r="L830" s="14" t="s">
        <v>60</v>
      </c>
      <c r="M830" s="14" t="s">
        <v>7317</v>
      </c>
      <c r="N830" s="14" t="s">
        <v>60</v>
      </c>
      <c r="O830" s="14" t="s">
        <v>60</v>
      </c>
      <c r="P830" s="14" t="s">
        <v>7318</v>
      </c>
      <c r="Q830" s="14" t="s">
        <v>4116</v>
      </c>
      <c r="R830" s="3" t="s">
        <v>6865</v>
      </c>
      <c r="S830" s="3">
        <f t="shared" si="40"/>
        <v>550</v>
      </c>
      <c r="T830" s="3">
        <f t="shared" si="41"/>
        <v>9350</v>
      </c>
      <c r="U830" s="3" t="s">
        <v>60</v>
      </c>
      <c r="V830" s="14" t="s">
        <v>6</v>
      </c>
      <c r="W830" s="14" t="s">
        <v>7319</v>
      </c>
      <c r="X830" s="14" t="s">
        <v>60</v>
      </c>
    </row>
    <row r="831" spans="1:24" ht="15.6" x14ac:dyDescent="0.3">
      <c r="A831" s="3">
        <v>92</v>
      </c>
      <c r="B831" s="25" t="s">
        <v>7320</v>
      </c>
      <c r="C831" s="14" t="s">
        <v>0</v>
      </c>
      <c r="D831" s="14" t="s">
        <v>4117</v>
      </c>
      <c r="E831" s="14" t="s">
        <v>4319</v>
      </c>
      <c r="F831" s="14" t="s">
        <v>4118</v>
      </c>
      <c r="G831" s="14" t="s">
        <v>3</v>
      </c>
      <c r="H831" s="14" t="s">
        <v>7321</v>
      </c>
      <c r="I831" s="14" t="s">
        <v>7322</v>
      </c>
      <c r="J831" s="14" t="s">
        <v>60</v>
      </c>
      <c r="K831" s="14" t="s">
        <v>60</v>
      </c>
      <c r="L831" s="14" t="s">
        <v>60</v>
      </c>
      <c r="M831" s="14" t="s">
        <v>7323</v>
      </c>
      <c r="N831" s="14" t="s">
        <v>60</v>
      </c>
      <c r="O831" s="14" t="s">
        <v>60</v>
      </c>
      <c r="P831" s="14" t="s">
        <v>7324</v>
      </c>
      <c r="Q831" s="14" t="s">
        <v>11</v>
      </c>
      <c r="R831" s="3" t="s">
        <v>6865</v>
      </c>
      <c r="S831" s="3">
        <f t="shared" si="40"/>
        <v>550</v>
      </c>
      <c r="T831" s="3">
        <f t="shared" si="41"/>
        <v>9350</v>
      </c>
      <c r="U831" s="3" t="s">
        <v>60</v>
      </c>
      <c r="V831" s="14" t="s">
        <v>6</v>
      </c>
      <c r="W831" s="14" t="s">
        <v>7319</v>
      </c>
      <c r="X831" s="14" t="s">
        <v>60</v>
      </c>
    </row>
    <row r="832" spans="1:24" ht="15.6" x14ac:dyDescent="0.3">
      <c r="A832" s="3">
        <v>93</v>
      </c>
      <c r="B832" s="25" t="s">
        <v>7325</v>
      </c>
      <c r="C832" s="14" t="s">
        <v>0</v>
      </c>
      <c r="D832" s="14" t="s">
        <v>4119</v>
      </c>
      <c r="E832" s="14" t="s">
        <v>5390</v>
      </c>
      <c r="F832" s="14" t="s">
        <v>4120</v>
      </c>
      <c r="G832" s="14" t="s">
        <v>3</v>
      </c>
      <c r="H832" s="14" t="s">
        <v>7326</v>
      </c>
      <c r="I832" s="14" t="s">
        <v>7327</v>
      </c>
      <c r="J832" s="14" t="s">
        <v>60</v>
      </c>
      <c r="K832" s="14" t="s">
        <v>60</v>
      </c>
      <c r="L832" s="14" t="s">
        <v>60</v>
      </c>
      <c r="M832" s="14" t="s">
        <v>7328</v>
      </c>
      <c r="N832" s="14" t="s">
        <v>60</v>
      </c>
      <c r="O832" s="14" t="s">
        <v>60</v>
      </c>
      <c r="P832" s="14" t="s">
        <v>7329</v>
      </c>
      <c r="Q832" s="14" t="s">
        <v>11</v>
      </c>
      <c r="R832" s="3" t="s">
        <v>6865</v>
      </c>
      <c r="S832" s="3">
        <f t="shared" si="40"/>
        <v>550</v>
      </c>
      <c r="T832" s="3">
        <f t="shared" si="41"/>
        <v>9350</v>
      </c>
      <c r="U832" s="3" t="s">
        <v>60</v>
      </c>
      <c r="V832" s="14" t="s">
        <v>6</v>
      </c>
      <c r="W832" s="14" t="s">
        <v>7319</v>
      </c>
      <c r="X832" s="14" t="s">
        <v>60</v>
      </c>
    </row>
    <row r="833" spans="1:24" ht="15.6" x14ac:dyDescent="0.3">
      <c r="A833" s="3">
        <v>94</v>
      </c>
      <c r="B833" s="25" t="s">
        <v>7330</v>
      </c>
      <c r="C833" s="14" t="s">
        <v>0</v>
      </c>
      <c r="D833" s="14" t="s">
        <v>4121</v>
      </c>
      <c r="E833" s="14" t="s">
        <v>7331</v>
      </c>
      <c r="F833" s="14" t="s">
        <v>4122</v>
      </c>
      <c r="G833" s="14" t="s">
        <v>3</v>
      </c>
      <c r="H833" s="14" t="s">
        <v>4123</v>
      </c>
      <c r="I833" s="14" t="s">
        <v>7332</v>
      </c>
      <c r="J833" s="14" t="s">
        <v>60</v>
      </c>
      <c r="K833" s="14" t="s">
        <v>60</v>
      </c>
      <c r="L833" s="14" t="s">
        <v>60</v>
      </c>
      <c r="M833" s="14" t="s">
        <v>7333</v>
      </c>
      <c r="N833" s="14" t="s">
        <v>60</v>
      </c>
      <c r="O833" s="14" t="s">
        <v>60</v>
      </c>
      <c r="P833" s="14" t="s">
        <v>7334</v>
      </c>
      <c r="Q833" s="14" t="s">
        <v>174</v>
      </c>
      <c r="R833" s="3" t="s">
        <v>6865</v>
      </c>
      <c r="S833" s="3">
        <f t="shared" si="40"/>
        <v>550</v>
      </c>
      <c r="T833" s="3">
        <f t="shared" si="41"/>
        <v>9350</v>
      </c>
      <c r="U833" s="3" t="s">
        <v>7335</v>
      </c>
      <c r="V833" s="14" t="s">
        <v>6</v>
      </c>
      <c r="W833" s="14" t="s">
        <v>7319</v>
      </c>
      <c r="X833" s="14" t="s">
        <v>60</v>
      </c>
    </row>
    <row r="834" spans="1:24" ht="15.6" x14ac:dyDescent="0.3">
      <c r="A834" s="26" t="s">
        <v>60</v>
      </c>
      <c r="B834" s="26" t="s">
        <v>60</v>
      </c>
      <c r="C834" s="27" t="s">
        <v>60</v>
      </c>
      <c r="D834" s="27" t="s">
        <v>60</v>
      </c>
      <c r="E834" s="27" t="s">
        <v>60</v>
      </c>
      <c r="F834" s="27" t="s">
        <v>60</v>
      </c>
      <c r="G834" s="27" t="s">
        <v>60</v>
      </c>
      <c r="H834" s="27" t="s">
        <v>60</v>
      </c>
      <c r="I834" s="27" t="s">
        <v>60</v>
      </c>
      <c r="J834" s="27" t="s">
        <v>60</v>
      </c>
      <c r="K834" s="27" t="s">
        <v>60</v>
      </c>
      <c r="L834" s="27" t="s">
        <v>60</v>
      </c>
      <c r="M834" s="27" t="s">
        <v>60</v>
      </c>
      <c r="N834" s="27" t="s">
        <v>60</v>
      </c>
      <c r="O834" s="27" t="s">
        <v>60</v>
      </c>
      <c r="P834" s="27" t="s">
        <v>60</v>
      </c>
      <c r="Q834" s="27" t="s">
        <v>60</v>
      </c>
      <c r="R834" s="35" t="s">
        <v>2009</v>
      </c>
      <c r="S834" s="35" t="s">
        <v>60</v>
      </c>
      <c r="T834" s="26">
        <f>SUM(T739:T833)</f>
        <v>1532080</v>
      </c>
      <c r="U834" s="26" t="s">
        <v>7336</v>
      </c>
      <c r="V834" s="27" t="s">
        <v>60</v>
      </c>
      <c r="W834" s="27" t="s">
        <v>60</v>
      </c>
      <c r="X834" s="27" t="s">
        <v>60</v>
      </c>
    </row>
    <row r="835" spans="1:24" ht="15.6" x14ac:dyDescent="0.3">
      <c r="A835" s="34" t="s">
        <v>7337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 spans="1:24" ht="109.2" x14ac:dyDescent="0.3">
      <c r="A836" s="23" t="s">
        <v>42</v>
      </c>
      <c r="B836" s="23" t="s">
        <v>43</v>
      </c>
      <c r="C836" s="24" t="s">
        <v>44</v>
      </c>
      <c r="D836" s="24" t="s">
        <v>4154</v>
      </c>
      <c r="E836" s="24" t="s">
        <v>4155</v>
      </c>
      <c r="F836" s="24" t="s">
        <v>4156</v>
      </c>
      <c r="G836" s="24" t="s">
        <v>45</v>
      </c>
      <c r="H836" s="24" t="s">
        <v>4157</v>
      </c>
      <c r="I836" s="24" t="s">
        <v>46</v>
      </c>
      <c r="J836" s="24" t="s">
        <v>4158</v>
      </c>
      <c r="K836" s="24" t="s">
        <v>4159</v>
      </c>
      <c r="L836" s="24" t="s">
        <v>4160</v>
      </c>
      <c r="M836" s="24" t="s">
        <v>4161</v>
      </c>
      <c r="N836" s="24" t="s">
        <v>47</v>
      </c>
      <c r="O836" s="24" t="s">
        <v>48</v>
      </c>
      <c r="P836" s="24" t="s">
        <v>49</v>
      </c>
      <c r="Q836" s="24" t="s">
        <v>50</v>
      </c>
      <c r="R836" s="23" t="s">
        <v>4162</v>
      </c>
      <c r="S836" s="23" t="s">
        <v>4163</v>
      </c>
      <c r="T836" s="23" t="s">
        <v>4164</v>
      </c>
      <c r="U836" s="23" t="s">
        <v>4165</v>
      </c>
      <c r="V836" s="24" t="s">
        <v>51</v>
      </c>
      <c r="W836" s="24" t="s">
        <v>52</v>
      </c>
      <c r="X836" s="24" t="s">
        <v>53</v>
      </c>
    </row>
    <row r="837" spans="1:24" ht="15" x14ac:dyDescent="0.3">
      <c r="A837" s="3">
        <v>1</v>
      </c>
      <c r="B837" s="3" t="s">
        <v>7338</v>
      </c>
      <c r="C837" s="14" t="s">
        <v>69</v>
      </c>
      <c r="D837" s="14" t="s">
        <v>1726</v>
      </c>
      <c r="E837" s="14" t="s">
        <v>5390</v>
      </c>
      <c r="F837" s="14" t="s">
        <v>1727</v>
      </c>
      <c r="G837" s="14" t="s">
        <v>3</v>
      </c>
      <c r="H837" s="14" t="s">
        <v>7339</v>
      </c>
      <c r="I837" s="14" t="s">
        <v>1728</v>
      </c>
      <c r="J837" s="14" t="s">
        <v>60</v>
      </c>
      <c r="K837" s="14" t="s">
        <v>60</v>
      </c>
      <c r="L837" s="14" t="s">
        <v>60</v>
      </c>
      <c r="M837" s="14" t="s">
        <v>7340</v>
      </c>
      <c r="N837" s="14" t="s">
        <v>60</v>
      </c>
      <c r="O837" s="14" t="s">
        <v>193</v>
      </c>
      <c r="P837" s="14" t="s">
        <v>7341</v>
      </c>
      <c r="Q837" s="14" t="s">
        <v>11</v>
      </c>
      <c r="R837" s="3" t="s">
        <v>4170</v>
      </c>
      <c r="S837" s="3">
        <f t="shared" ref="S837:S846" si="42">IF(RIGHT(C837,3)="MAZ",550,IF(RIGHT(C837,4)="MATE",570,IF(RIGHT(C837,7)="SKD-III",640,IF(RIGHT(C837,6)="SKD-II",770,IF(RIGHT(C837,5)="SKD-I",900,IF(RIGHT(C837,5)="CPDVR",770,""))))))</f>
        <v>570</v>
      </c>
      <c r="T837" s="3">
        <f t="shared" ref="T837:T846" si="43">R837*S837</f>
        <v>17670</v>
      </c>
      <c r="U837" s="3" t="s">
        <v>60</v>
      </c>
      <c r="V837" s="14" t="s">
        <v>6</v>
      </c>
      <c r="W837" s="14" t="s">
        <v>4287</v>
      </c>
      <c r="X837" s="14" t="s">
        <v>60</v>
      </c>
    </row>
    <row r="838" spans="1:24" ht="15" x14ac:dyDescent="0.3">
      <c r="A838" s="3">
        <v>2</v>
      </c>
      <c r="B838" s="3" t="s">
        <v>7342</v>
      </c>
      <c r="C838" s="14" t="s">
        <v>0</v>
      </c>
      <c r="D838" s="14" t="s">
        <v>1662</v>
      </c>
      <c r="E838" s="14" t="s">
        <v>1663</v>
      </c>
      <c r="F838" s="14" t="s">
        <v>1664</v>
      </c>
      <c r="G838" s="14" t="s">
        <v>3</v>
      </c>
      <c r="H838" s="14" t="s">
        <v>7343</v>
      </c>
      <c r="I838" s="14" t="s">
        <v>1665</v>
      </c>
      <c r="J838" s="14" t="s">
        <v>60</v>
      </c>
      <c r="K838" s="14" t="s">
        <v>60</v>
      </c>
      <c r="L838" s="14" t="s">
        <v>60</v>
      </c>
      <c r="M838" s="14" t="s">
        <v>1666</v>
      </c>
      <c r="N838" s="14" t="s">
        <v>60</v>
      </c>
      <c r="O838" s="14" t="s">
        <v>193</v>
      </c>
      <c r="P838" s="14" t="s">
        <v>7344</v>
      </c>
      <c r="Q838" s="14" t="s">
        <v>11</v>
      </c>
      <c r="R838" s="3" t="s">
        <v>4170</v>
      </c>
      <c r="S838" s="3">
        <f t="shared" si="42"/>
        <v>550</v>
      </c>
      <c r="T838" s="3">
        <f t="shared" si="43"/>
        <v>17050</v>
      </c>
      <c r="U838" s="3" t="s">
        <v>60</v>
      </c>
      <c r="V838" s="14" t="s">
        <v>6</v>
      </c>
      <c r="W838" s="14" t="s">
        <v>4287</v>
      </c>
      <c r="X838" s="14" t="s">
        <v>60</v>
      </c>
    </row>
    <row r="839" spans="1:24" ht="15" x14ac:dyDescent="0.3">
      <c r="A839" s="3">
        <v>3</v>
      </c>
      <c r="B839" s="3" t="s">
        <v>7345</v>
      </c>
      <c r="C839" s="14" t="s">
        <v>0</v>
      </c>
      <c r="D839" s="14" t="s">
        <v>1667</v>
      </c>
      <c r="E839" s="14" t="s">
        <v>7346</v>
      </c>
      <c r="F839" s="14" t="s">
        <v>1668</v>
      </c>
      <c r="G839" s="14" t="s">
        <v>3</v>
      </c>
      <c r="H839" s="14" t="s">
        <v>7347</v>
      </c>
      <c r="I839" s="14" t="s">
        <v>1669</v>
      </c>
      <c r="J839" s="14" t="s">
        <v>60</v>
      </c>
      <c r="K839" s="14" t="s">
        <v>60</v>
      </c>
      <c r="L839" s="14" t="s">
        <v>60</v>
      </c>
      <c r="M839" s="14" t="s">
        <v>1670</v>
      </c>
      <c r="N839" s="14" t="s">
        <v>60</v>
      </c>
      <c r="O839" s="14" t="s">
        <v>917</v>
      </c>
      <c r="P839" s="14" t="s">
        <v>7348</v>
      </c>
      <c r="Q839" s="14" t="s">
        <v>11</v>
      </c>
      <c r="R839" s="3" t="s">
        <v>4170</v>
      </c>
      <c r="S839" s="3">
        <f t="shared" si="42"/>
        <v>550</v>
      </c>
      <c r="T839" s="3">
        <f t="shared" si="43"/>
        <v>17050</v>
      </c>
      <c r="U839" s="3" t="s">
        <v>60</v>
      </c>
      <c r="V839" s="14" t="s">
        <v>6</v>
      </c>
      <c r="W839" s="14" t="s">
        <v>4565</v>
      </c>
      <c r="X839" s="14" t="s">
        <v>60</v>
      </c>
    </row>
    <row r="840" spans="1:24" ht="15" x14ac:dyDescent="0.3">
      <c r="A840" s="3">
        <v>4</v>
      </c>
      <c r="B840" s="3" t="s">
        <v>1671</v>
      </c>
      <c r="C840" s="14" t="s">
        <v>0</v>
      </c>
      <c r="D840" s="14" t="s">
        <v>1672</v>
      </c>
      <c r="E840" s="14" t="s">
        <v>7349</v>
      </c>
      <c r="F840" s="14" t="s">
        <v>1673</v>
      </c>
      <c r="G840" s="14" t="s">
        <v>3</v>
      </c>
      <c r="H840" s="14" t="s">
        <v>7350</v>
      </c>
      <c r="I840" s="14" t="s">
        <v>1674</v>
      </c>
      <c r="J840" s="14" t="s">
        <v>60</v>
      </c>
      <c r="K840" s="14" t="s">
        <v>60</v>
      </c>
      <c r="L840" s="14" t="s">
        <v>60</v>
      </c>
      <c r="M840" s="14" t="s">
        <v>1675</v>
      </c>
      <c r="N840" s="14" t="s">
        <v>60</v>
      </c>
      <c r="O840" s="14" t="s">
        <v>193</v>
      </c>
      <c r="P840" s="14" t="s">
        <v>7351</v>
      </c>
      <c r="Q840" s="14" t="s">
        <v>1676</v>
      </c>
      <c r="R840" s="3" t="s">
        <v>4300</v>
      </c>
      <c r="S840" s="3">
        <f t="shared" si="42"/>
        <v>550</v>
      </c>
      <c r="T840" s="3">
        <f t="shared" si="43"/>
        <v>15950</v>
      </c>
      <c r="U840" s="3" t="s">
        <v>60</v>
      </c>
      <c r="V840" s="14" t="s">
        <v>6</v>
      </c>
      <c r="W840" s="14" t="s">
        <v>4287</v>
      </c>
      <c r="X840" s="14" t="s">
        <v>60</v>
      </c>
    </row>
    <row r="841" spans="1:24" ht="15" x14ac:dyDescent="0.3">
      <c r="A841" s="3">
        <v>5</v>
      </c>
      <c r="B841" s="3" t="s">
        <v>7352</v>
      </c>
      <c r="C841" s="14" t="s">
        <v>0</v>
      </c>
      <c r="D841" s="14" t="s">
        <v>1647</v>
      </c>
      <c r="E841" s="14" t="s">
        <v>7353</v>
      </c>
      <c r="F841" s="14" t="s">
        <v>1682</v>
      </c>
      <c r="G841" s="14" t="s">
        <v>3</v>
      </c>
      <c r="H841" s="14" t="s">
        <v>7354</v>
      </c>
      <c r="I841" s="14" t="s">
        <v>1683</v>
      </c>
      <c r="J841" s="14" t="s">
        <v>60</v>
      </c>
      <c r="K841" s="14" t="s">
        <v>60</v>
      </c>
      <c r="L841" s="14" t="s">
        <v>60</v>
      </c>
      <c r="M841" s="14" t="s">
        <v>1684</v>
      </c>
      <c r="N841" s="14" t="s">
        <v>60</v>
      </c>
      <c r="O841" s="14" t="s">
        <v>193</v>
      </c>
      <c r="P841" s="14" t="s">
        <v>7355</v>
      </c>
      <c r="Q841" s="14" t="s">
        <v>1676</v>
      </c>
      <c r="R841" s="3" t="s">
        <v>5244</v>
      </c>
      <c r="S841" s="3">
        <f t="shared" si="42"/>
        <v>550</v>
      </c>
      <c r="T841" s="3">
        <f t="shared" si="43"/>
        <v>14850</v>
      </c>
      <c r="U841" s="3" t="s">
        <v>60</v>
      </c>
      <c r="V841" s="14" t="s">
        <v>6</v>
      </c>
      <c r="W841" s="14" t="s">
        <v>4287</v>
      </c>
      <c r="X841" s="14" t="s">
        <v>60</v>
      </c>
    </row>
    <row r="842" spans="1:24" ht="15" x14ac:dyDescent="0.3">
      <c r="A842" s="3">
        <v>6</v>
      </c>
      <c r="B842" s="3" t="s">
        <v>7356</v>
      </c>
      <c r="C842" s="14" t="s">
        <v>0</v>
      </c>
      <c r="D842" s="14" t="s">
        <v>1685</v>
      </c>
      <c r="E842" s="14" t="s">
        <v>7357</v>
      </c>
      <c r="F842" s="14" t="s">
        <v>1686</v>
      </c>
      <c r="G842" s="14" t="s">
        <v>3</v>
      </c>
      <c r="H842" s="14" t="s">
        <v>7358</v>
      </c>
      <c r="I842" s="14" t="s">
        <v>1687</v>
      </c>
      <c r="J842" s="14" t="s">
        <v>60</v>
      </c>
      <c r="K842" s="14" t="s">
        <v>60</v>
      </c>
      <c r="L842" s="14" t="s">
        <v>60</v>
      </c>
      <c r="M842" s="14" t="s">
        <v>7359</v>
      </c>
      <c r="N842" s="14" t="s">
        <v>60</v>
      </c>
      <c r="O842" s="14" t="s">
        <v>193</v>
      </c>
      <c r="P842" s="14" t="s">
        <v>7360</v>
      </c>
      <c r="Q842" s="14" t="s">
        <v>185</v>
      </c>
      <c r="R842" s="3" t="s">
        <v>4170</v>
      </c>
      <c r="S842" s="3">
        <f t="shared" si="42"/>
        <v>550</v>
      </c>
      <c r="T842" s="3">
        <f t="shared" si="43"/>
        <v>17050</v>
      </c>
      <c r="U842" s="3" t="s">
        <v>60</v>
      </c>
      <c r="V842" s="14" t="s">
        <v>6</v>
      </c>
      <c r="W842" s="14" t="s">
        <v>4287</v>
      </c>
      <c r="X842" s="14" t="s">
        <v>60</v>
      </c>
    </row>
    <row r="843" spans="1:24" ht="15" x14ac:dyDescent="0.3">
      <c r="A843" s="3">
        <v>7</v>
      </c>
      <c r="B843" s="3" t="s">
        <v>7361</v>
      </c>
      <c r="C843" s="14" t="s">
        <v>0</v>
      </c>
      <c r="D843" s="14" t="s">
        <v>1688</v>
      </c>
      <c r="E843" s="14" t="s">
        <v>7362</v>
      </c>
      <c r="F843" s="14" t="s">
        <v>178</v>
      </c>
      <c r="G843" s="14" t="s">
        <v>3</v>
      </c>
      <c r="H843" s="14" t="s">
        <v>7363</v>
      </c>
      <c r="I843" s="14" t="s">
        <v>1689</v>
      </c>
      <c r="J843" s="14" t="s">
        <v>60</v>
      </c>
      <c r="K843" s="14" t="s">
        <v>60</v>
      </c>
      <c r="L843" s="14" t="s">
        <v>60</v>
      </c>
      <c r="M843" s="14" t="s">
        <v>1690</v>
      </c>
      <c r="N843" s="14" t="s">
        <v>60</v>
      </c>
      <c r="O843" s="14" t="s">
        <v>193</v>
      </c>
      <c r="P843" s="14" t="s">
        <v>7364</v>
      </c>
      <c r="Q843" s="14" t="s">
        <v>11</v>
      </c>
      <c r="R843" s="3" t="s">
        <v>4170</v>
      </c>
      <c r="S843" s="3">
        <f t="shared" si="42"/>
        <v>550</v>
      </c>
      <c r="T843" s="3">
        <f t="shared" si="43"/>
        <v>17050</v>
      </c>
      <c r="U843" s="3" t="s">
        <v>60</v>
      </c>
      <c r="V843" s="14" t="s">
        <v>6</v>
      </c>
      <c r="W843" s="14" t="s">
        <v>4287</v>
      </c>
      <c r="X843" s="14" t="s">
        <v>60</v>
      </c>
    </row>
    <row r="844" spans="1:24" ht="15" x14ac:dyDescent="0.3">
      <c r="A844" s="3">
        <v>8</v>
      </c>
      <c r="B844" s="3" t="s">
        <v>1695</v>
      </c>
      <c r="C844" s="14" t="s">
        <v>0</v>
      </c>
      <c r="D844" s="14" t="s">
        <v>1696</v>
      </c>
      <c r="E844" s="14" t="s">
        <v>7365</v>
      </c>
      <c r="F844" s="14" t="s">
        <v>1697</v>
      </c>
      <c r="G844" s="14" t="s">
        <v>3</v>
      </c>
      <c r="H844" s="14" t="s">
        <v>7366</v>
      </c>
      <c r="I844" s="14" t="s">
        <v>1698</v>
      </c>
      <c r="J844" s="14" t="s">
        <v>60</v>
      </c>
      <c r="K844" s="14" t="s">
        <v>60</v>
      </c>
      <c r="L844" s="14" t="s">
        <v>60</v>
      </c>
      <c r="M844" s="14" t="s">
        <v>1699</v>
      </c>
      <c r="N844" s="14" t="s">
        <v>60</v>
      </c>
      <c r="O844" s="14" t="s">
        <v>193</v>
      </c>
      <c r="P844" s="14" t="s">
        <v>7367</v>
      </c>
      <c r="Q844" s="14" t="s">
        <v>1676</v>
      </c>
      <c r="R844" s="3" t="s">
        <v>4300</v>
      </c>
      <c r="S844" s="3">
        <f t="shared" si="42"/>
        <v>550</v>
      </c>
      <c r="T844" s="3">
        <f t="shared" si="43"/>
        <v>15950</v>
      </c>
      <c r="U844" s="3" t="s">
        <v>60</v>
      </c>
      <c r="V844" s="14" t="s">
        <v>6</v>
      </c>
      <c r="W844" s="14" t="s">
        <v>4287</v>
      </c>
      <c r="X844" s="14" t="s">
        <v>60</v>
      </c>
    </row>
    <row r="845" spans="1:24" ht="15" x14ac:dyDescent="0.3">
      <c r="A845" s="3">
        <v>9</v>
      </c>
      <c r="B845" s="3" t="s">
        <v>7368</v>
      </c>
      <c r="C845" s="14" t="s">
        <v>0</v>
      </c>
      <c r="D845" s="14" t="s">
        <v>1700</v>
      </c>
      <c r="E845" s="14" t="s">
        <v>7369</v>
      </c>
      <c r="F845" s="14" t="s">
        <v>1701</v>
      </c>
      <c r="G845" s="14" t="s">
        <v>3</v>
      </c>
      <c r="H845" s="14" t="s">
        <v>7370</v>
      </c>
      <c r="I845" s="14" t="s">
        <v>1702</v>
      </c>
      <c r="J845" s="14" t="s">
        <v>60</v>
      </c>
      <c r="K845" s="14" t="s">
        <v>60</v>
      </c>
      <c r="L845" s="14" t="s">
        <v>60</v>
      </c>
      <c r="M845" s="14" t="s">
        <v>1703</v>
      </c>
      <c r="N845" s="14" t="s">
        <v>60</v>
      </c>
      <c r="O845" s="14" t="s">
        <v>1704</v>
      </c>
      <c r="P845" s="14" t="s">
        <v>7371</v>
      </c>
      <c r="Q845" s="14" t="s">
        <v>11</v>
      </c>
      <c r="R845" s="3" t="s">
        <v>4170</v>
      </c>
      <c r="S845" s="3">
        <f t="shared" si="42"/>
        <v>550</v>
      </c>
      <c r="T845" s="3">
        <f t="shared" si="43"/>
        <v>17050</v>
      </c>
      <c r="U845" s="3" t="s">
        <v>60</v>
      </c>
      <c r="V845" s="14" t="s">
        <v>6</v>
      </c>
      <c r="W845" s="14" t="s">
        <v>4287</v>
      </c>
      <c r="X845" s="14" t="s">
        <v>60</v>
      </c>
    </row>
    <row r="846" spans="1:24" ht="15" x14ac:dyDescent="0.3">
      <c r="A846" s="3">
        <v>10</v>
      </c>
      <c r="B846" s="3" t="s">
        <v>7372</v>
      </c>
      <c r="C846" s="14" t="s">
        <v>0</v>
      </c>
      <c r="D846" s="14" t="s">
        <v>1710</v>
      </c>
      <c r="E846" s="14" t="s">
        <v>7373</v>
      </c>
      <c r="F846" s="14" t="s">
        <v>1228</v>
      </c>
      <c r="G846" s="14" t="s">
        <v>3</v>
      </c>
      <c r="H846" s="14" t="s">
        <v>7374</v>
      </c>
      <c r="I846" s="14" t="s">
        <v>1711</v>
      </c>
      <c r="J846" s="14" t="s">
        <v>60</v>
      </c>
      <c r="K846" s="14" t="s">
        <v>60</v>
      </c>
      <c r="L846" s="14" t="s">
        <v>60</v>
      </c>
      <c r="M846" s="14" t="s">
        <v>1712</v>
      </c>
      <c r="N846" s="14" t="s">
        <v>60</v>
      </c>
      <c r="O846" s="14" t="s">
        <v>255</v>
      </c>
      <c r="P846" s="14" t="s">
        <v>7375</v>
      </c>
      <c r="Q846" s="14" t="s">
        <v>11</v>
      </c>
      <c r="R846" s="3" t="s">
        <v>4170</v>
      </c>
      <c r="S846" s="3">
        <f t="shared" si="42"/>
        <v>550</v>
      </c>
      <c r="T846" s="3">
        <f t="shared" si="43"/>
        <v>17050</v>
      </c>
      <c r="U846" s="3" t="s">
        <v>7376</v>
      </c>
      <c r="V846" s="14" t="s">
        <v>4208</v>
      </c>
      <c r="W846" s="14" t="s">
        <v>5223</v>
      </c>
      <c r="X846" s="14" t="s">
        <v>60</v>
      </c>
    </row>
    <row r="847" spans="1:24" ht="15.6" x14ac:dyDescent="0.3">
      <c r="A847" s="26" t="s">
        <v>60</v>
      </c>
      <c r="B847" s="26" t="s">
        <v>60</v>
      </c>
      <c r="C847" s="27" t="s">
        <v>60</v>
      </c>
      <c r="D847" s="27" t="s">
        <v>60</v>
      </c>
      <c r="E847" s="27" t="s">
        <v>60</v>
      </c>
      <c r="F847" s="27" t="s">
        <v>60</v>
      </c>
      <c r="G847" s="27" t="s">
        <v>60</v>
      </c>
      <c r="H847" s="27" t="s">
        <v>60</v>
      </c>
      <c r="I847" s="27" t="s">
        <v>60</v>
      </c>
      <c r="J847" s="27" t="s">
        <v>60</v>
      </c>
      <c r="K847" s="27" t="s">
        <v>60</v>
      </c>
      <c r="L847" s="27" t="s">
        <v>60</v>
      </c>
      <c r="M847" s="27" t="s">
        <v>60</v>
      </c>
      <c r="N847" s="27" t="s">
        <v>60</v>
      </c>
      <c r="O847" s="27" t="s">
        <v>60</v>
      </c>
      <c r="P847" s="27" t="s">
        <v>60</v>
      </c>
      <c r="Q847" s="27" t="s">
        <v>60</v>
      </c>
      <c r="R847" s="35" t="s">
        <v>2009</v>
      </c>
      <c r="S847" s="35" t="s">
        <v>60</v>
      </c>
      <c r="T847" s="26">
        <f>SUM(T836:T846)</f>
        <v>166720</v>
      </c>
      <c r="U847" s="26" t="s">
        <v>7376</v>
      </c>
      <c r="V847" s="27" t="s">
        <v>60</v>
      </c>
      <c r="W847" s="27" t="s">
        <v>60</v>
      </c>
      <c r="X847" s="27" t="s">
        <v>60</v>
      </c>
    </row>
    <row r="848" spans="1:24" ht="15.6" x14ac:dyDescent="0.3">
      <c r="A848" s="34" t="s">
        <v>7377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 spans="1:24" ht="109.2" x14ac:dyDescent="0.3">
      <c r="A849" s="23" t="s">
        <v>42</v>
      </c>
      <c r="B849" s="23" t="s">
        <v>43</v>
      </c>
      <c r="C849" s="24" t="s">
        <v>44</v>
      </c>
      <c r="D849" s="24" t="s">
        <v>4154</v>
      </c>
      <c r="E849" s="24" t="s">
        <v>4155</v>
      </c>
      <c r="F849" s="24" t="s">
        <v>4156</v>
      </c>
      <c r="G849" s="24" t="s">
        <v>45</v>
      </c>
      <c r="H849" s="24" t="s">
        <v>4157</v>
      </c>
      <c r="I849" s="24" t="s">
        <v>46</v>
      </c>
      <c r="J849" s="24" t="s">
        <v>4158</v>
      </c>
      <c r="K849" s="24" t="s">
        <v>4159</v>
      </c>
      <c r="L849" s="24" t="s">
        <v>4160</v>
      </c>
      <c r="M849" s="24" t="s">
        <v>4161</v>
      </c>
      <c r="N849" s="24" t="s">
        <v>47</v>
      </c>
      <c r="O849" s="24" t="s">
        <v>48</v>
      </c>
      <c r="P849" s="24" t="s">
        <v>49</v>
      </c>
      <c r="Q849" s="24" t="s">
        <v>50</v>
      </c>
      <c r="R849" s="23" t="s">
        <v>4162</v>
      </c>
      <c r="S849" s="23" t="s">
        <v>4163</v>
      </c>
      <c r="T849" s="23" t="s">
        <v>4164</v>
      </c>
      <c r="U849" s="23" t="s">
        <v>4165</v>
      </c>
      <c r="V849" s="24" t="s">
        <v>51</v>
      </c>
      <c r="W849" s="24" t="s">
        <v>52</v>
      </c>
      <c r="X849" s="24" t="s">
        <v>53</v>
      </c>
    </row>
    <row r="850" spans="1:24" ht="15" x14ac:dyDescent="0.3">
      <c r="A850" s="3">
        <v>1</v>
      </c>
      <c r="B850" s="3" t="s">
        <v>7378</v>
      </c>
      <c r="C850" s="14" t="s">
        <v>69</v>
      </c>
      <c r="D850" s="14" t="s">
        <v>1895</v>
      </c>
      <c r="E850" s="14" t="s">
        <v>7379</v>
      </c>
      <c r="F850" s="14" t="s">
        <v>1896</v>
      </c>
      <c r="G850" s="14" t="s">
        <v>3</v>
      </c>
      <c r="H850" s="14" t="s">
        <v>7380</v>
      </c>
      <c r="I850" s="14" t="s">
        <v>1897</v>
      </c>
      <c r="J850" s="14" t="s">
        <v>60</v>
      </c>
      <c r="K850" s="14" t="s">
        <v>60</v>
      </c>
      <c r="L850" s="14" t="s">
        <v>60</v>
      </c>
      <c r="M850" s="14" t="s">
        <v>1898</v>
      </c>
      <c r="N850" s="14" t="s">
        <v>60</v>
      </c>
      <c r="O850" s="14" t="s">
        <v>193</v>
      </c>
      <c r="P850" s="14" t="s">
        <v>7381</v>
      </c>
      <c r="Q850" s="14" t="s">
        <v>11</v>
      </c>
      <c r="R850" s="3" t="s">
        <v>4170</v>
      </c>
      <c r="S850" s="3">
        <f t="shared" ref="S850:S863" si="44">IF(RIGHT(C850,3)="MAZ",550,IF(RIGHT(C850,4)="MATE",570,IF(RIGHT(C850,7)="SKD-III",640,IF(RIGHT(C850,6)="SKD-II",770,IF(RIGHT(C850,5)="SKD-I",900,IF(RIGHT(C850,5)="CPDVR",770,""))))))</f>
        <v>570</v>
      </c>
      <c r="T850" s="3">
        <f t="shared" ref="T850:T863" si="45">R850*S850</f>
        <v>17670</v>
      </c>
      <c r="U850" s="3" t="s">
        <v>60</v>
      </c>
      <c r="V850" s="14" t="s">
        <v>6</v>
      </c>
      <c r="W850" s="14" t="s">
        <v>4287</v>
      </c>
      <c r="X850" s="14" t="s">
        <v>60</v>
      </c>
    </row>
    <row r="851" spans="1:24" ht="15" x14ac:dyDescent="0.3">
      <c r="A851" s="3">
        <v>2</v>
      </c>
      <c r="B851" s="3" t="s">
        <v>7382</v>
      </c>
      <c r="C851" s="14" t="s">
        <v>14</v>
      </c>
      <c r="D851" s="14" t="s">
        <v>1876</v>
      </c>
      <c r="E851" s="14" t="s">
        <v>7383</v>
      </c>
      <c r="F851" s="14" t="s">
        <v>1877</v>
      </c>
      <c r="G851" s="14" t="s">
        <v>3</v>
      </c>
      <c r="H851" s="14" t="s">
        <v>1878</v>
      </c>
      <c r="I851" s="14" t="s">
        <v>1879</v>
      </c>
      <c r="J851" s="14" t="s">
        <v>60</v>
      </c>
      <c r="K851" s="14" t="s">
        <v>60</v>
      </c>
      <c r="L851" s="14" t="s">
        <v>60</v>
      </c>
      <c r="M851" s="14" t="s">
        <v>1880</v>
      </c>
      <c r="N851" s="14" t="s">
        <v>60</v>
      </c>
      <c r="O851" s="14" t="s">
        <v>193</v>
      </c>
      <c r="P851" s="14" t="s">
        <v>7384</v>
      </c>
      <c r="Q851" s="14" t="s">
        <v>11</v>
      </c>
      <c r="R851" s="3" t="s">
        <v>4170</v>
      </c>
      <c r="S851" s="3">
        <f t="shared" si="44"/>
        <v>640</v>
      </c>
      <c r="T851" s="3">
        <f t="shared" si="45"/>
        <v>19840</v>
      </c>
      <c r="U851" s="3" t="s">
        <v>60</v>
      </c>
      <c r="V851" s="14" t="s">
        <v>6</v>
      </c>
      <c r="W851" s="14" t="s">
        <v>4287</v>
      </c>
      <c r="X851" s="14" t="s">
        <v>60</v>
      </c>
    </row>
    <row r="852" spans="1:24" ht="15" x14ac:dyDescent="0.3">
      <c r="A852" s="3">
        <v>3</v>
      </c>
      <c r="B852" s="3" t="s">
        <v>1906</v>
      </c>
      <c r="C852" s="14" t="s">
        <v>14</v>
      </c>
      <c r="D852" s="14" t="s">
        <v>1907</v>
      </c>
      <c r="E852" s="14" t="s">
        <v>4644</v>
      </c>
      <c r="F852" s="14" t="s">
        <v>1908</v>
      </c>
      <c r="G852" s="14" t="s">
        <v>3</v>
      </c>
      <c r="H852" s="14" t="s">
        <v>1909</v>
      </c>
      <c r="I852" s="14" t="s">
        <v>1910</v>
      </c>
      <c r="J852" s="14" t="s">
        <v>60</v>
      </c>
      <c r="K852" s="14" t="s">
        <v>60</v>
      </c>
      <c r="L852" s="14" t="s">
        <v>60</v>
      </c>
      <c r="M852" s="14" t="s">
        <v>1911</v>
      </c>
      <c r="N852" s="14" t="s">
        <v>60</v>
      </c>
      <c r="O852" s="14" t="s">
        <v>193</v>
      </c>
      <c r="P852" s="14" t="s">
        <v>7385</v>
      </c>
      <c r="Q852" s="14" t="s">
        <v>1676</v>
      </c>
      <c r="R852" s="3" t="s">
        <v>4170</v>
      </c>
      <c r="S852" s="3">
        <f t="shared" si="44"/>
        <v>640</v>
      </c>
      <c r="T852" s="3">
        <f t="shared" si="45"/>
        <v>19840</v>
      </c>
      <c r="U852" s="3" t="s">
        <v>60</v>
      </c>
      <c r="V852" s="14" t="s">
        <v>6</v>
      </c>
      <c r="W852" s="14" t="s">
        <v>4287</v>
      </c>
      <c r="X852" s="14" t="s">
        <v>60</v>
      </c>
    </row>
    <row r="853" spans="1:24" ht="15.6" x14ac:dyDescent="0.3">
      <c r="A853" s="3">
        <v>4</v>
      </c>
      <c r="B853" s="25" t="s">
        <v>7386</v>
      </c>
      <c r="C853" s="14" t="s">
        <v>0</v>
      </c>
      <c r="D853" s="14" t="s">
        <v>1922</v>
      </c>
      <c r="E853" s="14" t="s">
        <v>7387</v>
      </c>
      <c r="F853" s="14" t="s">
        <v>1923</v>
      </c>
      <c r="G853" s="14" t="s">
        <v>3</v>
      </c>
      <c r="H853" s="14" t="s">
        <v>1924</v>
      </c>
      <c r="I853" s="14" t="s">
        <v>7388</v>
      </c>
      <c r="J853" s="14" t="s">
        <v>60</v>
      </c>
      <c r="K853" s="14" t="s">
        <v>60</v>
      </c>
      <c r="L853" s="14" t="s">
        <v>60</v>
      </c>
      <c r="M853" s="14" t="s">
        <v>1925</v>
      </c>
      <c r="N853" s="14" t="s">
        <v>60</v>
      </c>
      <c r="O853" s="14" t="s">
        <v>193</v>
      </c>
      <c r="P853" s="14" t="s">
        <v>7389</v>
      </c>
      <c r="Q853" s="14" t="s">
        <v>11</v>
      </c>
      <c r="R853" s="3" t="s">
        <v>4311</v>
      </c>
      <c r="S853" s="3">
        <f t="shared" si="44"/>
        <v>550</v>
      </c>
      <c r="T853" s="3">
        <f t="shared" si="45"/>
        <v>16500</v>
      </c>
      <c r="U853" s="3" t="s">
        <v>60</v>
      </c>
      <c r="V853" s="14" t="s">
        <v>6</v>
      </c>
      <c r="W853" s="14" t="s">
        <v>4495</v>
      </c>
      <c r="X853" s="14" t="s">
        <v>60</v>
      </c>
    </row>
    <row r="854" spans="1:24" ht="15.6" x14ac:dyDescent="0.3">
      <c r="A854" s="3">
        <v>5</v>
      </c>
      <c r="B854" s="25" t="s">
        <v>7390</v>
      </c>
      <c r="C854" s="14" t="s">
        <v>0</v>
      </c>
      <c r="D854" s="14" t="s">
        <v>2813</v>
      </c>
      <c r="E854" s="14" t="s">
        <v>7391</v>
      </c>
      <c r="F854" s="14" t="s">
        <v>4136</v>
      </c>
      <c r="G854" s="14" t="s">
        <v>3</v>
      </c>
      <c r="H854" s="14" t="s">
        <v>7392</v>
      </c>
      <c r="I854" s="14" t="s">
        <v>4142</v>
      </c>
      <c r="J854" s="14" t="s">
        <v>60</v>
      </c>
      <c r="K854" s="14" t="s">
        <v>60</v>
      </c>
      <c r="L854" s="14" t="s">
        <v>60</v>
      </c>
      <c r="M854" s="14" t="s">
        <v>7393</v>
      </c>
      <c r="N854" s="14" t="s">
        <v>60</v>
      </c>
      <c r="O854" s="14" t="s">
        <v>60</v>
      </c>
      <c r="P854" s="14" t="s">
        <v>7394</v>
      </c>
      <c r="Q854" s="14" t="s">
        <v>11</v>
      </c>
      <c r="R854" s="3" t="s">
        <v>4311</v>
      </c>
      <c r="S854" s="3">
        <f t="shared" si="44"/>
        <v>550</v>
      </c>
      <c r="T854" s="3">
        <f t="shared" si="45"/>
        <v>16500</v>
      </c>
      <c r="U854" s="3" t="s">
        <v>60</v>
      </c>
      <c r="V854" s="14" t="s">
        <v>6</v>
      </c>
      <c r="W854" s="14" t="s">
        <v>4495</v>
      </c>
      <c r="X854" s="14" t="s">
        <v>60</v>
      </c>
    </row>
    <row r="855" spans="1:24" ht="15.6" x14ac:dyDescent="0.3">
      <c r="A855" s="3">
        <v>6</v>
      </c>
      <c r="B855" s="25" t="s">
        <v>7395</v>
      </c>
      <c r="C855" s="14" t="s">
        <v>0</v>
      </c>
      <c r="D855" s="14" t="s">
        <v>4143</v>
      </c>
      <c r="E855" s="14" t="s">
        <v>7396</v>
      </c>
      <c r="F855" s="14" t="s">
        <v>4135</v>
      </c>
      <c r="G855" s="14" t="s">
        <v>121</v>
      </c>
      <c r="H855" s="14" t="s">
        <v>7397</v>
      </c>
      <c r="I855" s="14" t="s">
        <v>4144</v>
      </c>
      <c r="J855" s="14" t="s">
        <v>60</v>
      </c>
      <c r="K855" s="14" t="s">
        <v>60</v>
      </c>
      <c r="L855" s="14" t="s">
        <v>60</v>
      </c>
      <c r="M855" s="14" t="s">
        <v>60</v>
      </c>
      <c r="N855" s="14" t="s">
        <v>60</v>
      </c>
      <c r="O855" s="14" t="s">
        <v>60</v>
      </c>
      <c r="P855" s="14" t="s">
        <v>7398</v>
      </c>
      <c r="Q855" s="14" t="s">
        <v>11</v>
      </c>
      <c r="R855" s="3" t="s">
        <v>4311</v>
      </c>
      <c r="S855" s="3">
        <f t="shared" si="44"/>
        <v>550</v>
      </c>
      <c r="T855" s="3">
        <f t="shared" si="45"/>
        <v>16500</v>
      </c>
      <c r="U855" s="3" t="s">
        <v>60</v>
      </c>
      <c r="V855" s="14" t="s">
        <v>6</v>
      </c>
      <c r="W855" s="14" t="s">
        <v>4495</v>
      </c>
      <c r="X855" s="14" t="s">
        <v>60</v>
      </c>
    </row>
    <row r="856" spans="1:24" ht="15.6" x14ac:dyDescent="0.3">
      <c r="A856" s="3">
        <v>7</v>
      </c>
      <c r="B856" s="25" t="s">
        <v>7399</v>
      </c>
      <c r="C856" s="14" t="s">
        <v>0</v>
      </c>
      <c r="D856" s="14" t="s">
        <v>4137</v>
      </c>
      <c r="E856" s="14" t="s">
        <v>7400</v>
      </c>
      <c r="F856" s="14" t="s">
        <v>4125</v>
      </c>
      <c r="G856" s="14" t="s">
        <v>3</v>
      </c>
      <c r="H856" s="14" t="s">
        <v>7401</v>
      </c>
      <c r="I856" s="14" t="s">
        <v>4141</v>
      </c>
      <c r="J856" s="14" t="s">
        <v>60</v>
      </c>
      <c r="K856" s="14" t="s">
        <v>60</v>
      </c>
      <c r="L856" s="14" t="s">
        <v>60</v>
      </c>
      <c r="M856" s="14" t="s">
        <v>7402</v>
      </c>
      <c r="N856" s="14" t="s">
        <v>60</v>
      </c>
      <c r="O856" s="14" t="s">
        <v>60</v>
      </c>
      <c r="P856" s="14" t="s">
        <v>7403</v>
      </c>
      <c r="Q856" s="14" t="s">
        <v>11</v>
      </c>
      <c r="R856" s="3" t="s">
        <v>4443</v>
      </c>
      <c r="S856" s="3">
        <f t="shared" si="44"/>
        <v>550</v>
      </c>
      <c r="T856" s="3">
        <f t="shared" si="45"/>
        <v>11550</v>
      </c>
      <c r="U856" s="3" t="s">
        <v>60</v>
      </c>
      <c r="V856" s="14" t="s">
        <v>6</v>
      </c>
      <c r="W856" s="14" t="s">
        <v>5085</v>
      </c>
      <c r="X856" s="14" t="s">
        <v>60</v>
      </c>
    </row>
    <row r="857" spans="1:24" ht="15.6" x14ac:dyDescent="0.3">
      <c r="A857" s="3">
        <v>8</v>
      </c>
      <c r="B857" s="25" t="s">
        <v>7404</v>
      </c>
      <c r="C857" s="14" t="s">
        <v>0</v>
      </c>
      <c r="D857" s="14" t="s">
        <v>4124</v>
      </c>
      <c r="E857" s="14" t="s">
        <v>7405</v>
      </c>
      <c r="F857" s="14" t="s">
        <v>4125</v>
      </c>
      <c r="G857" s="14" t="s">
        <v>3</v>
      </c>
      <c r="H857" s="14" t="s">
        <v>7406</v>
      </c>
      <c r="I857" s="14" t="s">
        <v>7407</v>
      </c>
      <c r="J857" s="14" t="s">
        <v>60</v>
      </c>
      <c r="K857" s="14" t="s">
        <v>60</v>
      </c>
      <c r="L857" s="14" t="s">
        <v>60</v>
      </c>
      <c r="M857" s="14" t="s">
        <v>7408</v>
      </c>
      <c r="N857" s="14" t="s">
        <v>60</v>
      </c>
      <c r="O857" s="14" t="s">
        <v>60</v>
      </c>
      <c r="P857" s="14" t="s">
        <v>7409</v>
      </c>
      <c r="Q857" s="14" t="s">
        <v>11</v>
      </c>
      <c r="R857" s="3" t="s">
        <v>4443</v>
      </c>
      <c r="S857" s="3">
        <f t="shared" si="44"/>
        <v>550</v>
      </c>
      <c r="T857" s="3">
        <f t="shared" si="45"/>
        <v>11550</v>
      </c>
      <c r="U857" s="3" t="s">
        <v>60</v>
      </c>
      <c r="V857" s="14" t="s">
        <v>6</v>
      </c>
      <c r="W857" s="14" t="s">
        <v>5085</v>
      </c>
      <c r="X857" s="14" t="s">
        <v>60</v>
      </c>
    </row>
    <row r="858" spans="1:24" ht="15.6" x14ac:dyDescent="0.3">
      <c r="A858" s="3">
        <v>9</v>
      </c>
      <c r="B858" s="25" t="s">
        <v>7410</v>
      </c>
      <c r="C858" s="14" t="s">
        <v>0</v>
      </c>
      <c r="D858" s="14" t="s">
        <v>4126</v>
      </c>
      <c r="E858" s="14" t="s">
        <v>5258</v>
      </c>
      <c r="F858" s="14" t="s">
        <v>4118</v>
      </c>
      <c r="G858" s="14" t="s">
        <v>3</v>
      </c>
      <c r="H858" s="14" t="s">
        <v>4139</v>
      </c>
      <c r="I858" s="14" t="s">
        <v>4140</v>
      </c>
      <c r="J858" s="14" t="s">
        <v>60</v>
      </c>
      <c r="K858" s="14" t="s">
        <v>60</v>
      </c>
      <c r="L858" s="14" t="s">
        <v>60</v>
      </c>
      <c r="M858" s="14" t="s">
        <v>7411</v>
      </c>
      <c r="N858" s="14" t="s">
        <v>60</v>
      </c>
      <c r="O858" s="14" t="s">
        <v>60</v>
      </c>
      <c r="P858" s="14" t="s">
        <v>7412</v>
      </c>
      <c r="Q858" s="14" t="s">
        <v>174</v>
      </c>
      <c r="R858" s="3" t="s">
        <v>6865</v>
      </c>
      <c r="S858" s="3">
        <f t="shared" si="44"/>
        <v>550</v>
      </c>
      <c r="T858" s="3">
        <f t="shared" si="45"/>
        <v>9350</v>
      </c>
      <c r="U858" s="3" t="s">
        <v>60</v>
      </c>
      <c r="V858" s="14" t="s">
        <v>6</v>
      </c>
      <c r="W858" s="14" t="s">
        <v>7319</v>
      </c>
      <c r="X858" s="14" t="s">
        <v>60</v>
      </c>
    </row>
    <row r="859" spans="1:24" ht="15.6" x14ac:dyDescent="0.3">
      <c r="A859" s="3">
        <v>10</v>
      </c>
      <c r="B859" s="25" t="s">
        <v>7413</v>
      </c>
      <c r="C859" s="14" t="s">
        <v>0</v>
      </c>
      <c r="D859" s="14" t="s">
        <v>2545</v>
      </c>
      <c r="E859" s="14" t="s">
        <v>4293</v>
      </c>
      <c r="F859" s="14" t="s">
        <v>4127</v>
      </c>
      <c r="G859" s="14" t="s">
        <v>3</v>
      </c>
      <c r="H859" s="14" t="s">
        <v>7414</v>
      </c>
      <c r="I859" s="14" t="s">
        <v>4138</v>
      </c>
      <c r="J859" s="14" t="s">
        <v>60</v>
      </c>
      <c r="K859" s="14" t="s">
        <v>60</v>
      </c>
      <c r="L859" s="14" t="s">
        <v>60</v>
      </c>
      <c r="M859" s="14" t="s">
        <v>7415</v>
      </c>
      <c r="N859" s="14" t="s">
        <v>60</v>
      </c>
      <c r="O859" s="14" t="s">
        <v>60</v>
      </c>
      <c r="P859" s="14" t="s">
        <v>7416</v>
      </c>
      <c r="Q859" s="14" t="s">
        <v>174</v>
      </c>
      <c r="R859" s="3" t="s">
        <v>6865</v>
      </c>
      <c r="S859" s="3">
        <f t="shared" si="44"/>
        <v>550</v>
      </c>
      <c r="T859" s="3">
        <f t="shared" si="45"/>
        <v>9350</v>
      </c>
      <c r="U859" s="3" t="s">
        <v>60</v>
      </c>
      <c r="V859" s="14" t="s">
        <v>6</v>
      </c>
      <c r="W859" s="14" t="s">
        <v>7319</v>
      </c>
      <c r="X859" s="14" t="s">
        <v>60</v>
      </c>
    </row>
    <row r="860" spans="1:24" ht="15.6" x14ac:dyDescent="0.3">
      <c r="A860" s="3">
        <v>11</v>
      </c>
      <c r="B860" s="25" t="s">
        <v>7417</v>
      </c>
      <c r="C860" s="14" t="s">
        <v>0</v>
      </c>
      <c r="D860" s="14" t="s">
        <v>4128</v>
      </c>
      <c r="E860" s="14" t="s">
        <v>7418</v>
      </c>
      <c r="F860" s="14" t="s">
        <v>351</v>
      </c>
      <c r="G860" s="14" t="s">
        <v>3</v>
      </c>
      <c r="H860" s="14" t="s">
        <v>7419</v>
      </c>
      <c r="I860" s="14" t="s">
        <v>4145</v>
      </c>
      <c r="J860" s="14" t="s">
        <v>60</v>
      </c>
      <c r="K860" s="14" t="s">
        <v>60</v>
      </c>
      <c r="L860" s="14" t="s">
        <v>60</v>
      </c>
      <c r="M860" s="14" t="s">
        <v>7420</v>
      </c>
      <c r="N860" s="14" t="s">
        <v>60</v>
      </c>
      <c r="O860" s="14" t="s">
        <v>60</v>
      </c>
      <c r="P860" s="14" t="s">
        <v>7421</v>
      </c>
      <c r="Q860" s="14" t="s">
        <v>761</v>
      </c>
      <c r="R860" s="3" t="s">
        <v>6865</v>
      </c>
      <c r="S860" s="3">
        <f t="shared" si="44"/>
        <v>550</v>
      </c>
      <c r="T860" s="3">
        <f t="shared" si="45"/>
        <v>9350</v>
      </c>
      <c r="U860" s="3" t="s">
        <v>60</v>
      </c>
      <c r="V860" s="14" t="s">
        <v>6</v>
      </c>
      <c r="W860" s="14" t="s">
        <v>7319</v>
      </c>
      <c r="X860" s="14" t="s">
        <v>60</v>
      </c>
    </row>
    <row r="861" spans="1:24" ht="15.6" x14ac:dyDescent="0.3">
      <c r="A861" s="3">
        <v>12</v>
      </c>
      <c r="B861" s="25" t="s">
        <v>7422</v>
      </c>
      <c r="C861" s="14" t="s">
        <v>0</v>
      </c>
      <c r="D861" s="14" t="s">
        <v>4129</v>
      </c>
      <c r="E861" s="14" t="s">
        <v>4319</v>
      </c>
      <c r="F861" s="14" t="s">
        <v>4130</v>
      </c>
      <c r="G861" s="14" t="s">
        <v>3</v>
      </c>
      <c r="H861" s="14" t="s">
        <v>7423</v>
      </c>
      <c r="I861" s="14" t="s">
        <v>4146</v>
      </c>
      <c r="J861" s="14" t="s">
        <v>60</v>
      </c>
      <c r="K861" s="14" t="s">
        <v>60</v>
      </c>
      <c r="L861" s="14" t="s">
        <v>60</v>
      </c>
      <c r="M861" s="14" t="s">
        <v>7424</v>
      </c>
      <c r="N861" s="14" t="s">
        <v>60</v>
      </c>
      <c r="O861" s="14" t="s">
        <v>60</v>
      </c>
      <c r="P861" s="14" t="s">
        <v>7425</v>
      </c>
      <c r="Q861" s="14" t="s">
        <v>11</v>
      </c>
      <c r="R861" s="3" t="s">
        <v>6865</v>
      </c>
      <c r="S861" s="3">
        <f t="shared" si="44"/>
        <v>550</v>
      </c>
      <c r="T861" s="3">
        <f t="shared" si="45"/>
        <v>9350</v>
      </c>
      <c r="U861" s="3" t="s">
        <v>60</v>
      </c>
      <c r="V861" s="14" t="s">
        <v>6</v>
      </c>
      <c r="W861" s="14" t="s">
        <v>7319</v>
      </c>
      <c r="X861" s="14" t="s">
        <v>60</v>
      </c>
    </row>
    <row r="862" spans="1:24" ht="15.6" x14ac:dyDescent="0.3">
      <c r="A862" s="3">
        <v>13</v>
      </c>
      <c r="B862" s="25" t="s">
        <v>7426</v>
      </c>
      <c r="C862" s="14" t="s">
        <v>0</v>
      </c>
      <c r="D862" s="14" t="s">
        <v>4131</v>
      </c>
      <c r="E862" s="14" t="s">
        <v>5008</v>
      </c>
      <c r="F862" s="14" t="s">
        <v>4132</v>
      </c>
      <c r="G862" s="14" t="s">
        <v>3</v>
      </c>
      <c r="H862" s="14" t="s">
        <v>4147</v>
      </c>
      <c r="I862" s="14" t="s">
        <v>4148</v>
      </c>
      <c r="J862" s="14" t="s">
        <v>60</v>
      </c>
      <c r="K862" s="14" t="s">
        <v>60</v>
      </c>
      <c r="L862" s="14" t="s">
        <v>60</v>
      </c>
      <c r="M862" s="14" t="s">
        <v>7333</v>
      </c>
      <c r="N862" s="14" t="s">
        <v>60</v>
      </c>
      <c r="O862" s="14" t="s">
        <v>60</v>
      </c>
      <c r="P862" s="14" t="s">
        <v>7427</v>
      </c>
      <c r="Q862" s="14" t="s">
        <v>11</v>
      </c>
      <c r="R862" s="3" t="s">
        <v>6865</v>
      </c>
      <c r="S862" s="3">
        <f t="shared" si="44"/>
        <v>550</v>
      </c>
      <c r="T862" s="3">
        <f t="shared" si="45"/>
        <v>9350</v>
      </c>
      <c r="U862" s="3" t="s">
        <v>60</v>
      </c>
      <c r="V862" s="14" t="s">
        <v>6</v>
      </c>
      <c r="W862" s="14" t="s">
        <v>7319</v>
      </c>
      <c r="X862" s="14" t="s">
        <v>60</v>
      </c>
    </row>
    <row r="863" spans="1:24" ht="15.6" x14ac:dyDescent="0.3">
      <c r="A863" s="3">
        <v>14</v>
      </c>
      <c r="B863" s="25" t="s">
        <v>7428</v>
      </c>
      <c r="C863" s="14" t="s">
        <v>0</v>
      </c>
      <c r="D863" s="14" t="s">
        <v>4133</v>
      </c>
      <c r="E863" s="14" t="s">
        <v>4367</v>
      </c>
      <c r="F863" s="14" t="s">
        <v>4134</v>
      </c>
      <c r="G863" s="14" t="s">
        <v>3</v>
      </c>
      <c r="H863" s="14" t="s">
        <v>7429</v>
      </c>
      <c r="I863" s="14" t="s">
        <v>4149</v>
      </c>
      <c r="J863" s="14" t="s">
        <v>60</v>
      </c>
      <c r="K863" s="14" t="s">
        <v>60</v>
      </c>
      <c r="L863" s="14" t="s">
        <v>60</v>
      </c>
      <c r="M863" s="14" t="s">
        <v>7430</v>
      </c>
      <c r="N863" s="14" t="s">
        <v>60</v>
      </c>
      <c r="O863" s="14" t="s">
        <v>60</v>
      </c>
      <c r="P863" s="14" t="s">
        <v>7431</v>
      </c>
      <c r="Q863" s="14" t="s">
        <v>11</v>
      </c>
      <c r="R863" s="3" t="s">
        <v>6865</v>
      </c>
      <c r="S863" s="3">
        <f t="shared" si="44"/>
        <v>550</v>
      </c>
      <c r="T863" s="3">
        <f t="shared" si="45"/>
        <v>9350</v>
      </c>
      <c r="U863" s="3" t="s">
        <v>7432</v>
      </c>
      <c r="V863" s="14" t="s">
        <v>6</v>
      </c>
      <c r="W863" s="14" t="s">
        <v>7319</v>
      </c>
      <c r="X863" s="14" t="s">
        <v>60</v>
      </c>
    </row>
    <row r="864" spans="1:24" ht="15.6" x14ac:dyDescent="0.3">
      <c r="A864" s="26" t="s">
        <v>60</v>
      </c>
      <c r="B864" s="26" t="s">
        <v>60</v>
      </c>
      <c r="C864" s="27" t="s">
        <v>60</v>
      </c>
      <c r="D864" s="27" t="s">
        <v>60</v>
      </c>
      <c r="E864" s="27" t="s">
        <v>60</v>
      </c>
      <c r="F864" s="27" t="s">
        <v>60</v>
      </c>
      <c r="G864" s="27" t="s">
        <v>60</v>
      </c>
      <c r="H864" s="27" t="s">
        <v>60</v>
      </c>
      <c r="I864" s="27" t="s">
        <v>60</v>
      </c>
      <c r="J864" s="27" t="s">
        <v>60</v>
      </c>
      <c r="K864" s="27" t="s">
        <v>60</v>
      </c>
      <c r="L864" s="27" t="s">
        <v>60</v>
      </c>
      <c r="M864" s="27" t="s">
        <v>60</v>
      </c>
      <c r="N864" s="27" t="s">
        <v>60</v>
      </c>
      <c r="O864" s="27" t="s">
        <v>60</v>
      </c>
      <c r="P864" s="27" t="s">
        <v>60</v>
      </c>
      <c r="Q864" s="27" t="s">
        <v>60</v>
      </c>
      <c r="R864" s="35" t="s">
        <v>2009</v>
      </c>
      <c r="S864" s="35" t="s">
        <v>60</v>
      </c>
      <c r="T864" s="26">
        <f>SUM(T849:T863)</f>
        <v>186050</v>
      </c>
      <c r="U864" s="26" t="s">
        <v>7432</v>
      </c>
      <c r="V864" s="27" t="s">
        <v>60</v>
      </c>
      <c r="W864" s="27" t="s">
        <v>60</v>
      </c>
      <c r="X864" s="27" t="s">
        <v>60</v>
      </c>
    </row>
    <row r="865" spans="1:24" ht="15.6" x14ac:dyDescent="0.3">
      <c r="A865" s="34" t="s">
        <v>7433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 spans="1:24" ht="109.2" x14ac:dyDescent="0.3">
      <c r="A866" s="23" t="s">
        <v>42</v>
      </c>
      <c r="B866" s="23" t="s">
        <v>43</v>
      </c>
      <c r="C866" s="24" t="s">
        <v>44</v>
      </c>
      <c r="D866" s="24" t="s">
        <v>4154</v>
      </c>
      <c r="E866" s="24" t="s">
        <v>4155</v>
      </c>
      <c r="F866" s="24" t="s">
        <v>4156</v>
      </c>
      <c r="G866" s="24" t="s">
        <v>45</v>
      </c>
      <c r="H866" s="24" t="s">
        <v>4157</v>
      </c>
      <c r="I866" s="24" t="s">
        <v>46</v>
      </c>
      <c r="J866" s="24" t="s">
        <v>4158</v>
      </c>
      <c r="K866" s="24" t="s">
        <v>4159</v>
      </c>
      <c r="L866" s="24" t="s">
        <v>4160</v>
      </c>
      <c r="M866" s="24" t="s">
        <v>4161</v>
      </c>
      <c r="N866" s="24" t="s">
        <v>47</v>
      </c>
      <c r="O866" s="24" t="s">
        <v>48</v>
      </c>
      <c r="P866" s="24" t="s">
        <v>49</v>
      </c>
      <c r="Q866" s="24" t="s">
        <v>50</v>
      </c>
      <c r="R866" s="23" t="s">
        <v>4162</v>
      </c>
      <c r="S866" s="23" t="s">
        <v>4163</v>
      </c>
      <c r="T866" s="23" t="s">
        <v>4164</v>
      </c>
      <c r="U866" s="23" t="s">
        <v>4165</v>
      </c>
      <c r="V866" s="24" t="s">
        <v>51</v>
      </c>
      <c r="W866" s="24" t="s">
        <v>52</v>
      </c>
      <c r="X866" s="24" t="s">
        <v>53</v>
      </c>
    </row>
    <row r="867" spans="1:24" ht="15" x14ac:dyDescent="0.3">
      <c r="A867" s="3">
        <v>1</v>
      </c>
      <c r="B867" s="3" t="s">
        <v>7434</v>
      </c>
      <c r="C867" s="14" t="s">
        <v>0</v>
      </c>
      <c r="D867" s="14" t="s">
        <v>2010</v>
      </c>
      <c r="E867" s="14" t="s">
        <v>7435</v>
      </c>
      <c r="F867" s="14" t="s">
        <v>2011</v>
      </c>
      <c r="G867" s="14" t="s">
        <v>3</v>
      </c>
      <c r="H867" s="14" t="s">
        <v>7436</v>
      </c>
      <c r="I867" s="14" t="s">
        <v>2012</v>
      </c>
      <c r="J867" s="14" t="s">
        <v>60</v>
      </c>
      <c r="K867" s="14" t="s">
        <v>60</v>
      </c>
      <c r="L867" s="14" t="s">
        <v>60</v>
      </c>
      <c r="M867" s="14" t="s">
        <v>60</v>
      </c>
      <c r="N867" s="14" t="s">
        <v>60</v>
      </c>
      <c r="O867" s="14" t="s">
        <v>193</v>
      </c>
      <c r="P867" s="14" t="s">
        <v>7437</v>
      </c>
      <c r="Q867" s="14" t="s">
        <v>11</v>
      </c>
      <c r="R867" s="3" t="s">
        <v>4170</v>
      </c>
      <c r="S867" s="3">
        <f t="shared" ref="S867:S917" si="46">IF(RIGHT(C867,3)="MAZ",550,IF(RIGHT(C867,4)="MATE",570,IF(RIGHT(C867,7)="SKD-III",640,IF(RIGHT(C867,6)="SKD-II",770,IF(RIGHT(C867,5)="SKD-I",900,IF(RIGHT(C867,5)="CPDVR",770,""))))))</f>
        <v>550</v>
      </c>
      <c r="T867" s="3">
        <f t="shared" ref="T867:T917" si="47">R867*S867</f>
        <v>17050</v>
      </c>
      <c r="U867" s="3" t="s">
        <v>60</v>
      </c>
      <c r="V867" s="14" t="s">
        <v>6</v>
      </c>
      <c r="W867" s="14" t="s">
        <v>4287</v>
      </c>
      <c r="X867" s="14" t="s">
        <v>60</v>
      </c>
    </row>
    <row r="868" spans="1:24" ht="15" x14ac:dyDescent="0.3">
      <c r="A868" s="3">
        <v>2</v>
      </c>
      <c r="B868" s="3" t="s">
        <v>7438</v>
      </c>
      <c r="C868" s="14" t="s">
        <v>0</v>
      </c>
      <c r="D868" s="14" t="s">
        <v>2013</v>
      </c>
      <c r="E868" s="14" t="s">
        <v>2014</v>
      </c>
      <c r="F868" s="14" t="s">
        <v>2015</v>
      </c>
      <c r="G868" s="14" t="s">
        <v>3</v>
      </c>
      <c r="H868" s="14" t="s">
        <v>7439</v>
      </c>
      <c r="I868" s="14" t="s">
        <v>2016</v>
      </c>
      <c r="J868" s="14" t="s">
        <v>60</v>
      </c>
      <c r="K868" s="14" t="s">
        <v>60</v>
      </c>
      <c r="L868" s="14" t="s">
        <v>60</v>
      </c>
      <c r="M868" s="14" t="s">
        <v>2017</v>
      </c>
      <c r="N868" s="14" t="s">
        <v>60</v>
      </c>
      <c r="O868" s="14" t="s">
        <v>193</v>
      </c>
      <c r="P868" s="14" t="s">
        <v>7440</v>
      </c>
      <c r="Q868" s="14" t="s">
        <v>11</v>
      </c>
      <c r="R868" s="3" t="s">
        <v>4170</v>
      </c>
      <c r="S868" s="3">
        <f t="shared" si="46"/>
        <v>550</v>
      </c>
      <c r="T868" s="3">
        <f t="shared" si="47"/>
        <v>17050</v>
      </c>
      <c r="U868" s="3" t="s">
        <v>60</v>
      </c>
      <c r="V868" s="14" t="s">
        <v>6</v>
      </c>
      <c r="W868" s="14" t="s">
        <v>4287</v>
      </c>
      <c r="X868" s="14" t="s">
        <v>60</v>
      </c>
    </row>
    <row r="869" spans="1:24" ht="15" x14ac:dyDescent="0.3">
      <c r="A869" s="3">
        <v>3</v>
      </c>
      <c r="B869" s="3" t="s">
        <v>2018</v>
      </c>
      <c r="C869" s="14" t="s">
        <v>0</v>
      </c>
      <c r="D869" s="14" t="s">
        <v>2019</v>
      </c>
      <c r="E869" s="14" t="s">
        <v>7441</v>
      </c>
      <c r="F869" s="14" t="s">
        <v>2020</v>
      </c>
      <c r="G869" s="14" t="s">
        <v>3</v>
      </c>
      <c r="H869" s="14" t="s">
        <v>7442</v>
      </c>
      <c r="I869" s="14" t="s">
        <v>2021</v>
      </c>
      <c r="J869" s="14" t="s">
        <v>60</v>
      </c>
      <c r="K869" s="14" t="s">
        <v>60</v>
      </c>
      <c r="L869" s="14" t="s">
        <v>60</v>
      </c>
      <c r="M869" s="14" t="s">
        <v>2022</v>
      </c>
      <c r="N869" s="14" t="s">
        <v>60</v>
      </c>
      <c r="O869" s="14" t="s">
        <v>193</v>
      </c>
      <c r="P869" s="14" t="s">
        <v>7443</v>
      </c>
      <c r="Q869" s="14" t="s">
        <v>1676</v>
      </c>
      <c r="R869" s="3" t="s">
        <v>4170</v>
      </c>
      <c r="S869" s="3">
        <f t="shared" si="46"/>
        <v>550</v>
      </c>
      <c r="T869" s="3">
        <f t="shared" si="47"/>
        <v>17050</v>
      </c>
      <c r="U869" s="3" t="s">
        <v>60</v>
      </c>
      <c r="V869" s="14" t="s">
        <v>6</v>
      </c>
      <c r="W869" s="14" t="s">
        <v>4287</v>
      </c>
      <c r="X869" s="14" t="s">
        <v>60</v>
      </c>
    </row>
    <row r="870" spans="1:24" ht="15" x14ac:dyDescent="0.3">
      <c r="A870" s="3">
        <v>4</v>
      </c>
      <c r="B870" s="3" t="s">
        <v>7444</v>
      </c>
      <c r="C870" s="14" t="s">
        <v>0</v>
      </c>
      <c r="D870" s="14" t="s">
        <v>2023</v>
      </c>
      <c r="E870" s="14" t="s">
        <v>7445</v>
      </c>
      <c r="F870" s="14" t="s">
        <v>2024</v>
      </c>
      <c r="G870" s="14" t="s">
        <v>3</v>
      </c>
      <c r="H870" s="14" t="s">
        <v>2025</v>
      </c>
      <c r="I870" s="14" t="s">
        <v>2026</v>
      </c>
      <c r="J870" s="14" t="s">
        <v>60</v>
      </c>
      <c r="K870" s="14" t="s">
        <v>60</v>
      </c>
      <c r="L870" s="14" t="s">
        <v>60</v>
      </c>
      <c r="M870" s="14" t="s">
        <v>2027</v>
      </c>
      <c r="N870" s="14" t="s">
        <v>60</v>
      </c>
      <c r="O870" s="14" t="s">
        <v>193</v>
      </c>
      <c r="P870" s="14" t="s">
        <v>7446</v>
      </c>
      <c r="Q870" s="14" t="s">
        <v>11</v>
      </c>
      <c r="R870" s="3" t="s">
        <v>4300</v>
      </c>
      <c r="S870" s="3">
        <f t="shared" si="46"/>
        <v>550</v>
      </c>
      <c r="T870" s="3">
        <f t="shared" si="47"/>
        <v>15950</v>
      </c>
      <c r="U870" s="3" t="s">
        <v>60</v>
      </c>
      <c r="V870" s="14" t="s">
        <v>6</v>
      </c>
      <c r="W870" s="14" t="s">
        <v>4287</v>
      </c>
      <c r="X870" s="14" t="s">
        <v>60</v>
      </c>
    </row>
    <row r="871" spans="1:24" ht="15" x14ac:dyDescent="0.3">
      <c r="A871" s="3">
        <v>5</v>
      </c>
      <c r="B871" s="3" t="s">
        <v>2028</v>
      </c>
      <c r="C871" s="14" t="s">
        <v>0</v>
      </c>
      <c r="D871" s="14" t="s">
        <v>2029</v>
      </c>
      <c r="E871" s="14" t="s">
        <v>7447</v>
      </c>
      <c r="F871" s="14" t="s">
        <v>2030</v>
      </c>
      <c r="G871" s="14" t="s">
        <v>3</v>
      </c>
      <c r="H871" s="14" t="s">
        <v>2031</v>
      </c>
      <c r="I871" s="14" t="s">
        <v>2032</v>
      </c>
      <c r="J871" s="14" t="s">
        <v>60</v>
      </c>
      <c r="K871" s="14" t="s">
        <v>60</v>
      </c>
      <c r="L871" s="14" t="s">
        <v>60</v>
      </c>
      <c r="M871" s="14" t="s">
        <v>2033</v>
      </c>
      <c r="N871" s="14" t="s">
        <v>60</v>
      </c>
      <c r="O871" s="14" t="s">
        <v>193</v>
      </c>
      <c r="P871" s="14" t="s">
        <v>7448</v>
      </c>
      <c r="Q871" s="14" t="s">
        <v>11</v>
      </c>
      <c r="R871" s="3" t="s">
        <v>6355</v>
      </c>
      <c r="S871" s="3">
        <f t="shared" si="46"/>
        <v>550</v>
      </c>
      <c r="T871" s="3">
        <f t="shared" si="47"/>
        <v>12100</v>
      </c>
      <c r="U871" s="3" t="s">
        <v>60</v>
      </c>
      <c r="V871" s="14" t="s">
        <v>6</v>
      </c>
      <c r="W871" s="14" t="s">
        <v>4287</v>
      </c>
      <c r="X871" s="14" t="s">
        <v>60</v>
      </c>
    </row>
    <row r="872" spans="1:24" ht="15" x14ac:dyDescent="0.3">
      <c r="A872" s="3">
        <v>6</v>
      </c>
      <c r="B872" s="3" t="s">
        <v>7449</v>
      </c>
      <c r="C872" s="14" t="s">
        <v>0</v>
      </c>
      <c r="D872" s="14" t="s">
        <v>2034</v>
      </c>
      <c r="E872" s="14" t="s">
        <v>4293</v>
      </c>
      <c r="F872" s="14" t="s">
        <v>2035</v>
      </c>
      <c r="G872" s="14" t="s">
        <v>3</v>
      </c>
      <c r="H872" s="14" t="s">
        <v>7450</v>
      </c>
      <c r="I872" s="14" t="s">
        <v>2036</v>
      </c>
      <c r="J872" s="14" t="s">
        <v>60</v>
      </c>
      <c r="K872" s="14" t="s">
        <v>60</v>
      </c>
      <c r="L872" s="14" t="s">
        <v>60</v>
      </c>
      <c r="M872" s="14" t="s">
        <v>60</v>
      </c>
      <c r="N872" s="14" t="s">
        <v>60</v>
      </c>
      <c r="O872" s="14" t="s">
        <v>2037</v>
      </c>
      <c r="P872" s="14" t="s">
        <v>7451</v>
      </c>
      <c r="Q872" s="14" t="s">
        <v>2038</v>
      </c>
      <c r="R872" s="3" t="s">
        <v>4170</v>
      </c>
      <c r="S872" s="3">
        <f t="shared" si="46"/>
        <v>550</v>
      </c>
      <c r="T872" s="3">
        <f t="shared" si="47"/>
        <v>17050</v>
      </c>
      <c r="U872" s="3" t="s">
        <v>60</v>
      </c>
      <c r="V872" s="14" t="s">
        <v>6</v>
      </c>
      <c r="W872" s="14" t="s">
        <v>4287</v>
      </c>
      <c r="X872" s="14" t="s">
        <v>60</v>
      </c>
    </row>
    <row r="873" spans="1:24" ht="15" x14ac:dyDescent="0.3">
      <c r="A873" s="3">
        <v>7</v>
      </c>
      <c r="B873" s="3" t="s">
        <v>7452</v>
      </c>
      <c r="C873" s="14" t="s">
        <v>0</v>
      </c>
      <c r="D873" s="14" t="s">
        <v>2039</v>
      </c>
      <c r="E873" s="14" t="s">
        <v>7453</v>
      </c>
      <c r="F873" s="14" t="s">
        <v>2040</v>
      </c>
      <c r="G873" s="14" t="s">
        <v>3</v>
      </c>
      <c r="H873" s="14" t="s">
        <v>7454</v>
      </c>
      <c r="I873" s="14" t="s">
        <v>7455</v>
      </c>
      <c r="J873" s="14" t="s">
        <v>60</v>
      </c>
      <c r="K873" s="14" t="s">
        <v>60</v>
      </c>
      <c r="L873" s="14" t="s">
        <v>60</v>
      </c>
      <c r="M873" s="14" t="s">
        <v>2041</v>
      </c>
      <c r="N873" s="14" t="s">
        <v>60</v>
      </c>
      <c r="O873" s="14" t="s">
        <v>193</v>
      </c>
      <c r="P873" s="14" t="s">
        <v>7456</v>
      </c>
      <c r="Q873" s="14" t="s">
        <v>11</v>
      </c>
      <c r="R873" s="3" t="s">
        <v>4170</v>
      </c>
      <c r="S873" s="3">
        <f t="shared" si="46"/>
        <v>550</v>
      </c>
      <c r="T873" s="3">
        <f t="shared" si="47"/>
        <v>17050</v>
      </c>
      <c r="U873" s="3" t="s">
        <v>60</v>
      </c>
      <c r="V873" s="14" t="s">
        <v>6</v>
      </c>
      <c r="W873" s="14" t="s">
        <v>4287</v>
      </c>
      <c r="X873" s="14" t="s">
        <v>60</v>
      </c>
    </row>
    <row r="874" spans="1:24" ht="15" x14ac:dyDescent="0.3">
      <c r="A874" s="3">
        <v>8</v>
      </c>
      <c r="B874" s="3" t="s">
        <v>2042</v>
      </c>
      <c r="C874" s="14" t="s">
        <v>0</v>
      </c>
      <c r="D874" s="14" t="s">
        <v>2043</v>
      </c>
      <c r="E874" s="14" t="s">
        <v>7457</v>
      </c>
      <c r="F874" s="14" t="s">
        <v>2044</v>
      </c>
      <c r="G874" s="14" t="s">
        <v>3</v>
      </c>
      <c r="H874" s="14" t="s">
        <v>7458</v>
      </c>
      <c r="I874" s="14" t="s">
        <v>7459</v>
      </c>
      <c r="J874" s="14" t="s">
        <v>60</v>
      </c>
      <c r="K874" s="14" t="s">
        <v>60</v>
      </c>
      <c r="L874" s="14" t="s">
        <v>60</v>
      </c>
      <c r="M874" s="14" t="s">
        <v>60</v>
      </c>
      <c r="N874" s="14" t="s">
        <v>60</v>
      </c>
      <c r="O874" s="14" t="s">
        <v>60</v>
      </c>
      <c r="P874" s="14" t="s">
        <v>7460</v>
      </c>
      <c r="Q874" s="14" t="s">
        <v>1996</v>
      </c>
      <c r="R874" s="3" t="s">
        <v>4170</v>
      </c>
      <c r="S874" s="3">
        <f t="shared" si="46"/>
        <v>550</v>
      </c>
      <c r="T874" s="3">
        <f t="shared" si="47"/>
        <v>17050</v>
      </c>
      <c r="U874" s="3" t="s">
        <v>60</v>
      </c>
      <c r="V874" s="14" t="s">
        <v>6</v>
      </c>
      <c r="W874" s="14" t="s">
        <v>4287</v>
      </c>
      <c r="X874" s="14" t="s">
        <v>60</v>
      </c>
    </row>
    <row r="875" spans="1:24" ht="15" x14ac:dyDescent="0.3">
      <c r="A875" s="3">
        <v>9</v>
      </c>
      <c r="B875" s="3" t="s">
        <v>7461</v>
      </c>
      <c r="C875" s="14" t="s">
        <v>0</v>
      </c>
      <c r="D875" s="14" t="s">
        <v>2049</v>
      </c>
      <c r="E875" s="14" t="s">
        <v>7462</v>
      </c>
      <c r="F875" s="14" t="s">
        <v>2050</v>
      </c>
      <c r="G875" s="14" t="s">
        <v>3</v>
      </c>
      <c r="H875" s="14" t="s">
        <v>7463</v>
      </c>
      <c r="I875" s="14" t="s">
        <v>7464</v>
      </c>
      <c r="J875" s="14" t="s">
        <v>60</v>
      </c>
      <c r="K875" s="14" t="s">
        <v>60</v>
      </c>
      <c r="L875" s="14" t="s">
        <v>60</v>
      </c>
      <c r="M875" s="14" t="s">
        <v>2051</v>
      </c>
      <c r="N875" s="14" t="s">
        <v>60</v>
      </c>
      <c r="O875" s="14" t="s">
        <v>193</v>
      </c>
      <c r="P875" s="14" t="s">
        <v>7465</v>
      </c>
      <c r="Q875" s="14" t="s">
        <v>176</v>
      </c>
      <c r="R875" s="3" t="s">
        <v>4170</v>
      </c>
      <c r="S875" s="3">
        <f t="shared" si="46"/>
        <v>550</v>
      </c>
      <c r="T875" s="3">
        <f t="shared" si="47"/>
        <v>17050</v>
      </c>
      <c r="U875" s="3" t="s">
        <v>60</v>
      </c>
      <c r="V875" s="14" t="s">
        <v>6</v>
      </c>
      <c r="W875" s="14" t="s">
        <v>4287</v>
      </c>
      <c r="X875" s="14" t="s">
        <v>60</v>
      </c>
    </row>
    <row r="876" spans="1:24" ht="15" x14ac:dyDescent="0.3">
      <c r="A876" s="3">
        <v>10</v>
      </c>
      <c r="B876" s="3" t="s">
        <v>2052</v>
      </c>
      <c r="C876" s="14" t="s">
        <v>0</v>
      </c>
      <c r="D876" s="14" t="s">
        <v>2053</v>
      </c>
      <c r="E876" s="14" t="s">
        <v>2054</v>
      </c>
      <c r="F876" s="14" t="s">
        <v>2055</v>
      </c>
      <c r="G876" s="14" t="s">
        <v>3</v>
      </c>
      <c r="H876" s="14" t="s">
        <v>7466</v>
      </c>
      <c r="I876" s="14" t="s">
        <v>7467</v>
      </c>
      <c r="J876" s="14" t="s">
        <v>60</v>
      </c>
      <c r="K876" s="14" t="s">
        <v>60</v>
      </c>
      <c r="L876" s="14" t="s">
        <v>60</v>
      </c>
      <c r="M876" s="14" t="s">
        <v>2056</v>
      </c>
      <c r="N876" s="14" t="s">
        <v>60</v>
      </c>
      <c r="O876" s="14" t="s">
        <v>193</v>
      </c>
      <c r="P876" s="14" t="s">
        <v>7468</v>
      </c>
      <c r="Q876" s="14" t="s">
        <v>1761</v>
      </c>
      <c r="R876" s="3" t="s">
        <v>4170</v>
      </c>
      <c r="S876" s="3">
        <f t="shared" si="46"/>
        <v>550</v>
      </c>
      <c r="T876" s="3">
        <f t="shared" si="47"/>
        <v>17050</v>
      </c>
      <c r="U876" s="3" t="s">
        <v>60</v>
      </c>
      <c r="V876" s="14" t="s">
        <v>6</v>
      </c>
      <c r="W876" s="14" t="s">
        <v>4287</v>
      </c>
      <c r="X876" s="14" t="s">
        <v>60</v>
      </c>
    </row>
    <row r="877" spans="1:24" ht="15" x14ac:dyDescent="0.3">
      <c r="A877" s="3">
        <v>11</v>
      </c>
      <c r="B877" s="3" t="s">
        <v>7469</v>
      </c>
      <c r="C877" s="14" t="s">
        <v>0</v>
      </c>
      <c r="D877" s="14" t="s">
        <v>2057</v>
      </c>
      <c r="E877" s="14" t="s">
        <v>4293</v>
      </c>
      <c r="F877" s="14" t="s">
        <v>2058</v>
      </c>
      <c r="G877" s="14" t="s">
        <v>3</v>
      </c>
      <c r="H877" s="14" t="s">
        <v>7470</v>
      </c>
      <c r="I877" s="14" t="s">
        <v>2059</v>
      </c>
      <c r="J877" s="14" t="s">
        <v>60</v>
      </c>
      <c r="K877" s="14" t="s">
        <v>60</v>
      </c>
      <c r="L877" s="14" t="s">
        <v>60</v>
      </c>
      <c r="M877" s="14" t="s">
        <v>2059</v>
      </c>
      <c r="N877" s="14" t="s">
        <v>60</v>
      </c>
      <c r="O877" s="14" t="s">
        <v>193</v>
      </c>
      <c r="P877" s="14" t="s">
        <v>7471</v>
      </c>
      <c r="Q877" s="14" t="s">
        <v>588</v>
      </c>
      <c r="R877" s="3" t="s">
        <v>4170</v>
      </c>
      <c r="S877" s="3">
        <f t="shared" si="46"/>
        <v>550</v>
      </c>
      <c r="T877" s="3">
        <f t="shared" si="47"/>
        <v>17050</v>
      </c>
      <c r="U877" s="3" t="s">
        <v>60</v>
      </c>
      <c r="V877" s="14" t="s">
        <v>6</v>
      </c>
      <c r="W877" s="14" t="s">
        <v>4287</v>
      </c>
      <c r="X877" s="14" t="s">
        <v>60</v>
      </c>
    </row>
    <row r="878" spans="1:24" ht="15" x14ac:dyDescent="0.3">
      <c r="A878" s="3">
        <v>12</v>
      </c>
      <c r="B878" s="3" t="s">
        <v>7472</v>
      </c>
      <c r="C878" s="14" t="s">
        <v>0</v>
      </c>
      <c r="D878" s="14" t="s">
        <v>2060</v>
      </c>
      <c r="E878" s="14" t="s">
        <v>7473</v>
      </c>
      <c r="F878" s="14" t="s">
        <v>2061</v>
      </c>
      <c r="G878" s="14" t="s">
        <v>3</v>
      </c>
      <c r="H878" s="14" t="s">
        <v>7474</v>
      </c>
      <c r="I878" s="14" t="s">
        <v>2062</v>
      </c>
      <c r="J878" s="14" t="s">
        <v>60</v>
      </c>
      <c r="K878" s="14" t="s">
        <v>60</v>
      </c>
      <c r="L878" s="14" t="s">
        <v>60</v>
      </c>
      <c r="M878" s="14" t="s">
        <v>2063</v>
      </c>
      <c r="N878" s="14" t="s">
        <v>60</v>
      </c>
      <c r="O878" s="14" t="s">
        <v>193</v>
      </c>
      <c r="P878" s="14" t="s">
        <v>7475</v>
      </c>
      <c r="Q878" s="14" t="s">
        <v>1676</v>
      </c>
      <c r="R878" s="3" t="s">
        <v>4170</v>
      </c>
      <c r="S878" s="3">
        <f t="shared" si="46"/>
        <v>550</v>
      </c>
      <c r="T878" s="3">
        <f t="shared" si="47"/>
        <v>17050</v>
      </c>
      <c r="U878" s="3" t="s">
        <v>60</v>
      </c>
      <c r="V878" s="14" t="s">
        <v>6</v>
      </c>
      <c r="W878" s="14" t="s">
        <v>4287</v>
      </c>
      <c r="X878" s="14" t="s">
        <v>60</v>
      </c>
    </row>
    <row r="879" spans="1:24" ht="15" x14ac:dyDescent="0.3">
      <c r="A879" s="3">
        <v>13</v>
      </c>
      <c r="B879" s="3" t="s">
        <v>2064</v>
      </c>
      <c r="C879" s="14" t="s">
        <v>0</v>
      </c>
      <c r="D879" s="14" t="s">
        <v>2065</v>
      </c>
      <c r="E879" s="14" t="s">
        <v>7476</v>
      </c>
      <c r="F879" s="14" t="s">
        <v>2066</v>
      </c>
      <c r="G879" s="14" t="s">
        <v>3</v>
      </c>
      <c r="H879" s="14" t="s">
        <v>7477</v>
      </c>
      <c r="I879" s="14" t="s">
        <v>7478</v>
      </c>
      <c r="J879" s="14" t="s">
        <v>60</v>
      </c>
      <c r="K879" s="14" t="s">
        <v>60</v>
      </c>
      <c r="L879" s="14" t="s">
        <v>60</v>
      </c>
      <c r="M879" s="14" t="s">
        <v>2067</v>
      </c>
      <c r="N879" s="14" t="s">
        <v>60</v>
      </c>
      <c r="O879" s="14" t="s">
        <v>193</v>
      </c>
      <c r="P879" s="14" t="s">
        <v>7479</v>
      </c>
      <c r="Q879" s="14" t="s">
        <v>5</v>
      </c>
      <c r="R879" s="3" t="s">
        <v>4170</v>
      </c>
      <c r="S879" s="3">
        <f t="shared" si="46"/>
        <v>550</v>
      </c>
      <c r="T879" s="3">
        <f t="shared" si="47"/>
        <v>17050</v>
      </c>
      <c r="U879" s="3" t="s">
        <v>60</v>
      </c>
      <c r="V879" s="14" t="s">
        <v>6</v>
      </c>
      <c r="W879" s="14" t="s">
        <v>4287</v>
      </c>
      <c r="X879" s="14" t="s">
        <v>60</v>
      </c>
    </row>
    <row r="880" spans="1:24" ht="15" x14ac:dyDescent="0.3">
      <c r="A880" s="3">
        <v>14</v>
      </c>
      <c r="B880" s="3" t="s">
        <v>7480</v>
      </c>
      <c r="C880" s="14" t="s">
        <v>0</v>
      </c>
      <c r="D880" s="14" t="s">
        <v>2068</v>
      </c>
      <c r="E880" s="14" t="s">
        <v>6695</v>
      </c>
      <c r="F880" s="14" t="s">
        <v>2069</v>
      </c>
      <c r="G880" s="14" t="s">
        <v>3</v>
      </c>
      <c r="H880" s="14" t="s">
        <v>7481</v>
      </c>
      <c r="I880" s="14" t="s">
        <v>7482</v>
      </c>
      <c r="J880" s="14" t="s">
        <v>60</v>
      </c>
      <c r="K880" s="14" t="s">
        <v>60</v>
      </c>
      <c r="L880" s="14" t="s">
        <v>60</v>
      </c>
      <c r="M880" s="14" t="s">
        <v>2070</v>
      </c>
      <c r="N880" s="14" t="s">
        <v>60</v>
      </c>
      <c r="O880" s="14" t="s">
        <v>193</v>
      </c>
      <c r="P880" s="14" t="s">
        <v>7483</v>
      </c>
      <c r="Q880" s="14" t="s">
        <v>588</v>
      </c>
      <c r="R880" s="3" t="s">
        <v>4170</v>
      </c>
      <c r="S880" s="3">
        <f t="shared" si="46"/>
        <v>550</v>
      </c>
      <c r="T880" s="3">
        <f t="shared" si="47"/>
        <v>17050</v>
      </c>
      <c r="U880" s="3" t="s">
        <v>60</v>
      </c>
      <c r="V880" s="14" t="s">
        <v>6</v>
      </c>
      <c r="W880" s="14" t="s">
        <v>4287</v>
      </c>
      <c r="X880" s="14" t="s">
        <v>60</v>
      </c>
    </row>
    <row r="881" spans="1:24" ht="15" x14ac:dyDescent="0.3">
      <c r="A881" s="3">
        <v>15</v>
      </c>
      <c r="B881" s="3" t="s">
        <v>7484</v>
      </c>
      <c r="C881" s="14" t="s">
        <v>91</v>
      </c>
      <c r="D881" s="14" t="s">
        <v>2091</v>
      </c>
      <c r="E881" s="14" t="s">
        <v>7485</v>
      </c>
      <c r="F881" s="14" t="s">
        <v>2092</v>
      </c>
      <c r="G881" s="14" t="s">
        <v>3</v>
      </c>
      <c r="H881" s="14" t="s">
        <v>7486</v>
      </c>
      <c r="I881" s="14" t="s">
        <v>2093</v>
      </c>
      <c r="J881" s="14" t="s">
        <v>60</v>
      </c>
      <c r="K881" s="14" t="s">
        <v>60</v>
      </c>
      <c r="L881" s="14" t="s">
        <v>60</v>
      </c>
      <c r="M881" s="14" t="s">
        <v>2094</v>
      </c>
      <c r="N881" s="14" t="s">
        <v>60</v>
      </c>
      <c r="O881" s="14" t="s">
        <v>60</v>
      </c>
      <c r="P881" s="14" t="s">
        <v>7487</v>
      </c>
      <c r="Q881" s="14" t="s">
        <v>176</v>
      </c>
      <c r="R881" s="3" t="s">
        <v>4170</v>
      </c>
      <c r="S881" s="3">
        <f t="shared" si="46"/>
        <v>770</v>
      </c>
      <c r="T881" s="3">
        <f t="shared" si="47"/>
        <v>23870</v>
      </c>
      <c r="U881" s="3" t="s">
        <v>60</v>
      </c>
      <c r="V881" s="14" t="s">
        <v>6</v>
      </c>
      <c r="W881" s="14" t="s">
        <v>4287</v>
      </c>
      <c r="X881" s="14" t="s">
        <v>60</v>
      </c>
    </row>
    <row r="882" spans="1:24" ht="15" x14ac:dyDescent="0.3">
      <c r="A882" s="3">
        <v>16</v>
      </c>
      <c r="B882" s="3" t="s">
        <v>7488</v>
      </c>
      <c r="C882" s="14" t="s">
        <v>69</v>
      </c>
      <c r="D882" s="14" t="s">
        <v>2045</v>
      </c>
      <c r="E882" s="14" t="s">
        <v>2046</v>
      </c>
      <c r="F882" s="14" t="s">
        <v>2047</v>
      </c>
      <c r="G882" s="14" t="s">
        <v>3</v>
      </c>
      <c r="H882" s="14" t="s">
        <v>7489</v>
      </c>
      <c r="I882" s="14" t="s">
        <v>7490</v>
      </c>
      <c r="J882" s="14" t="s">
        <v>60</v>
      </c>
      <c r="K882" s="14" t="s">
        <v>60</v>
      </c>
      <c r="L882" s="14" t="s">
        <v>60</v>
      </c>
      <c r="M882" s="14" t="s">
        <v>2048</v>
      </c>
      <c r="N882" s="14" t="s">
        <v>60</v>
      </c>
      <c r="O882" s="14" t="s">
        <v>193</v>
      </c>
      <c r="P882" s="14" t="s">
        <v>7491</v>
      </c>
      <c r="Q882" s="14" t="s">
        <v>11</v>
      </c>
      <c r="R882" s="3" t="s">
        <v>4170</v>
      </c>
      <c r="S882" s="3">
        <f t="shared" si="46"/>
        <v>570</v>
      </c>
      <c r="T882" s="3">
        <f t="shared" si="47"/>
        <v>17670</v>
      </c>
      <c r="U882" s="3" t="s">
        <v>60</v>
      </c>
      <c r="V882" s="14" t="s">
        <v>6</v>
      </c>
      <c r="W882" s="14" t="s">
        <v>4287</v>
      </c>
      <c r="X882" s="14" t="s">
        <v>60</v>
      </c>
    </row>
    <row r="883" spans="1:24" ht="15" x14ac:dyDescent="0.3">
      <c r="A883" s="3">
        <v>17</v>
      </c>
      <c r="B883" s="3" t="s">
        <v>7492</v>
      </c>
      <c r="C883" s="14" t="s">
        <v>14</v>
      </c>
      <c r="D883" s="14" t="s">
        <v>2080</v>
      </c>
      <c r="E883" s="14" t="s">
        <v>7493</v>
      </c>
      <c r="F883" s="14" t="s">
        <v>2081</v>
      </c>
      <c r="G883" s="14" t="s">
        <v>3</v>
      </c>
      <c r="H883" s="14" t="s">
        <v>7494</v>
      </c>
      <c r="I883" s="14" t="s">
        <v>2082</v>
      </c>
      <c r="J883" s="14" t="s">
        <v>60</v>
      </c>
      <c r="K883" s="14" t="s">
        <v>60</v>
      </c>
      <c r="L883" s="14" t="s">
        <v>60</v>
      </c>
      <c r="M883" s="14" t="s">
        <v>2083</v>
      </c>
      <c r="N883" s="14" t="s">
        <v>60</v>
      </c>
      <c r="O883" s="14" t="s">
        <v>7495</v>
      </c>
      <c r="P883" s="14" t="s">
        <v>7496</v>
      </c>
      <c r="Q883" s="14" t="s">
        <v>2084</v>
      </c>
      <c r="R883" s="3" t="s">
        <v>4170</v>
      </c>
      <c r="S883" s="3">
        <f t="shared" si="46"/>
        <v>640</v>
      </c>
      <c r="T883" s="3">
        <f t="shared" si="47"/>
        <v>19840</v>
      </c>
      <c r="U883" s="3" t="s">
        <v>60</v>
      </c>
      <c r="V883" s="14" t="s">
        <v>6</v>
      </c>
      <c r="W883" s="14" t="s">
        <v>4287</v>
      </c>
      <c r="X883" s="14" t="s">
        <v>60</v>
      </c>
    </row>
    <row r="884" spans="1:24" ht="15" x14ac:dyDescent="0.3">
      <c r="A884" s="3">
        <v>18</v>
      </c>
      <c r="B884" s="3" t="s">
        <v>2085</v>
      </c>
      <c r="C884" s="14" t="s">
        <v>14</v>
      </c>
      <c r="D884" s="14" t="s">
        <v>2086</v>
      </c>
      <c r="E884" s="14" t="s">
        <v>6868</v>
      </c>
      <c r="F884" s="14" t="s">
        <v>2087</v>
      </c>
      <c r="G884" s="14" t="s">
        <v>3</v>
      </c>
      <c r="H884" s="14" t="s">
        <v>7497</v>
      </c>
      <c r="I884" s="14" t="s">
        <v>2088</v>
      </c>
      <c r="J884" s="14" t="s">
        <v>60</v>
      </c>
      <c r="K884" s="14" t="s">
        <v>60</v>
      </c>
      <c r="L884" s="14" t="s">
        <v>60</v>
      </c>
      <c r="M884" s="14" t="s">
        <v>2089</v>
      </c>
      <c r="N884" s="14" t="s">
        <v>60</v>
      </c>
      <c r="O884" s="14" t="s">
        <v>7498</v>
      </c>
      <c r="P884" s="14" t="s">
        <v>7499</v>
      </c>
      <c r="Q884" s="14" t="s">
        <v>2090</v>
      </c>
      <c r="R884" s="3" t="s">
        <v>4170</v>
      </c>
      <c r="S884" s="3">
        <f t="shared" si="46"/>
        <v>640</v>
      </c>
      <c r="T884" s="3">
        <f t="shared" si="47"/>
        <v>19840</v>
      </c>
      <c r="U884" s="3" t="s">
        <v>60</v>
      </c>
      <c r="V884" s="14" t="s">
        <v>6</v>
      </c>
      <c r="W884" s="14" t="s">
        <v>4287</v>
      </c>
      <c r="X884" s="14" t="s">
        <v>60</v>
      </c>
    </row>
    <row r="885" spans="1:24" ht="15" x14ac:dyDescent="0.3">
      <c r="A885" s="3">
        <v>19</v>
      </c>
      <c r="B885" s="3" t="s">
        <v>7500</v>
      </c>
      <c r="C885" s="14" t="s">
        <v>91</v>
      </c>
      <c r="D885" s="14" t="s">
        <v>2095</v>
      </c>
      <c r="E885" s="14" t="s">
        <v>7501</v>
      </c>
      <c r="F885" s="14" t="s">
        <v>2096</v>
      </c>
      <c r="G885" s="14" t="s">
        <v>3</v>
      </c>
      <c r="H885" s="14" t="s">
        <v>7502</v>
      </c>
      <c r="I885" s="14" t="s">
        <v>2097</v>
      </c>
      <c r="J885" s="14" t="s">
        <v>60</v>
      </c>
      <c r="K885" s="14" t="s">
        <v>60</v>
      </c>
      <c r="L885" s="14" t="s">
        <v>60</v>
      </c>
      <c r="M885" s="14" t="s">
        <v>60</v>
      </c>
      <c r="N885" s="14" t="s">
        <v>60</v>
      </c>
      <c r="O885" s="14" t="s">
        <v>193</v>
      </c>
      <c r="P885" s="14" t="s">
        <v>7503</v>
      </c>
      <c r="Q885" s="14" t="s">
        <v>1676</v>
      </c>
      <c r="R885" s="3" t="s">
        <v>4170</v>
      </c>
      <c r="S885" s="3">
        <f t="shared" si="46"/>
        <v>770</v>
      </c>
      <c r="T885" s="3">
        <f t="shared" si="47"/>
        <v>23870</v>
      </c>
      <c r="U885" s="3" t="s">
        <v>60</v>
      </c>
      <c r="V885" s="14" t="s">
        <v>6</v>
      </c>
      <c r="W885" s="14" t="s">
        <v>4287</v>
      </c>
      <c r="X885" s="14" t="s">
        <v>60</v>
      </c>
    </row>
    <row r="886" spans="1:24" ht="15" x14ac:dyDescent="0.3">
      <c r="A886" s="3">
        <v>20</v>
      </c>
      <c r="B886" s="3" t="s">
        <v>7504</v>
      </c>
      <c r="C886" s="14" t="s">
        <v>0</v>
      </c>
      <c r="D886" s="14" t="s">
        <v>2126</v>
      </c>
      <c r="E886" s="14" t="s">
        <v>7505</v>
      </c>
      <c r="F886" s="14" t="s">
        <v>2127</v>
      </c>
      <c r="G886" s="14" t="s">
        <v>3</v>
      </c>
      <c r="H886" s="14" t="s">
        <v>7506</v>
      </c>
      <c r="I886" s="14" t="s">
        <v>2128</v>
      </c>
      <c r="J886" s="14" t="s">
        <v>60</v>
      </c>
      <c r="K886" s="14" t="s">
        <v>60</v>
      </c>
      <c r="L886" s="14" t="s">
        <v>60</v>
      </c>
      <c r="M886" s="14" t="s">
        <v>60</v>
      </c>
      <c r="N886" s="14" t="s">
        <v>60</v>
      </c>
      <c r="O886" s="14" t="s">
        <v>2129</v>
      </c>
      <c r="P886" s="14" t="s">
        <v>7507</v>
      </c>
      <c r="Q886" s="14" t="s">
        <v>11</v>
      </c>
      <c r="R886" s="3" t="s">
        <v>4170</v>
      </c>
      <c r="S886" s="3">
        <f t="shared" si="46"/>
        <v>550</v>
      </c>
      <c r="T886" s="3">
        <f t="shared" si="47"/>
        <v>17050</v>
      </c>
      <c r="U886" s="3">
        <f>SUM(T867:T886)</f>
        <v>354790</v>
      </c>
      <c r="V886" s="14" t="s">
        <v>6</v>
      </c>
      <c r="W886" s="14" t="s">
        <v>5980</v>
      </c>
      <c r="X886" s="14" t="s">
        <v>60</v>
      </c>
    </row>
    <row r="887" spans="1:24" ht="15" x14ac:dyDescent="0.3">
      <c r="A887" s="3">
        <v>21</v>
      </c>
      <c r="B887" s="3" t="s">
        <v>7508</v>
      </c>
      <c r="C887" s="14" t="s">
        <v>0</v>
      </c>
      <c r="D887" s="14" t="s">
        <v>7509</v>
      </c>
      <c r="E887" s="14" t="s">
        <v>4864</v>
      </c>
      <c r="F887" s="14" t="s">
        <v>2130</v>
      </c>
      <c r="G887" s="14" t="s">
        <v>3</v>
      </c>
      <c r="H887" s="14" t="s">
        <v>2131</v>
      </c>
      <c r="I887" s="14" t="s">
        <v>2132</v>
      </c>
      <c r="J887" s="14" t="s">
        <v>60</v>
      </c>
      <c r="K887" s="14" t="s">
        <v>60</v>
      </c>
      <c r="L887" s="14" t="s">
        <v>60</v>
      </c>
      <c r="M887" s="14" t="s">
        <v>2133</v>
      </c>
      <c r="N887" s="14" t="s">
        <v>60</v>
      </c>
      <c r="O887" s="14" t="s">
        <v>1617</v>
      </c>
      <c r="P887" s="14" t="s">
        <v>7510</v>
      </c>
      <c r="Q887" s="14" t="s">
        <v>81</v>
      </c>
      <c r="R887" s="3" t="s">
        <v>4170</v>
      </c>
      <c r="S887" s="3">
        <f t="shared" si="46"/>
        <v>550</v>
      </c>
      <c r="T887" s="3">
        <f t="shared" si="47"/>
        <v>17050</v>
      </c>
      <c r="U887" s="3" t="s">
        <v>60</v>
      </c>
      <c r="V887" s="14" t="s">
        <v>6</v>
      </c>
      <c r="W887" s="14" t="s">
        <v>7511</v>
      </c>
      <c r="X887" s="14" t="s">
        <v>60</v>
      </c>
    </row>
    <row r="888" spans="1:24" ht="15" x14ac:dyDescent="0.3">
      <c r="A888" s="3">
        <v>22</v>
      </c>
      <c r="B888" s="3" t="s">
        <v>7512</v>
      </c>
      <c r="C888" s="14" t="s">
        <v>0</v>
      </c>
      <c r="D888" s="14" t="s">
        <v>2138</v>
      </c>
      <c r="E888" s="14" t="s">
        <v>5557</v>
      </c>
      <c r="F888" s="14" t="s">
        <v>2139</v>
      </c>
      <c r="G888" s="14" t="s">
        <v>3</v>
      </c>
      <c r="H888" s="14" t="s">
        <v>7513</v>
      </c>
      <c r="I888" s="14" t="s">
        <v>2140</v>
      </c>
      <c r="J888" s="14" t="s">
        <v>60</v>
      </c>
      <c r="K888" s="14" t="s">
        <v>60</v>
      </c>
      <c r="L888" s="14" t="s">
        <v>60</v>
      </c>
      <c r="M888" s="14" t="s">
        <v>60</v>
      </c>
      <c r="N888" s="14" t="s">
        <v>60</v>
      </c>
      <c r="O888" s="14" t="s">
        <v>114</v>
      </c>
      <c r="P888" s="14" t="s">
        <v>7514</v>
      </c>
      <c r="Q888" s="14" t="s">
        <v>11</v>
      </c>
      <c r="R888" s="3">
        <v>30</v>
      </c>
      <c r="S888" s="3">
        <f t="shared" si="46"/>
        <v>550</v>
      </c>
      <c r="T888" s="3">
        <f t="shared" si="47"/>
        <v>16500</v>
      </c>
      <c r="U888" s="3" t="s">
        <v>60</v>
      </c>
      <c r="V888" s="14" t="s">
        <v>6</v>
      </c>
      <c r="W888" s="14" t="s">
        <v>6789</v>
      </c>
      <c r="X888" s="14" t="s">
        <v>60</v>
      </c>
    </row>
    <row r="889" spans="1:24" ht="15" x14ac:dyDescent="0.3">
      <c r="A889" s="3">
        <v>23</v>
      </c>
      <c r="B889" s="3" t="s">
        <v>7515</v>
      </c>
      <c r="C889" s="14" t="s">
        <v>0</v>
      </c>
      <c r="D889" s="14" t="s">
        <v>2141</v>
      </c>
      <c r="E889" s="14" t="s">
        <v>7516</v>
      </c>
      <c r="F889" s="14" t="s">
        <v>2142</v>
      </c>
      <c r="G889" s="14" t="s">
        <v>3</v>
      </c>
      <c r="H889" s="14" t="s">
        <v>7517</v>
      </c>
      <c r="I889" s="14" t="s">
        <v>2143</v>
      </c>
      <c r="J889" s="14" t="s">
        <v>60</v>
      </c>
      <c r="K889" s="14" t="s">
        <v>60</v>
      </c>
      <c r="L889" s="14" t="s">
        <v>60</v>
      </c>
      <c r="M889" s="14" t="s">
        <v>2144</v>
      </c>
      <c r="N889" s="14" t="s">
        <v>60</v>
      </c>
      <c r="O889" s="14" t="s">
        <v>169</v>
      </c>
      <c r="P889" s="14" t="s">
        <v>7518</v>
      </c>
      <c r="Q889" s="14" t="s">
        <v>11</v>
      </c>
      <c r="R889" s="3" t="s">
        <v>4170</v>
      </c>
      <c r="S889" s="3">
        <f t="shared" si="46"/>
        <v>550</v>
      </c>
      <c r="T889" s="3">
        <f t="shared" si="47"/>
        <v>17050</v>
      </c>
      <c r="U889" s="3" t="s">
        <v>60</v>
      </c>
      <c r="V889" s="14" t="s">
        <v>6</v>
      </c>
      <c r="W889" s="14" t="s">
        <v>7519</v>
      </c>
      <c r="X889" s="14" t="s">
        <v>60</v>
      </c>
    </row>
    <row r="890" spans="1:24" ht="15" x14ac:dyDescent="0.3">
      <c r="A890" s="3">
        <v>24</v>
      </c>
      <c r="B890" s="3" t="s">
        <v>7520</v>
      </c>
      <c r="C890" s="14" t="s">
        <v>0</v>
      </c>
      <c r="D890" s="14" t="s">
        <v>2145</v>
      </c>
      <c r="E890" s="14" t="s">
        <v>7521</v>
      </c>
      <c r="F890" s="14" t="s">
        <v>2146</v>
      </c>
      <c r="G890" s="14" t="s">
        <v>3</v>
      </c>
      <c r="H890" s="14" t="s">
        <v>7522</v>
      </c>
      <c r="I890" s="14" t="s">
        <v>2147</v>
      </c>
      <c r="J890" s="14" t="s">
        <v>60</v>
      </c>
      <c r="K890" s="14" t="s">
        <v>60</v>
      </c>
      <c r="L890" s="14" t="s">
        <v>60</v>
      </c>
      <c r="M890" s="14" t="s">
        <v>60</v>
      </c>
      <c r="N890" s="14" t="s">
        <v>60</v>
      </c>
      <c r="O890" s="14" t="s">
        <v>255</v>
      </c>
      <c r="P890" s="14" t="s">
        <v>7523</v>
      </c>
      <c r="Q890" s="14" t="s">
        <v>11</v>
      </c>
      <c r="R890" s="3" t="s">
        <v>4170</v>
      </c>
      <c r="S890" s="3">
        <f t="shared" si="46"/>
        <v>550</v>
      </c>
      <c r="T890" s="3">
        <f t="shared" si="47"/>
        <v>17050</v>
      </c>
      <c r="U890" s="3" t="s">
        <v>60</v>
      </c>
      <c r="V890" s="14" t="s">
        <v>7524</v>
      </c>
      <c r="W890" s="14" t="s">
        <v>7206</v>
      </c>
      <c r="X890" s="14" t="s">
        <v>60</v>
      </c>
    </row>
    <row r="891" spans="1:24" ht="15" x14ac:dyDescent="0.3">
      <c r="A891" s="3">
        <v>25</v>
      </c>
      <c r="B891" s="3" t="s">
        <v>7525</v>
      </c>
      <c r="C891" s="14" t="s">
        <v>0</v>
      </c>
      <c r="D891" s="14" t="s">
        <v>2148</v>
      </c>
      <c r="E891" s="14" t="s">
        <v>7526</v>
      </c>
      <c r="F891" s="14" t="s">
        <v>2149</v>
      </c>
      <c r="G891" s="14" t="s">
        <v>3</v>
      </c>
      <c r="H891" s="14" t="s">
        <v>7527</v>
      </c>
      <c r="I891" s="14" t="s">
        <v>2150</v>
      </c>
      <c r="J891" s="14" t="s">
        <v>60</v>
      </c>
      <c r="K891" s="14" t="s">
        <v>60</v>
      </c>
      <c r="L891" s="14" t="s">
        <v>60</v>
      </c>
      <c r="M891" s="14" t="s">
        <v>60</v>
      </c>
      <c r="N891" s="14" t="s">
        <v>60</v>
      </c>
      <c r="O891" s="14" t="s">
        <v>261</v>
      </c>
      <c r="P891" s="14" t="s">
        <v>7528</v>
      </c>
      <c r="Q891" s="14" t="s">
        <v>2151</v>
      </c>
      <c r="R891" s="3" t="s">
        <v>4170</v>
      </c>
      <c r="S891" s="3">
        <f t="shared" si="46"/>
        <v>550</v>
      </c>
      <c r="T891" s="3">
        <f t="shared" si="47"/>
        <v>17050</v>
      </c>
      <c r="U891" s="3" t="s">
        <v>60</v>
      </c>
      <c r="V891" s="14" t="s">
        <v>7524</v>
      </c>
      <c r="W891" s="14" t="s">
        <v>4202</v>
      </c>
      <c r="X891" s="14" t="s">
        <v>60</v>
      </c>
    </row>
    <row r="892" spans="1:24" ht="15" x14ac:dyDescent="0.3">
      <c r="A892" s="3">
        <v>26</v>
      </c>
      <c r="B892" s="3" t="s">
        <v>7529</v>
      </c>
      <c r="C892" s="14" t="s">
        <v>0</v>
      </c>
      <c r="D892" s="14" t="s">
        <v>2152</v>
      </c>
      <c r="E892" s="14" t="s">
        <v>4895</v>
      </c>
      <c r="F892" s="14" t="s">
        <v>2153</v>
      </c>
      <c r="G892" s="14" t="s">
        <v>3</v>
      </c>
      <c r="H892" s="14" t="s">
        <v>7530</v>
      </c>
      <c r="I892" s="14" t="s">
        <v>2154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261</v>
      </c>
      <c r="P892" s="14" t="s">
        <v>7531</v>
      </c>
      <c r="Q892" s="14" t="s">
        <v>11</v>
      </c>
      <c r="R892" s="3" t="s">
        <v>4170</v>
      </c>
      <c r="S892" s="3">
        <f t="shared" si="46"/>
        <v>550</v>
      </c>
      <c r="T892" s="3">
        <f t="shared" si="47"/>
        <v>17050</v>
      </c>
      <c r="U892" s="3" t="s">
        <v>60</v>
      </c>
      <c r="V892" s="14" t="s">
        <v>7524</v>
      </c>
      <c r="W892" s="14" t="s">
        <v>4202</v>
      </c>
      <c r="X892" s="14" t="s">
        <v>60</v>
      </c>
    </row>
    <row r="893" spans="1:24" ht="15" x14ac:dyDescent="0.3">
      <c r="A893" s="3">
        <v>27</v>
      </c>
      <c r="B893" s="3" t="s">
        <v>7532</v>
      </c>
      <c r="C893" s="14" t="s">
        <v>0</v>
      </c>
      <c r="D893" s="14" t="s">
        <v>2155</v>
      </c>
      <c r="E893" s="14" t="s">
        <v>7533</v>
      </c>
      <c r="F893" s="14" t="s">
        <v>2138</v>
      </c>
      <c r="G893" s="14" t="s">
        <v>3</v>
      </c>
      <c r="H893" s="14" t="s">
        <v>7534</v>
      </c>
      <c r="I893" s="14" t="s">
        <v>2156</v>
      </c>
      <c r="J893" s="14" t="s">
        <v>60</v>
      </c>
      <c r="K893" s="14" t="s">
        <v>60</v>
      </c>
      <c r="L893" s="14" t="s">
        <v>60</v>
      </c>
      <c r="M893" s="14" t="s">
        <v>2157</v>
      </c>
      <c r="N893" s="14" t="s">
        <v>60</v>
      </c>
      <c r="O893" s="14" t="s">
        <v>261</v>
      </c>
      <c r="P893" s="14" t="s">
        <v>7535</v>
      </c>
      <c r="Q893" s="14" t="s">
        <v>11</v>
      </c>
      <c r="R893" s="3" t="s">
        <v>4170</v>
      </c>
      <c r="S893" s="3">
        <f t="shared" si="46"/>
        <v>550</v>
      </c>
      <c r="T893" s="3">
        <f t="shared" si="47"/>
        <v>17050</v>
      </c>
      <c r="U893" s="3" t="s">
        <v>60</v>
      </c>
      <c r="V893" s="14" t="s">
        <v>7524</v>
      </c>
      <c r="W893" s="14" t="s">
        <v>4202</v>
      </c>
      <c r="X893" s="14" t="s">
        <v>60</v>
      </c>
    </row>
    <row r="894" spans="1:24" ht="15" x14ac:dyDescent="0.3">
      <c r="A894" s="3">
        <v>28</v>
      </c>
      <c r="B894" s="3" t="s">
        <v>7536</v>
      </c>
      <c r="C894" s="14" t="s">
        <v>0</v>
      </c>
      <c r="D894" s="14" t="s">
        <v>2158</v>
      </c>
      <c r="E894" s="14" t="s">
        <v>7537</v>
      </c>
      <c r="F894" s="14" t="s">
        <v>2159</v>
      </c>
      <c r="G894" s="14" t="s">
        <v>3</v>
      </c>
      <c r="H894" s="14" t="s">
        <v>7538</v>
      </c>
      <c r="I894" s="14" t="s">
        <v>2160</v>
      </c>
      <c r="J894" s="14" t="s">
        <v>60</v>
      </c>
      <c r="K894" s="14" t="s">
        <v>60</v>
      </c>
      <c r="L894" s="14" t="s">
        <v>60</v>
      </c>
      <c r="M894" s="14" t="s">
        <v>60</v>
      </c>
      <c r="N894" s="14" t="s">
        <v>60</v>
      </c>
      <c r="O894" s="14" t="s">
        <v>487</v>
      </c>
      <c r="P894" s="14" t="s">
        <v>7539</v>
      </c>
      <c r="Q894" s="14" t="s">
        <v>2161</v>
      </c>
      <c r="R894" s="3" t="s">
        <v>4170</v>
      </c>
      <c r="S894" s="3">
        <f t="shared" si="46"/>
        <v>550</v>
      </c>
      <c r="T894" s="3">
        <f t="shared" si="47"/>
        <v>17050</v>
      </c>
      <c r="U894" s="3" t="s">
        <v>60</v>
      </c>
      <c r="V894" s="14" t="s">
        <v>6</v>
      </c>
      <c r="W894" s="14" t="s">
        <v>6318</v>
      </c>
      <c r="X894" s="14" t="s">
        <v>60</v>
      </c>
    </row>
    <row r="895" spans="1:24" ht="15" x14ac:dyDescent="0.3">
      <c r="A895" s="3">
        <v>29</v>
      </c>
      <c r="B895" s="3" t="s">
        <v>7540</v>
      </c>
      <c r="C895" s="14" t="s">
        <v>0</v>
      </c>
      <c r="D895" s="14" t="s">
        <v>2162</v>
      </c>
      <c r="E895" s="14" t="s">
        <v>7541</v>
      </c>
      <c r="F895" s="14" t="s">
        <v>2163</v>
      </c>
      <c r="G895" s="14" t="s">
        <v>3</v>
      </c>
      <c r="H895" s="14" t="s">
        <v>7542</v>
      </c>
      <c r="I895" s="14" t="s">
        <v>2164</v>
      </c>
      <c r="J895" s="14" t="s">
        <v>60</v>
      </c>
      <c r="K895" s="14" t="s">
        <v>60</v>
      </c>
      <c r="L895" s="14" t="s">
        <v>60</v>
      </c>
      <c r="M895" s="14" t="s">
        <v>60</v>
      </c>
      <c r="N895" s="14" t="s">
        <v>60</v>
      </c>
      <c r="O895" s="14" t="s">
        <v>487</v>
      </c>
      <c r="P895" s="14" t="s">
        <v>7543</v>
      </c>
      <c r="Q895" s="14" t="s">
        <v>11</v>
      </c>
      <c r="R895" s="3" t="s">
        <v>4170</v>
      </c>
      <c r="S895" s="3">
        <f t="shared" si="46"/>
        <v>550</v>
      </c>
      <c r="T895" s="3">
        <f t="shared" si="47"/>
        <v>17050</v>
      </c>
      <c r="U895" s="3" t="s">
        <v>60</v>
      </c>
      <c r="V895" s="14" t="s">
        <v>6</v>
      </c>
      <c r="W895" s="14" t="s">
        <v>6318</v>
      </c>
      <c r="X895" s="14" t="s">
        <v>60</v>
      </c>
    </row>
    <row r="896" spans="1:24" ht="15" x14ac:dyDescent="0.3">
      <c r="A896" s="3">
        <v>30</v>
      </c>
      <c r="B896" s="3" t="s">
        <v>7544</v>
      </c>
      <c r="C896" s="14" t="s">
        <v>0</v>
      </c>
      <c r="D896" s="14" t="s">
        <v>2165</v>
      </c>
      <c r="E896" s="14" t="s">
        <v>7545</v>
      </c>
      <c r="F896" s="14" t="s">
        <v>2166</v>
      </c>
      <c r="G896" s="14" t="s">
        <v>3</v>
      </c>
      <c r="H896" s="14" t="s">
        <v>7546</v>
      </c>
      <c r="I896" s="14" t="s">
        <v>2167</v>
      </c>
      <c r="J896" s="14" t="s">
        <v>60</v>
      </c>
      <c r="K896" s="14" t="s">
        <v>60</v>
      </c>
      <c r="L896" s="14" t="s">
        <v>60</v>
      </c>
      <c r="M896" s="14" t="s">
        <v>60</v>
      </c>
      <c r="N896" s="14" t="s">
        <v>60</v>
      </c>
      <c r="O896" s="14" t="s">
        <v>60</v>
      </c>
      <c r="P896" s="14" t="s">
        <v>7547</v>
      </c>
      <c r="Q896" s="14" t="s">
        <v>2168</v>
      </c>
      <c r="R896" s="3" t="s">
        <v>4170</v>
      </c>
      <c r="S896" s="3">
        <f t="shared" si="46"/>
        <v>550</v>
      </c>
      <c r="T896" s="3">
        <f t="shared" si="47"/>
        <v>17050</v>
      </c>
      <c r="U896" s="3" t="s">
        <v>60</v>
      </c>
      <c r="V896" s="14" t="s">
        <v>6</v>
      </c>
      <c r="W896" s="14" t="s">
        <v>7227</v>
      </c>
      <c r="X896" s="14" t="s">
        <v>60</v>
      </c>
    </row>
    <row r="897" spans="1:24" ht="15" x14ac:dyDescent="0.3">
      <c r="A897" s="3">
        <v>31</v>
      </c>
      <c r="B897" s="3" t="s">
        <v>7548</v>
      </c>
      <c r="C897" s="14" t="s">
        <v>0</v>
      </c>
      <c r="D897" s="14" t="s">
        <v>2172</v>
      </c>
      <c r="E897" s="14" t="s">
        <v>7549</v>
      </c>
      <c r="F897" s="14" t="s">
        <v>1459</v>
      </c>
      <c r="G897" s="14" t="s">
        <v>3</v>
      </c>
      <c r="H897" s="14" t="s">
        <v>7550</v>
      </c>
      <c r="I897" s="14" t="s">
        <v>2173</v>
      </c>
      <c r="J897" s="14" t="s">
        <v>60</v>
      </c>
      <c r="K897" s="14" t="s">
        <v>60</v>
      </c>
      <c r="L897" s="14" t="s">
        <v>60</v>
      </c>
      <c r="M897" s="14" t="s">
        <v>60</v>
      </c>
      <c r="N897" s="14" t="s">
        <v>60</v>
      </c>
      <c r="O897" s="14" t="s">
        <v>60</v>
      </c>
      <c r="P897" s="14" t="s">
        <v>7551</v>
      </c>
      <c r="Q897" s="14" t="s">
        <v>24</v>
      </c>
      <c r="R897" s="3" t="s">
        <v>4170</v>
      </c>
      <c r="S897" s="3">
        <f t="shared" si="46"/>
        <v>550</v>
      </c>
      <c r="T897" s="3">
        <f t="shared" si="47"/>
        <v>17050</v>
      </c>
      <c r="U897" s="3" t="s">
        <v>60</v>
      </c>
      <c r="V897" s="14" t="s">
        <v>6</v>
      </c>
      <c r="W897" s="14" t="s">
        <v>7227</v>
      </c>
      <c r="X897" s="14" t="s">
        <v>60</v>
      </c>
    </row>
    <row r="898" spans="1:24" ht="15" x14ac:dyDescent="0.3">
      <c r="A898" s="3">
        <v>32</v>
      </c>
      <c r="B898" s="3" t="s">
        <v>7552</v>
      </c>
      <c r="C898" s="14" t="s">
        <v>0</v>
      </c>
      <c r="D898" s="14" t="s">
        <v>2174</v>
      </c>
      <c r="E898" s="14" t="s">
        <v>7553</v>
      </c>
      <c r="F898" s="14" t="s">
        <v>2175</v>
      </c>
      <c r="G898" s="14" t="s">
        <v>3</v>
      </c>
      <c r="H898" s="14" t="s">
        <v>7554</v>
      </c>
      <c r="I898" s="14" t="s">
        <v>2176</v>
      </c>
      <c r="J898" s="14" t="s">
        <v>60</v>
      </c>
      <c r="K898" s="14" t="s">
        <v>60</v>
      </c>
      <c r="L898" s="14" t="s">
        <v>60</v>
      </c>
      <c r="M898" s="14" t="s">
        <v>60</v>
      </c>
      <c r="N898" s="14" t="s">
        <v>60</v>
      </c>
      <c r="O898" s="14" t="s">
        <v>60</v>
      </c>
      <c r="P898" s="14" t="s">
        <v>7555</v>
      </c>
      <c r="Q898" s="14" t="s">
        <v>11</v>
      </c>
      <c r="R898" s="3" t="s">
        <v>4170</v>
      </c>
      <c r="S898" s="3">
        <f t="shared" si="46"/>
        <v>550</v>
      </c>
      <c r="T898" s="3">
        <f t="shared" si="47"/>
        <v>17050</v>
      </c>
      <c r="U898" s="3" t="s">
        <v>60</v>
      </c>
      <c r="V898" s="14" t="s">
        <v>6</v>
      </c>
      <c r="W898" s="14" t="s">
        <v>7227</v>
      </c>
      <c r="X898" s="14" t="s">
        <v>60</v>
      </c>
    </row>
    <row r="899" spans="1:24" ht="15" x14ac:dyDescent="0.3">
      <c r="A899" s="3">
        <v>33</v>
      </c>
      <c r="B899" s="3" t="s">
        <v>7556</v>
      </c>
      <c r="C899" s="14" t="s">
        <v>0</v>
      </c>
      <c r="D899" s="14" t="s">
        <v>2177</v>
      </c>
      <c r="E899" s="14" t="s">
        <v>7557</v>
      </c>
      <c r="F899" s="14" t="s">
        <v>2178</v>
      </c>
      <c r="G899" s="14" t="s">
        <v>3</v>
      </c>
      <c r="H899" s="14" t="s">
        <v>7558</v>
      </c>
      <c r="I899" s="14" t="s">
        <v>2179</v>
      </c>
      <c r="J899" s="14" t="s">
        <v>60</v>
      </c>
      <c r="K899" s="14" t="s">
        <v>60</v>
      </c>
      <c r="L899" s="14" t="s">
        <v>60</v>
      </c>
      <c r="M899" s="14" t="s">
        <v>2180</v>
      </c>
      <c r="N899" s="14" t="s">
        <v>60</v>
      </c>
      <c r="O899" s="14" t="s">
        <v>193</v>
      </c>
      <c r="P899" s="14" t="s">
        <v>7559</v>
      </c>
      <c r="Q899" s="14" t="s">
        <v>588</v>
      </c>
      <c r="R899" s="3" t="s">
        <v>4170</v>
      </c>
      <c r="S899" s="3">
        <f t="shared" si="46"/>
        <v>550</v>
      </c>
      <c r="T899" s="3">
        <f t="shared" si="47"/>
        <v>17050</v>
      </c>
      <c r="U899" s="3" t="s">
        <v>60</v>
      </c>
      <c r="V899" s="14" t="s">
        <v>6</v>
      </c>
      <c r="W899" s="14" t="s">
        <v>4287</v>
      </c>
      <c r="X899" s="14" t="s">
        <v>60</v>
      </c>
    </row>
    <row r="900" spans="1:24" ht="15" x14ac:dyDescent="0.3">
      <c r="A900" s="3">
        <v>34</v>
      </c>
      <c r="B900" s="3" t="s">
        <v>7560</v>
      </c>
      <c r="C900" s="14" t="s">
        <v>0</v>
      </c>
      <c r="D900" s="14" t="s">
        <v>1969</v>
      </c>
      <c r="E900" s="14" t="s">
        <v>7561</v>
      </c>
      <c r="F900" s="14" t="s">
        <v>2245</v>
      </c>
      <c r="G900" s="14" t="s">
        <v>3</v>
      </c>
      <c r="H900" s="14" t="s">
        <v>7562</v>
      </c>
      <c r="I900" s="14" t="s">
        <v>2246</v>
      </c>
      <c r="J900" s="14" t="s">
        <v>60</v>
      </c>
      <c r="K900" s="14" t="s">
        <v>60</v>
      </c>
      <c r="L900" s="14" t="s">
        <v>60</v>
      </c>
      <c r="M900" s="14" t="s">
        <v>2247</v>
      </c>
      <c r="N900" s="14" t="s">
        <v>60</v>
      </c>
      <c r="O900" s="14" t="s">
        <v>60</v>
      </c>
      <c r="P900" s="14" t="s">
        <v>7563</v>
      </c>
      <c r="Q900" s="14" t="s">
        <v>11</v>
      </c>
      <c r="R900" s="3" t="s">
        <v>4170</v>
      </c>
      <c r="S900" s="3">
        <f t="shared" si="46"/>
        <v>550</v>
      </c>
      <c r="T900" s="3">
        <f t="shared" si="47"/>
        <v>17050</v>
      </c>
      <c r="U900" s="3" t="s">
        <v>60</v>
      </c>
      <c r="V900" s="14" t="s">
        <v>6</v>
      </c>
      <c r="W900" s="14" t="s">
        <v>4198</v>
      </c>
      <c r="X900" s="14" t="s">
        <v>60</v>
      </c>
    </row>
    <row r="901" spans="1:24" ht="15" x14ac:dyDescent="0.3">
      <c r="A901" s="3">
        <v>35</v>
      </c>
      <c r="B901" s="3" t="s">
        <v>7564</v>
      </c>
      <c r="C901" s="14" t="s">
        <v>0</v>
      </c>
      <c r="D901" s="14" t="s">
        <v>2248</v>
      </c>
      <c r="E901" s="14" t="s">
        <v>4195</v>
      </c>
      <c r="F901" s="14" t="s">
        <v>2249</v>
      </c>
      <c r="G901" s="14" t="s">
        <v>3</v>
      </c>
      <c r="H901" s="14" t="s">
        <v>7565</v>
      </c>
      <c r="I901" s="14" t="s">
        <v>2250</v>
      </c>
      <c r="J901" s="14" t="s">
        <v>60</v>
      </c>
      <c r="K901" s="14" t="s">
        <v>60</v>
      </c>
      <c r="L901" s="14" t="s">
        <v>60</v>
      </c>
      <c r="M901" s="14" t="s">
        <v>2251</v>
      </c>
      <c r="N901" s="14" t="s">
        <v>60</v>
      </c>
      <c r="O901" s="14" t="s">
        <v>60</v>
      </c>
      <c r="P901" s="14" t="s">
        <v>7566</v>
      </c>
      <c r="Q901" s="14" t="s">
        <v>11</v>
      </c>
      <c r="R901" s="3" t="s">
        <v>4170</v>
      </c>
      <c r="S901" s="3">
        <f t="shared" si="46"/>
        <v>550</v>
      </c>
      <c r="T901" s="3">
        <f t="shared" si="47"/>
        <v>17050</v>
      </c>
      <c r="U901" s="3" t="s">
        <v>60</v>
      </c>
      <c r="V901" s="14" t="s">
        <v>6</v>
      </c>
      <c r="W901" s="14" t="s">
        <v>4198</v>
      </c>
      <c r="X901" s="14" t="s">
        <v>60</v>
      </c>
    </row>
    <row r="902" spans="1:24" ht="15" x14ac:dyDescent="0.3">
      <c r="A902" s="3">
        <v>36</v>
      </c>
      <c r="B902" s="3" t="s">
        <v>7567</v>
      </c>
      <c r="C902" s="14" t="s">
        <v>0</v>
      </c>
      <c r="D902" s="14" t="s">
        <v>2264</v>
      </c>
      <c r="E902" s="14" t="s">
        <v>6778</v>
      </c>
      <c r="F902" s="14" t="s">
        <v>2214</v>
      </c>
      <c r="G902" s="14" t="s">
        <v>3</v>
      </c>
      <c r="H902" s="14" t="s">
        <v>7568</v>
      </c>
      <c r="I902" s="14" t="s">
        <v>2265</v>
      </c>
      <c r="J902" s="14" t="s">
        <v>60</v>
      </c>
      <c r="K902" s="14" t="s">
        <v>60</v>
      </c>
      <c r="L902" s="14" t="s">
        <v>60</v>
      </c>
      <c r="M902" s="14" t="s">
        <v>60</v>
      </c>
      <c r="N902" s="14" t="s">
        <v>60</v>
      </c>
      <c r="O902" s="14" t="s">
        <v>261</v>
      </c>
      <c r="P902" s="14" t="s">
        <v>7569</v>
      </c>
      <c r="Q902" s="14" t="s">
        <v>2266</v>
      </c>
      <c r="R902" s="3" t="s">
        <v>4170</v>
      </c>
      <c r="S902" s="3">
        <f t="shared" si="46"/>
        <v>550</v>
      </c>
      <c r="T902" s="3">
        <f t="shared" si="47"/>
        <v>17050</v>
      </c>
      <c r="U902" s="3" t="s">
        <v>60</v>
      </c>
      <c r="V902" s="14" t="s">
        <v>7524</v>
      </c>
      <c r="W902" s="14" t="s">
        <v>4202</v>
      </c>
      <c r="X902" s="14" t="s">
        <v>60</v>
      </c>
    </row>
    <row r="903" spans="1:24" ht="15" x14ac:dyDescent="0.3">
      <c r="A903" s="3">
        <v>37</v>
      </c>
      <c r="B903" s="3" t="s">
        <v>7570</v>
      </c>
      <c r="C903" s="14" t="s">
        <v>0</v>
      </c>
      <c r="D903" s="14" t="s">
        <v>2267</v>
      </c>
      <c r="E903" s="14" t="s">
        <v>7571</v>
      </c>
      <c r="F903" s="14" t="s">
        <v>2268</v>
      </c>
      <c r="G903" s="14" t="s">
        <v>3</v>
      </c>
      <c r="H903" s="14" t="s">
        <v>7572</v>
      </c>
      <c r="I903" s="14" t="s">
        <v>2269</v>
      </c>
      <c r="J903" s="14" t="s">
        <v>60</v>
      </c>
      <c r="K903" s="14" t="s">
        <v>60</v>
      </c>
      <c r="L903" s="14" t="s">
        <v>60</v>
      </c>
      <c r="M903" s="14" t="s">
        <v>2270</v>
      </c>
      <c r="N903" s="14" t="s">
        <v>60</v>
      </c>
      <c r="O903" s="14" t="s">
        <v>60</v>
      </c>
      <c r="P903" s="14" t="s">
        <v>7573</v>
      </c>
      <c r="Q903" s="14" t="s">
        <v>175</v>
      </c>
      <c r="R903" s="3" t="s">
        <v>4381</v>
      </c>
      <c r="S903" s="3">
        <f t="shared" si="46"/>
        <v>550</v>
      </c>
      <c r="T903" s="3">
        <f t="shared" si="47"/>
        <v>15400</v>
      </c>
      <c r="U903" s="3" t="s">
        <v>60</v>
      </c>
      <c r="V903" s="14" t="s">
        <v>6</v>
      </c>
      <c r="W903" s="14" t="s">
        <v>4198</v>
      </c>
      <c r="X903" s="14" t="s">
        <v>60</v>
      </c>
    </row>
    <row r="904" spans="1:24" ht="15" x14ac:dyDescent="0.3">
      <c r="A904" s="3">
        <v>38</v>
      </c>
      <c r="B904" s="3" t="s">
        <v>7574</v>
      </c>
      <c r="C904" s="14" t="s">
        <v>0</v>
      </c>
      <c r="D904" s="14" t="s">
        <v>2271</v>
      </c>
      <c r="E904" s="14" t="s">
        <v>4195</v>
      </c>
      <c r="F904" s="14" t="s">
        <v>2272</v>
      </c>
      <c r="G904" s="14" t="s">
        <v>3</v>
      </c>
      <c r="H904" s="14" t="s">
        <v>7575</v>
      </c>
      <c r="I904" s="14" t="s">
        <v>2273</v>
      </c>
      <c r="J904" s="14" t="s">
        <v>60</v>
      </c>
      <c r="K904" s="14" t="s">
        <v>60</v>
      </c>
      <c r="L904" s="14" t="s">
        <v>60</v>
      </c>
      <c r="M904" s="14" t="s">
        <v>2274</v>
      </c>
      <c r="N904" s="14" t="s">
        <v>60</v>
      </c>
      <c r="O904" s="14" t="s">
        <v>60</v>
      </c>
      <c r="P904" s="14" t="s">
        <v>7576</v>
      </c>
      <c r="Q904" s="14" t="s">
        <v>11</v>
      </c>
      <c r="R904" s="3" t="s">
        <v>4170</v>
      </c>
      <c r="S904" s="3">
        <f t="shared" si="46"/>
        <v>550</v>
      </c>
      <c r="T904" s="3">
        <f t="shared" si="47"/>
        <v>17050</v>
      </c>
      <c r="U904" s="3" t="s">
        <v>60</v>
      </c>
      <c r="V904" s="14" t="s">
        <v>6</v>
      </c>
      <c r="W904" s="14" t="s">
        <v>4198</v>
      </c>
      <c r="X904" s="14" t="s">
        <v>60</v>
      </c>
    </row>
    <row r="905" spans="1:24" ht="15" x14ac:dyDescent="0.3">
      <c r="A905" s="3">
        <v>39</v>
      </c>
      <c r="B905" s="3" t="s">
        <v>7577</v>
      </c>
      <c r="C905" s="14" t="s">
        <v>0</v>
      </c>
      <c r="D905" s="14" t="s">
        <v>2275</v>
      </c>
      <c r="E905" s="14" t="s">
        <v>7561</v>
      </c>
      <c r="F905" s="14" t="s">
        <v>2276</v>
      </c>
      <c r="G905" s="14" t="s">
        <v>3</v>
      </c>
      <c r="H905" s="14" t="s">
        <v>7578</v>
      </c>
      <c r="I905" s="14" t="s">
        <v>2277</v>
      </c>
      <c r="J905" s="14" t="s">
        <v>60</v>
      </c>
      <c r="K905" s="14" t="s">
        <v>60</v>
      </c>
      <c r="L905" s="14" t="s">
        <v>60</v>
      </c>
      <c r="M905" s="14" t="s">
        <v>2278</v>
      </c>
      <c r="N905" s="14" t="s">
        <v>60</v>
      </c>
      <c r="O905" s="14" t="s">
        <v>60</v>
      </c>
      <c r="P905" s="14" t="s">
        <v>7579</v>
      </c>
      <c r="Q905" s="14" t="s">
        <v>11</v>
      </c>
      <c r="R905" s="3" t="s">
        <v>4170</v>
      </c>
      <c r="S905" s="3">
        <f t="shared" si="46"/>
        <v>550</v>
      </c>
      <c r="T905" s="3">
        <f t="shared" si="47"/>
        <v>17050</v>
      </c>
      <c r="U905" s="3">
        <f>SUM(T887:T905)</f>
        <v>321750</v>
      </c>
      <c r="V905" s="14" t="s">
        <v>6</v>
      </c>
      <c r="W905" s="14" t="s">
        <v>4198</v>
      </c>
      <c r="X905" s="14" t="s">
        <v>60</v>
      </c>
    </row>
    <row r="906" spans="1:24" ht="15" x14ac:dyDescent="0.3">
      <c r="A906" s="3">
        <v>40</v>
      </c>
      <c r="B906" s="3" t="s">
        <v>7580</v>
      </c>
      <c r="C906" s="14" t="s">
        <v>0</v>
      </c>
      <c r="D906" s="14" t="s">
        <v>2279</v>
      </c>
      <c r="E906" s="14" t="s">
        <v>7581</v>
      </c>
      <c r="F906" s="14" t="s">
        <v>2280</v>
      </c>
      <c r="G906" s="14" t="s">
        <v>121</v>
      </c>
      <c r="H906" s="14" t="s">
        <v>7582</v>
      </c>
      <c r="I906" s="14" t="s">
        <v>2281</v>
      </c>
      <c r="J906" s="14" t="s">
        <v>60</v>
      </c>
      <c r="K906" s="14" t="s">
        <v>60</v>
      </c>
      <c r="L906" s="14" t="s">
        <v>60</v>
      </c>
      <c r="M906" s="14" t="s">
        <v>60</v>
      </c>
      <c r="N906" s="14" t="s">
        <v>60</v>
      </c>
      <c r="O906" s="14" t="s">
        <v>60</v>
      </c>
      <c r="P906" s="14" t="s">
        <v>7583</v>
      </c>
      <c r="Q906" s="14" t="s">
        <v>2282</v>
      </c>
      <c r="R906" s="3" t="s">
        <v>4170</v>
      </c>
      <c r="S906" s="3">
        <f t="shared" si="46"/>
        <v>550</v>
      </c>
      <c r="T906" s="3">
        <f t="shared" si="47"/>
        <v>17050</v>
      </c>
      <c r="U906" s="3" t="s">
        <v>60</v>
      </c>
      <c r="V906" s="14" t="s">
        <v>4208</v>
      </c>
      <c r="W906" s="14" t="s">
        <v>5466</v>
      </c>
      <c r="X906" s="14" t="s">
        <v>60</v>
      </c>
    </row>
    <row r="907" spans="1:24" ht="15" x14ac:dyDescent="0.3">
      <c r="A907" s="3">
        <v>41</v>
      </c>
      <c r="B907" s="3" t="s">
        <v>7584</v>
      </c>
      <c r="C907" s="14" t="s">
        <v>0</v>
      </c>
      <c r="D907" s="14" t="s">
        <v>2283</v>
      </c>
      <c r="E907" s="14" t="s">
        <v>4205</v>
      </c>
      <c r="F907" s="14" t="s">
        <v>2284</v>
      </c>
      <c r="G907" s="14" t="s">
        <v>3</v>
      </c>
      <c r="H907" s="14" t="s">
        <v>7585</v>
      </c>
      <c r="I907" s="14" t="s">
        <v>2285</v>
      </c>
      <c r="J907" s="14" t="s">
        <v>60</v>
      </c>
      <c r="K907" s="14" t="s">
        <v>60</v>
      </c>
      <c r="L907" s="14" t="s">
        <v>60</v>
      </c>
      <c r="M907" s="14" t="s">
        <v>60</v>
      </c>
      <c r="N907" s="14" t="s">
        <v>60</v>
      </c>
      <c r="O907" s="14" t="s">
        <v>60</v>
      </c>
      <c r="P907" s="14" t="s">
        <v>7586</v>
      </c>
      <c r="Q907" s="14" t="s">
        <v>11</v>
      </c>
      <c r="R907" s="3" t="s">
        <v>4443</v>
      </c>
      <c r="S907" s="3">
        <f t="shared" si="46"/>
        <v>550</v>
      </c>
      <c r="T907" s="3">
        <f t="shared" si="47"/>
        <v>11550</v>
      </c>
      <c r="U907" s="3" t="s">
        <v>60</v>
      </c>
      <c r="V907" s="14" t="s">
        <v>6</v>
      </c>
      <c r="W907" s="14" t="s">
        <v>6318</v>
      </c>
      <c r="X907" s="14" t="s">
        <v>60</v>
      </c>
    </row>
    <row r="908" spans="1:24" ht="15" x14ac:dyDescent="0.3">
      <c r="A908" s="3">
        <v>42</v>
      </c>
      <c r="B908" s="3" t="s">
        <v>7587</v>
      </c>
      <c r="C908" s="14" t="s">
        <v>0</v>
      </c>
      <c r="D908" s="14" t="s">
        <v>2289</v>
      </c>
      <c r="E908" s="14" t="s">
        <v>7588</v>
      </c>
      <c r="F908" s="14" t="s">
        <v>2290</v>
      </c>
      <c r="G908" s="14" t="s">
        <v>3</v>
      </c>
      <c r="H908" s="14" t="s">
        <v>7589</v>
      </c>
      <c r="I908" s="14" t="s">
        <v>7590</v>
      </c>
      <c r="J908" s="14" t="s">
        <v>60</v>
      </c>
      <c r="K908" s="14" t="s">
        <v>60</v>
      </c>
      <c r="L908" s="14" t="s">
        <v>60</v>
      </c>
      <c r="M908" s="14" t="s">
        <v>2291</v>
      </c>
      <c r="N908" s="14" t="s">
        <v>60</v>
      </c>
      <c r="O908" s="14" t="s">
        <v>193</v>
      </c>
      <c r="P908" s="14" t="s">
        <v>7591</v>
      </c>
      <c r="Q908" s="14" t="s">
        <v>1676</v>
      </c>
      <c r="R908" s="3" t="s">
        <v>4170</v>
      </c>
      <c r="S908" s="3">
        <f t="shared" si="46"/>
        <v>550</v>
      </c>
      <c r="T908" s="3">
        <f t="shared" si="47"/>
        <v>17050</v>
      </c>
      <c r="U908" s="3" t="s">
        <v>60</v>
      </c>
      <c r="V908" s="14" t="s">
        <v>6</v>
      </c>
      <c r="W908" s="14" t="s">
        <v>4287</v>
      </c>
      <c r="X908" s="14" t="s">
        <v>60</v>
      </c>
    </row>
    <row r="909" spans="1:24" ht="15" x14ac:dyDescent="0.3">
      <c r="A909" s="3">
        <v>43</v>
      </c>
      <c r="B909" s="3" t="s">
        <v>7592</v>
      </c>
      <c r="C909" s="14" t="s">
        <v>0</v>
      </c>
      <c r="D909" s="14" t="s">
        <v>2292</v>
      </c>
      <c r="E909" s="14" t="s">
        <v>7593</v>
      </c>
      <c r="F909" s="14" t="s">
        <v>2293</v>
      </c>
      <c r="G909" s="14" t="s">
        <v>3</v>
      </c>
      <c r="H909" s="14" t="s">
        <v>7594</v>
      </c>
      <c r="I909" s="14" t="s">
        <v>7595</v>
      </c>
      <c r="J909" s="14" t="s">
        <v>60</v>
      </c>
      <c r="K909" s="14" t="s">
        <v>60</v>
      </c>
      <c r="L909" s="14" t="s">
        <v>60</v>
      </c>
      <c r="M909" s="14" t="s">
        <v>2294</v>
      </c>
      <c r="N909" s="14" t="s">
        <v>60</v>
      </c>
      <c r="O909" s="14" t="s">
        <v>193</v>
      </c>
      <c r="P909" s="14" t="s">
        <v>7596</v>
      </c>
      <c r="Q909" s="14" t="s">
        <v>11</v>
      </c>
      <c r="R909" s="3" t="s">
        <v>4516</v>
      </c>
      <c r="S909" s="3">
        <f t="shared" si="46"/>
        <v>550</v>
      </c>
      <c r="T909" s="3">
        <f t="shared" si="47"/>
        <v>12650</v>
      </c>
      <c r="U909" s="3" t="s">
        <v>60</v>
      </c>
      <c r="V909" s="14" t="s">
        <v>6</v>
      </c>
      <c r="W909" s="14" t="s">
        <v>4287</v>
      </c>
      <c r="X909" s="14" t="s">
        <v>60</v>
      </c>
    </row>
    <row r="910" spans="1:24" ht="15" x14ac:dyDescent="0.3">
      <c r="A910" s="3">
        <v>44</v>
      </c>
      <c r="B910" s="3" t="s">
        <v>2295</v>
      </c>
      <c r="C910" s="14" t="s">
        <v>0</v>
      </c>
      <c r="D910" s="14" t="s">
        <v>2296</v>
      </c>
      <c r="E910" s="14" t="s">
        <v>7597</v>
      </c>
      <c r="F910" s="14" t="s">
        <v>2297</v>
      </c>
      <c r="G910" s="14" t="s">
        <v>3</v>
      </c>
      <c r="H910" s="14" t="s">
        <v>7598</v>
      </c>
      <c r="I910" s="14" t="s">
        <v>7599</v>
      </c>
      <c r="J910" s="14" t="s">
        <v>60</v>
      </c>
      <c r="K910" s="14" t="s">
        <v>60</v>
      </c>
      <c r="L910" s="14" t="s">
        <v>60</v>
      </c>
      <c r="M910" s="14" t="s">
        <v>2298</v>
      </c>
      <c r="N910" s="14" t="s">
        <v>60</v>
      </c>
      <c r="O910" s="14" t="s">
        <v>193</v>
      </c>
      <c r="P910" s="14" t="s">
        <v>7600</v>
      </c>
      <c r="Q910" s="14" t="s">
        <v>5</v>
      </c>
      <c r="R910" s="3" t="s">
        <v>4170</v>
      </c>
      <c r="S910" s="3">
        <f t="shared" si="46"/>
        <v>550</v>
      </c>
      <c r="T910" s="3">
        <f t="shared" si="47"/>
        <v>17050</v>
      </c>
      <c r="U910" s="3" t="s">
        <v>60</v>
      </c>
      <c r="V910" s="14" t="s">
        <v>6</v>
      </c>
      <c r="W910" s="14" t="s">
        <v>4287</v>
      </c>
      <c r="X910" s="14" t="s">
        <v>60</v>
      </c>
    </row>
    <row r="911" spans="1:24" ht="15" x14ac:dyDescent="0.3">
      <c r="A911" s="3">
        <v>45</v>
      </c>
      <c r="B911" s="3" t="s">
        <v>7601</v>
      </c>
      <c r="C911" s="14" t="s">
        <v>0</v>
      </c>
      <c r="D911" s="14" t="s">
        <v>2307</v>
      </c>
      <c r="E911" s="14" t="s">
        <v>7602</v>
      </c>
      <c r="F911" s="14" t="s">
        <v>2308</v>
      </c>
      <c r="G911" s="14" t="s">
        <v>3</v>
      </c>
      <c r="H911" s="14" t="s">
        <v>7603</v>
      </c>
      <c r="I911" s="14" t="s">
        <v>2309</v>
      </c>
      <c r="J911" s="14" t="s">
        <v>60</v>
      </c>
      <c r="K911" s="14" t="s">
        <v>60</v>
      </c>
      <c r="L911" s="14" t="s">
        <v>60</v>
      </c>
      <c r="M911" s="14" t="s">
        <v>2310</v>
      </c>
      <c r="N911" s="14" t="s">
        <v>60</v>
      </c>
      <c r="O911" s="14" t="s">
        <v>193</v>
      </c>
      <c r="P911" s="14" t="s">
        <v>7604</v>
      </c>
      <c r="Q911" s="14" t="s">
        <v>588</v>
      </c>
      <c r="R911" s="3" t="s">
        <v>4170</v>
      </c>
      <c r="S911" s="3">
        <f t="shared" si="46"/>
        <v>550</v>
      </c>
      <c r="T911" s="3">
        <f t="shared" si="47"/>
        <v>17050</v>
      </c>
      <c r="U911" s="3" t="s">
        <v>60</v>
      </c>
      <c r="V911" s="14" t="s">
        <v>6</v>
      </c>
      <c r="W911" s="14" t="s">
        <v>4287</v>
      </c>
      <c r="X911" s="14" t="s">
        <v>60</v>
      </c>
    </row>
    <row r="912" spans="1:24" ht="15" x14ac:dyDescent="0.3">
      <c r="A912" s="3">
        <v>46</v>
      </c>
      <c r="B912" s="3" t="s">
        <v>7605</v>
      </c>
      <c r="C912" s="14" t="s">
        <v>0</v>
      </c>
      <c r="D912" s="14" t="s">
        <v>2311</v>
      </c>
      <c r="E912" s="14" t="s">
        <v>7606</v>
      </c>
      <c r="F912" s="14" t="s">
        <v>2312</v>
      </c>
      <c r="G912" s="14" t="s">
        <v>3</v>
      </c>
      <c r="H912" s="14" t="s">
        <v>7607</v>
      </c>
      <c r="I912" s="14" t="s">
        <v>2313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114</v>
      </c>
      <c r="P912" s="14" t="s">
        <v>7608</v>
      </c>
      <c r="Q912" s="14" t="s">
        <v>11</v>
      </c>
      <c r="R912" s="3" t="s">
        <v>4170</v>
      </c>
      <c r="S912" s="3">
        <f t="shared" si="46"/>
        <v>550</v>
      </c>
      <c r="T912" s="3">
        <f t="shared" si="47"/>
        <v>17050</v>
      </c>
      <c r="U912" s="3" t="s">
        <v>60</v>
      </c>
      <c r="V912" s="14" t="s">
        <v>6</v>
      </c>
      <c r="W912" s="14" t="s">
        <v>6789</v>
      </c>
      <c r="X912" s="14" t="s">
        <v>60</v>
      </c>
    </row>
    <row r="913" spans="1:24" ht="15" x14ac:dyDescent="0.3">
      <c r="A913" s="3">
        <v>47</v>
      </c>
      <c r="B913" s="3" t="s">
        <v>7609</v>
      </c>
      <c r="C913" s="14" t="s">
        <v>0</v>
      </c>
      <c r="D913" s="14" t="s">
        <v>2252</v>
      </c>
      <c r="E913" s="14" t="s">
        <v>6713</v>
      </c>
      <c r="F913" s="14" t="s">
        <v>2253</v>
      </c>
      <c r="G913" s="14" t="s">
        <v>3</v>
      </c>
      <c r="H913" s="14" t="s">
        <v>2254</v>
      </c>
      <c r="I913" s="14" t="s">
        <v>2255</v>
      </c>
      <c r="J913" s="14" t="s">
        <v>60</v>
      </c>
      <c r="K913" s="14" t="s">
        <v>60</v>
      </c>
      <c r="L913" s="14" t="s">
        <v>60</v>
      </c>
      <c r="M913" s="14" t="s">
        <v>60</v>
      </c>
      <c r="N913" s="14" t="s">
        <v>60</v>
      </c>
      <c r="O913" s="14" t="s">
        <v>25</v>
      </c>
      <c r="P913" s="14" t="s">
        <v>7610</v>
      </c>
      <c r="Q913" s="14" t="s">
        <v>11</v>
      </c>
      <c r="R913" s="3" t="s">
        <v>68</v>
      </c>
      <c r="S913" s="3">
        <f t="shared" si="46"/>
        <v>550</v>
      </c>
      <c r="T913" s="3">
        <f t="shared" si="47"/>
        <v>0</v>
      </c>
      <c r="U913" s="3" t="s">
        <v>60</v>
      </c>
      <c r="V913" s="14" t="s">
        <v>6</v>
      </c>
      <c r="W913" s="14" t="s">
        <v>4985</v>
      </c>
      <c r="X913" s="14" t="s">
        <v>4495</v>
      </c>
    </row>
    <row r="914" spans="1:24" ht="15" x14ac:dyDescent="0.3">
      <c r="A914" s="3">
        <v>48</v>
      </c>
      <c r="B914" s="3" t="s">
        <v>7611</v>
      </c>
      <c r="C914" s="14" t="s">
        <v>0</v>
      </c>
      <c r="D914" s="14" t="s">
        <v>2197</v>
      </c>
      <c r="E914" s="14" t="s">
        <v>7612</v>
      </c>
      <c r="F914" s="14" t="s">
        <v>2198</v>
      </c>
      <c r="G914" s="14" t="s">
        <v>3</v>
      </c>
      <c r="H914" s="14" t="s">
        <v>7613</v>
      </c>
      <c r="I914" s="14" t="s">
        <v>2199</v>
      </c>
      <c r="J914" s="14" t="s">
        <v>60</v>
      </c>
      <c r="K914" s="14" t="s">
        <v>60</v>
      </c>
      <c r="L914" s="14" t="s">
        <v>60</v>
      </c>
      <c r="M914" s="14" t="s">
        <v>2200</v>
      </c>
      <c r="N914" s="14" t="s">
        <v>60</v>
      </c>
      <c r="O914" s="14" t="s">
        <v>60</v>
      </c>
      <c r="P914" s="14" t="s">
        <v>7614</v>
      </c>
      <c r="Q914" s="14" t="s">
        <v>2084</v>
      </c>
      <c r="R914" s="3" t="s">
        <v>4170</v>
      </c>
      <c r="S914" s="3">
        <f t="shared" si="46"/>
        <v>550</v>
      </c>
      <c r="T914" s="3">
        <f t="shared" si="47"/>
        <v>17050</v>
      </c>
      <c r="U914" s="3" t="s">
        <v>60</v>
      </c>
      <c r="V914" s="14" t="s">
        <v>6</v>
      </c>
      <c r="W914" s="14" t="s">
        <v>4634</v>
      </c>
      <c r="X914" s="14" t="s">
        <v>60</v>
      </c>
    </row>
    <row r="915" spans="1:24" ht="15" x14ac:dyDescent="0.3">
      <c r="A915" s="3">
        <v>49</v>
      </c>
      <c r="B915" s="3" t="s">
        <v>7615</v>
      </c>
      <c r="C915" s="14" t="s">
        <v>0</v>
      </c>
      <c r="D915" s="14" t="s">
        <v>2201</v>
      </c>
      <c r="E915" s="14" t="s">
        <v>5306</v>
      </c>
      <c r="F915" s="14" t="s">
        <v>2202</v>
      </c>
      <c r="G915" s="14" t="s">
        <v>3</v>
      </c>
      <c r="H915" s="14" t="s">
        <v>7616</v>
      </c>
      <c r="I915" s="14" t="s">
        <v>2203</v>
      </c>
      <c r="J915" s="14" t="s">
        <v>60</v>
      </c>
      <c r="K915" s="14" t="s">
        <v>60</v>
      </c>
      <c r="L915" s="14" t="s">
        <v>60</v>
      </c>
      <c r="M915" s="14" t="s">
        <v>2204</v>
      </c>
      <c r="N915" s="14" t="s">
        <v>60</v>
      </c>
      <c r="O915" s="14" t="s">
        <v>60</v>
      </c>
      <c r="P915" s="14" t="s">
        <v>7617</v>
      </c>
      <c r="Q915" s="14" t="s">
        <v>2084</v>
      </c>
      <c r="R915" s="3" t="s">
        <v>4170</v>
      </c>
      <c r="S915" s="3">
        <f t="shared" si="46"/>
        <v>550</v>
      </c>
      <c r="T915" s="3">
        <f t="shared" si="47"/>
        <v>17050</v>
      </c>
      <c r="U915" s="3" t="s">
        <v>60</v>
      </c>
      <c r="V915" s="14" t="s">
        <v>6</v>
      </c>
      <c r="W915" s="14" t="s">
        <v>4634</v>
      </c>
      <c r="X915" s="14" t="s">
        <v>60</v>
      </c>
    </row>
    <row r="916" spans="1:24" ht="15" x14ac:dyDescent="0.3">
      <c r="A916" s="3">
        <v>50</v>
      </c>
      <c r="B916" s="3" t="s">
        <v>7618</v>
      </c>
      <c r="C916" s="14" t="s">
        <v>0</v>
      </c>
      <c r="D916" s="14" t="s">
        <v>2224</v>
      </c>
      <c r="E916" s="14" t="s">
        <v>5037</v>
      </c>
      <c r="F916" s="14" t="s">
        <v>2225</v>
      </c>
      <c r="G916" s="14" t="s">
        <v>3</v>
      </c>
      <c r="H916" s="14" t="s">
        <v>7619</v>
      </c>
      <c r="I916" s="14" t="s">
        <v>2226</v>
      </c>
      <c r="J916" s="14" t="s">
        <v>60</v>
      </c>
      <c r="K916" s="14" t="s">
        <v>60</v>
      </c>
      <c r="L916" s="14" t="s">
        <v>60</v>
      </c>
      <c r="M916" s="14" t="s">
        <v>2227</v>
      </c>
      <c r="N916" s="14" t="s">
        <v>60</v>
      </c>
      <c r="O916" s="14" t="s">
        <v>328</v>
      </c>
      <c r="P916" s="14" t="s">
        <v>7620</v>
      </c>
      <c r="Q916" s="14" t="s">
        <v>11</v>
      </c>
      <c r="R916" s="3" t="s">
        <v>4170</v>
      </c>
      <c r="S916" s="3">
        <f t="shared" si="46"/>
        <v>550</v>
      </c>
      <c r="T916" s="3">
        <f t="shared" si="47"/>
        <v>17050</v>
      </c>
      <c r="U916" s="3" t="s">
        <v>60</v>
      </c>
      <c r="V916" s="14" t="s">
        <v>6</v>
      </c>
      <c r="W916" s="14" t="s">
        <v>4287</v>
      </c>
      <c r="X916" s="14" t="s">
        <v>60</v>
      </c>
    </row>
    <row r="917" spans="1:24" ht="15" x14ac:dyDescent="0.3">
      <c r="A917" s="3">
        <v>51</v>
      </c>
      <c r="B917" s="3" t="s">
        <v>7621</v>
      </c>
      <c r="C917" s="14" t="s">
        <v>0</v>
      </c>
      <c r="D917" s="14" t="s">
        <v>2134</v>
      </c>
      <c r="E917" s="14" t="s">
        <v>5435</v>
      </c>
      <c r="F917" s="14" t="s">
        <v>2135</v>
      </c>
      <c r="G917" s="14" t="s">
        <v>3</v>
      </c>
      <c r="H917" s="14" t="s">
        <v>7622</v>
      </c>
      <c r="I917" s="14" t="s">
        <v>2136</v>
      </c>
      <c r="J917" s="14" t="s">
        <v>60</v>
      </c>
      <c r="K917" s="14" t="s">
        <v>60</v>
      </c>
      <c r="L917" s="14" t="s">
        <v>60</v>
      </c>
      <c r="M917" s="14" t="s">
        <v>60</v>
      </c>
      <c r="N917" s="14" t="s">
        <v>60</v>
      </c>
      <c r="O917" s="14" t="s">
        <v>114</v>
      </c>
      <c r="P917" s="14" t="s">
        <v>7623</v>
      </c>
      <c r="Q917" s="14" t="s">
        <v>2137</v>
      </c>
      <c r="R917" s="3" t="s">
        <v>6355</v>
      </c>
      <c r="S917" s="3">
        <f t="shared" si="46"/>
        <v>550</v>
      </c>
      <c r="T917" s="3">
        <f t="shared" si="47"/>
        <v>12100</v>
      </c>
      <c r="U917" s="3">
        <f>SUM(T906:T917)</f>
        <v>172700</v>
      </c>
      <c r="V917" s="14" t="s">
        <v>6</v>
      </c>
      <c r="W917" s="14" t="s">
        <v>6789</v>
      </c>
      <c r="X917" s="14" t="s">
        <v>60</v>
      </c>
    </row>
    <row r="918" spans="1:24" ht="15.6" x14ac:dyDescent="0.3">
      <c r="A918" s="26" t="s">
        <v>60</v>
      </c>
      <c r="B918" s="26" t="s">
        <v>60</v>
      </c>
      <c r="C918" s="27" t="s">
        <v>60</v>
      </c>
      <c r="D918" s="27" t="s">
        <v>60</v>
      </c>
      <c r="E918" s="27" t="s">
        <v>60</v>
      </c>
      <c r="F918" s="27" t="s">
        <v>60</v>
      </c>
      <c r="G918" s="27" t="s">
        <v>60</v>
      </c>
      <c r="H918" s="27" t="s">
        <v>60</v>
      </c>
      <c r="I918" s="27" t="s">
        <v>60</v>
      </c>
      <c r="J918" s="27" t="s">
        <v>60</v>
      </c>
      <c r="K918" s="27" t="s">
        <v>60</v>
      </c>
      <c r="L918" s="27" t="s">
        <v>60</v>
      </c>
      <c r="M918" s="27" t="s">
        <v>60</v>
      </c>
      <c r="N918" s="27" t="s">
        <v>60</v>
      </c>
      <c r="O918" s="27" t="s">
        <v>60</v>
      </c>
      <c r="P918" s="27" t="s">
        <v>60</v>
      </c>
      <c r="Q918" s="27" t="s">
        <v>60</v>
      </c>
      <c r="R918" s="35" t="s">
        <v>2009</v>
      </c>
      <c r="S918" s="35" t="s">
        <v>60</v>
      </c>
      <c r="T918" s="26">
        <f>SUM(T866:T917)</f>
        <v>849240</v>
      </c>
      <c r="U918" s="26">
        <f>SUM(U866:U917)</f>
        <v>849240</v>
      </c>
      <c r="V918" s="27" t="s">
        <v>60</v>
      </c>
      <c r="W918" s="27" t="s">
        <v>60</v>
      </c>
      <c r="X918" s="27" t="s">
        <v>60</v>
      </c>
    </row>
    <row r="919" spans="1:24" ht="15.6" x14ac:dyDescent="0.3">
      <c r="A919" s="34" t="s">
        <v>7624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 spans="1:24" ht="109.2" x14ac:dyDescent="0.3">
      <c r="A920" s="23" t="s">
        <v>42</v>
      </c>
      <c r="B920" s="23" t="s">
        <v>43</v>
      </c>
      <c r="C920" s="24" t="s">
        <v>44</v>
      </c>
      <c r="D920" s="24" t="s">
        <v>4154</v>
      </c>
      <c r="E920" s="24" t="s">
        <v>4155</v>
      </c>
      <c r="F920" s="24" t="s">
        <v>4156</v>
      </c>
      <c r="G920" s="24" t="s">
        <v>45</v>
      </c>
      <c r="H920" s="24" t="s">
        <v>4157</v>
      </c>
      <c r="I920" s="24" t="s">
        <v>46</v>
      </c>
      <c r="J920" s="24" t="s">
        <v>4158</v>
      </c>
      <c r="K920" s="24" t="s">
        <v>4159</v>
      </c>
      <c r="L920" s="24" t="s">
        <v>4160</v>
      </c>
      <c r="M920" s="24" t="s">
        <v>4161</v>
      </c>
      <c r="N920" s="24" t="s">
        <v>47</v>
      </c>
      <c r="O920" s="24" t="s">
        <v>48</v>
      </c>
      <c r="P920" s="24" t="s">
        <v>49</v>
      </c>
      <c r="Q920" s="24" t="s">
        <v>50</v>
      </c>
      <c r="R920" s="23" t="s">
        <v>4162</v>
      </c>
      <c r="S920" s="23" t="s">
        <v>4163</v>
      </c>
      <c r="T920" s="23" t="s">
        <v>4164</v>
      </c>
      <c r="U920" s="23" t="s">
        <v>4165</v>
      </c>
      <c r="V920" s="24" t="s">
        <v>51</v>
      </c>
      <c r="W920" s="24" t="s">
        <v>52</v>
      </c>
      <c r="X920" s="24" t="s">
        <v>53</v>
      </c>
    </row>
    <row r="921" spans="1:24" ht="15" x14ac:dyDescent="0.3">
      <c r="A921" s="3">
        <v>1</v>
      </c>
      <c r="B921" s="3" t="s">
        <v>7625</v>
      </c>
      <c r="C921" s="14" t="s">
        <v>0</v>
      </c>
      <c r="D921" s="14" t="s">
        <v>2205</v>
      </c>
      <c r="E921" s="14" t="s">
        <v>5435</v>
      </c>
      <c r="F921" s="14" t="s">
        <v>242</v>
      </c>
      <c r="G921" s="14" t="s">
        <v>3</v>
      </c>
      <c r="H921" s="14" t="s">
        <v>7626</v>
      </c>
      <c r="I921" s="14" t="s">
        <v>7627</v>
      </c>
      <c r="J921" s="14" t="s">
        <v>60</v>
      </c>
      <c r="K921" s="14" t="s">
        <v>60</v>
      </c>
      <c r="L921" s="14" t="s">
        <v>60</v>
      </c>
      <c r="M921" s="14" t="s">
        <v>2206</v>
      </c>
      <c r="N921" s="14" t="s">
        <v>60</v>
      </c>
      <c r="O921" s="14" t="s">
        <v>193</v>
      </c>
      <c r="P921" s="14" t="s">
        <v>7628</v>
      </c>
      <c r="Q921" s="14" t="s">
        <v>2207</v>
      </c>
      <c r="R921" s="3" t="s">
        <v>4170</v>
      </c>
      <c r="S921" s="3">
        <f t="shared" ref="S921:S954" si="48">IF(RIGHT(C921,3)="MAZ",550,IF(RIGHT(C921,4)="MATE",570,IF(RIGHT(C921,7)="SKD-III",640,IF(RIGHT(C921,6)="SKD-II",770,IF(RIGHT(C921,5)="SKD-I",900,IF(RIGHT(C921,5)="CPDVR",770,""))))))</f>
        <v>550</v>
      </c>
      <c r="T921" s="3">
        <f t="shared" ref="T921:T954" si="49">R921*S921</f>
        <v>17050</v>
      </c>
      <c r="U921" s="3" t="s">
        <v>60</v>
      </c>
      <c r="V921" s="14" t="s">
        <v>6</v>
      </c>
      <c r="W921" s="14" t="s">
        <v>4287</v>
      </c>
      <c r="X921" s="14" t="s">
        <v>60</v>
      </c>
    </row>
    <row r="922" spans="1:24" ht="15" x14ac:dyDescent="0.3">
      <c r="A922" s="3">
        <v>2</v>
      </c>
      <c r="B922" s="3" t="s">
        <v>7629</v>
      </c>
      <c r="C922" s="14" t="s">
        <v>0</v>
      </c>
      <c r="D922" s="14" t="s">
        <v>2208</v>
      </c>
      <c r="E922" s="14" t="s">
        <v>7630</v>
      </c>
      <c r="F922" s="14" t="s">
        <v>2209</v>
      </c>
      <c r="G922" s="14" t="s">
        <v>3</v>
      </c>
      <c r="H922" s="14" t="s">
        <v>7631</v>
      </c>
      <c r="I922" s="14" t="s">
        <v>2210</v>
      </c>
      <c r="J922" s="14" t="s">
        <v>60</v>
      </c>
      <c r="K922" s="14" t="s">
        <v>60</v>
      </c>
      <c r="L922" s="14" t="s">
        <v>60</v>
      </c>
      <c r="M922" s="14" t="s">
        <v>2211</v>
      </c>
      <c r="N922" s="14" t="s">
        <v>60</v>
      </c>
      <c r="O922" s="14" t="s">
        <v>2212</v>
      </c>
      <c r="P922" s="14" t="s">
        <v>7632</v>
      </c>
      <c r="Q922" s="14" t="s">
        <v>1131</v>
      </c>
      <c r="R922" s="3" t="s">
        <v>4170</v>
      </c>
      <c r="S922" s="3">
        <f t="shared" si="48"/>
        <v>550</v>
      </c>
      <c r="T922" s="3">
        <f t="shared" si="49"/>
        <v>17050</v>
      </c>
      <c r="U922" s="3" t="s">
        <v>60</v>
      </c>
      <c r="V922" s="14" t="s">
        <v>6</v>
      </c>
      <c r="W922" s="14" t="s">
        <v>4594</v>
      </c>
      <c r="X922" s="14" t="s">
        <v>60</v>
      </c>
    </row>
    <row r="923" spans="1:24" ht="15" x14ac:dyDescent="0.3">
      <c r="A923" s="3">
        <v>3</v>
      </c>
      <c r="B923" s="3" t="s">
        <v>7633</v>
      </c>
      <c r="C923" s="14" t="s">
        <v>0</v>
      </c>
      <c r="D923" s="14" t="s">
        <v>2213</v>
      </c>
      <c r="E923" s="14" t="s">
        <v>7634</v>
      </c>
      <c r="F923" s="14" t="s">
        <v>2214</v>
      </c>
      <c r="G923" s="14" t="s">
        <v>3</v>
      </c>
      <c r="H923" s="14" t="s">
        <v>7635</v>
      </c>
      <c r="I923" s="14" t="s">
        <v>2215</v>
      </c>
      <c r="J923" s="14" t="s">
        <v>60</v>
      </c>
      <c r="K923" s="14" t="s">
        <v>60</v>
      </c>
      <c r="L923" s="14" t="s">
        <v>60</v>
      </c>
      <c r="M923" s="14" t="s">
        <v>2216</v>
      </c>
      <c r="N923" s="14" t="s">
        <v>60</v>
      </c>
      <c r="O923" s="14" t="s">
        <v>2217</v>
      </c>
      <c r="P923" s="14" t="s">
        <v>7636</v>
      </c>
      <c r="Q923" s="14" t="s">
        <v>2218</v>
      </c>
      <c r="R923" s="3" t="s">
        <v>4170</v>
      </c>
      <c r="S923" s="3">
        <f t="shared" si="48"/>
        <v>550</v>
      </c>
      <c r="T923" s="3">
        <f t="shared" si="49"/>
        <v>17050</v>
      </c>
      <c r="U923" s="3" t="s">
        <v>60</v>
      </c>
      <c r="V923" s="14" t="s">
        <v>6</v>
      </c>
      <c r="W923" s="14" t="s">
        <v>4287</v>
      </c>
      <c r="X923" s="14" t="s">
        <v>60</v>
      </c>
    </row>
    <row r="924" spans="1:24" ht="15" x14ac:dyDescent="0.3">
      <c r="A924" s="3">
        <v>4</v>
      </c>
      <c r="B924" s="3" t="s">
        <v>7637</v>
      </c>
      <c r="C924" s="14" t="s">
        <v>0</v>
      </c>
      <c r="D924" s="14" t="s">
        <v>2219</v>
      </c>
      <c r="E924" s="14" t="s">
        <v>7638</v>
      </c>
      <c r="F924" s="14" t="s">
        <v>2220</v>
      </c>
      <c r="G924" s="14" t="s">
        <v>3</v>
      </c>
      <c r="H924" s="14" t="s">
        <v>2221</v>
      </c>
      <c r="I924" s="14" t="s">
        <v>2222</v>
      </c>
      <c r="J924" s="14" t="s">
        <v>60</v>
      </c>
      <c r="K924" s="14" t="s">
        <v>60</v>
      </c>
      <c r="L924" s="14" t="s">
        <v>60</v>
      </c>
      <c r="M924" s="14" t="s">
        <v>2223</v>
      </c>
      <c r="N924" s="14" t="s">
        <v>60</v>
      </c>
      <c r="O924" s="14" t="s">
        <v>2217</v>
      </c>
      <c r="P924" s="14" t="s">
        <v>7639</v>
      </c>
      <c r="Q924" s="14" t="s">
        <v>24</v>
      </c>
      <c r="R924" s="3" t="s">
        <v>68</v>
      </c>
      <c r="S924" s="3">
        <f t="shared" si="48"/>
        <v>550</v>
      </c>
      <c r="T924" s="3">
        <f t="shared" si="49"/>
        <v>0</v>
      </c>
      <c r="U924" s="3" t="s">
        <v>60</v>
      </c>
      <c r="V924" s="14" t="s">
        <v>6</v>
      </c>
      <c r="W924" s="14" t="s">
        <v>4287</v>
      </c>
      <c r="X924" s="14" t="s">
        <v>7640</v>
      </c>
    </row>
    <row r="925" spans="1:24" ht="15" x14ac:dyDescent="0.3">
      <c r="A925" s="3">
        <v>5</v>
      </c>
      <c r="B925" s="3" t="s">
        <v>2228</v>
      </c>
      <c r="C925" s="14" t="s">
        <v>0</v>
      </c>
      <c r="D925" s="14" t="s">
        <v>2229</v>
      </c>
      <c r="E925" s="14" t="s">
        <v>2230</v>
      </c>
      <c r="F925" s="14" t="s">
        <v>2231</v>
      </c>
      <c r="G925" s="14" t="s">
        <v>3</v>
      </c>
      <c r="H925" s="14" t="s">
        <v>7641</v>
      </c>
      <c r="I925" s="14" t="s">
        <v>2232</v>
      </c>
      <c r="J925" s="14" t="s">
        <v>60</v>
      </c>
      <c r="K925" s="14" t="s">
        <v>60</v>
      </c>
      <c r="L925" s="14" t="s">
        <v>60</v>
      </c>
      <c r="M925" s="14" t="s">
        <v>60</v>
      </c>
      <c r="N925" s="14" t="s">
        <v>60</v>
      </c>
      <c r="O925" s="14" t="s">
        <v>60</v>
      </c>
      <c r="P925" s="14" t="s">
        <v>7642</v>
      </c>
      <c r="Q925" s="14" t="s">
        <v>11</v>
      </c>
      <c r="R925" s="3" t="s">
        <v>4170</v>
      </c>
      <c r="S925" s="3">
        <f t="shared" si="48"/>
        <v>550</v>
      </c>
      <c r="T925" s="3">
        <f t="shared" si="49"/>
        <v>17050</v>
      </c>
      <c r="U925" s="3" t="s">
        <v>60</v>
      </c>
      <c r="V925" s="14" t="s">
        <v>6</v>
      </c>
      <c r="W925" s="14" t="s">
        <v>4287</v>
      </c>
      <c r="X925" s="14" t="s">
        <v>60</v>
      </c>
    </row>
    <row r="926" spans="1:24" ht="15" x14ac:dyDescent="0.3">
      <c r="A926" s="3">
        <v>6</v>
      </c>
      <c r="B926" s="3" t="s">
        <v>7643</v>
      </c>
      <c r="C926" s="14" t="s">
        <v>91</v>
      </c>
      <c r="D926" s="14" t="s">
        <v>2233</v>
      </c>
      <c r="E926" s="14" t="s">
        <v>7644</v>
      </c>
      <c r="F926" s="14" t="s">
        <v>2234</v>
      </c>
      <c r="G926" s="14" t="s">
        <v>3</v>
      </c>
      <c r="H926" s="14" t="s">
        <v>7645</v>
      </c>
      <c r="I926" s="14" t="s">
        <v>2235</v>
      </c>
      <c r="J926" s="14" t="s">
        <v>60</v>
      </c>
      <c r="K926" s="14" t="s">
        <v>60</v>
      </c>
      <c r="L926" s="14" t="s">
        <v>60</v>
      </c>
      <c r="M926" s="14" t="s">
        <v>2236</v>
      </c>
      <c r="N926" s="14" t="s">
        <v>60</v>
      </c>
      <c r="O926" s="14" t="s">
        <v>193</v>
      </c>
      <c r="P926" s="14" t="s">
        <v>7646</v>
      </c>
      <c r="Q926" s="14" t="s">
        <v>2151</v>
      </c>
      <c r="R926" s="3" t="s">
        <v>4170</v>
      </c>
      <c r="S926" s="3">
        <f t="shared" si="48"/>
        <v>770</v>
      </c>
      <c r="T926" s="3">
        <f t="shared" si="49"/>
        <v>23870</v>
      </c>
      <c r="U926" s="3" t="s">
        <v>60</v>
      </c>
      <c r="V926" s="14" t="s">
        <v>6</v>
      </c>
      <c r="W926" s="14" t="s">
        <v>4287</v>
      </c>
      <c r="X926" s="14" t="s">
        <v>60</v>
      </c>
    </row>
    <row r="927" spans="1:24" ht="15" x14ac:dyDescent="0.3">
      <c r="A927" s="3">
        <v>7</v>
      </c>
      <c r="B927" s="3" t="s">
        <v>2237</v>
      </c>
      <c r="C927" s="14" t="s">
        <v>69</v>
      </c>
      <c r="D927" s="14" t="s">
        <v>2163</v>
      </c>
      <c r="E927" s="14" t="s">
        <v>4895</v>
      </c>
      <c r="F927" s="14" t="s">
        <v>2238</v>
      </c>
      <c r="G927" s="14" t="s">
        <v>3</v>
      </c>
      <c r="H927" s="14" t="s">
        <v>7647</v>
      </c>
      <c r="I927" s="14" t="s">
        <v>7648</v>
      </c>
      <c r="J927" s="14" t="s">
        <v>60</v>
      </c>
      <c r="K927" s="14" t="s">
        <v>60</v>
      </c>
      <c r="L927" s="14" t="s">
        <v>60</v>
      </c>
      <c r="M927" s="14" t="s">
        <v>2239</v>
      </c>
      <c r="N927" s="14" t="s">
        <v>60</v>
      </c>
      <c r="O927" s="14" t="s">
        <v>193</v>
      </c>
      <c r="P927" s="14" t="s">
        <v>7649</v>
      </c>
      <c r="Q927" s="14" t="s">
        <v>5</v>
      </c>
      <c r="R927" s="3" t="s">
        <v>4170</v>
      </c>
      <c r="S927" s="3">
        <f t="shared" si="48"/>
        <v>570</v>
      </c>
      <c r="T927" s="3">
        <f t="shared" si="49"/>
        <v>17670</v>
      </c>
      <c r="U927" s="3" t="s">
        <v>60</v>
      </c>
      <c r="V927" s="14" t="s">
        <v>6</v>
      </c>
      <c r="W927" s="14" t="s">
        <v>4287</v>
      </c>
      <c r="X927" s="14" t="s">
        <v>60</v>
      </c>
    </row>
    <row r="928" spans="1:24" ht="15" x14ac:dyDescent="0.3">
      <c r="A928" s="3">
        <v>8</v>
      </c>
      <c r="B928" s="3" t="s">
        <v>7650</v>
      </c>
      <c r="C928" s="14" t="s">
        <v>0</v>
      </c>
      <c r="D928" s="14" t="s">
        <v>2241</v>
      </c>
      <c r="E928" s="14" t="s">
        <v>4293</v>
      </c>
      <c r="F928" s="14" t="s">
        <v>2242</v>
      </c>
      <c r="G928" s="14" t="s">
        <v>3</v>
      </c>
      <c r="H928" s="14" t="s">
        <v>7651</v>
      </c>
      <c r="I928" s="14" t="s">
        <v>2243</v>
      </c>
      <c r="J928" s="14" t="s">
        <v>60</v>
      </c>
      <c r="K928" s="14" t="s">
        <v>60</v>
      </c>
      <c r="L928" s="14" t="s">
        <v>60</v>
      </c>
      <c r="M928" s="14" t="s">
        <v>2244</v>
      </c>
      <c r="N928" s="14" t="s">
        <v>60</v>
      </c>
      <c r="O928" s="14" t="s">
        <v>60</v>
      </c>
      <c r="P928" s="14" t="s">
        <v>7652</v>
      </c>
      <c r="Q928" s="14" t="s">
        <v>11</v>
      </c>
      <c r="R928" s="3" t="s">
        <v>4170</v>
      </c>
      <c r="S928" s="3">
        <f t="shared" si="48"/>
        <v>550</v>
      </c>
      <c r="T928" s="3">
        <f t="shared" si="49"/>
        <v>17050</v>
      </c>
      <c r="U928" s="3" t="s">
        <v>60</v>
      </c>
      <c r="V928" s="14" t="s">
        <v>6</v>
      </c>
      <c r="W928" s="14" t="s">
        <v>5291</v>
      </c>
      <c r="X928" s="14" t="s">
        <v>60</v>
      </c>
    </row>
    <row r="929" spans="1:24" ht="15" x14ac:dyDescent="0.3">
      <c r="A929" s="3">
        <v>9</v>
      </c>
      <c r="B929" s="3" t="s">
        <v>7653</v>
      </c>
      <c r="C929" s="14" t="s">
        <v>0</v>
      </c>
      <c r="D929" s="14" t="s">
        <v>2071</v>
      </c>
      <c r="E929" s="14" t="s">
        <v>7654</v>
      </c>
      <c r="F929" s="14" t="s">
        <v>2072</v>
      </c>
      <c r="G929" s="14" t="s">
        <v>3</v>
      </c>
      <c r="H929" s="14" t="s">
        <v>7655</v>
      </c>
      <c r="I929" s="14" t="s">
        <v>2073</v>
      </c>
      <c r="J929" s="14" t="s">
        <v>60</v>
      </c>
      <c r="K929" s="14" t="s">
        <v>60</v>
      </c>
      <c r="L929" s="14" t="s">
        <v>60</v>
      </c>
      <c r="M929" s="14" t="s">
        <v>2074</v>
      </c>
      <c r="N929" s="14" t="s">
        <v>60</v>
      </c>
      <c r="O929" s="14" t="s">
        <v>193</v>
      </c>
      <c r="P929" s="14" t="s">
        <v>7656</v>
      </c>
      <c r="Q929" s="14" t="s">
        <v>11</v>
      </c>
      <c r="R929" s="3" t="s">
        <v>4170</v>
      </c>
      <c r="S929" s="3">
        <f t="shared" si="48"/>
        <v>550</v>
      </c>
      <c r="T929" s="3">
        <f t="shared" si="49"/>
        <v>17050</v>
      </c>
      <c r="U929" s="3" t="s">
        <v>60</v>
      </c>
      <c r="V929" s="14" t="s">
        <v>6</v>
      </c>
      <c r="W929" s="14" t="s">
        <v>4287</v>
      </c>
      <c r="X929" s="14" t="s">
        <v>60</v>
      </c>
    </row>
    <row r="930" spans="1:24" ht="15" x14ac:dyDescent="0.3">
      <c r="A930" s="3">
        <v>10</v>
      </c>
      <c r="B930" s="3" t="s">
        <v>2075</v>
      </c>
      <c r="C930" s="14" t="s">
        <v>0</v>
      </c>
      <c r="D930" s="14" t="s">
        <v>2076</v>
      </c>
      <c r="E930" s="14" t="s">
        <v>4644</v>
      </c>
      <c r="F930" s="14" t="s">
        <v>2077</v>
      </c>
      <c r="G930" s="14" t="s">
        <v>3</v>
      </c>
      <c r="H930" s="14" t="s">
        <v>7657</v>
      </c>
      <c r="I930" s="14" t="s">
        <v>7658</v>
      </c>
      <c r="J930" s="14" t="s">
        <v>60</v>
      </c>
      <c r="K930" s="14" t="s">
        <v>60</v>
      </c>
      <c r="L930" s="14" t="s">
        <v>60</v>
      </c>
      <c r="M930" s="14" t="s">
        <v>60</v>
      </c>
      <c r="N930" s="14" t="s">
        <v>60</v>
      </c>
      <c r="O930" s="14" t="s">
        <v>60</v>
      </c>
      <c r="P930" s="14" t="s">
        <v>7659</v>
      </c>
      <c r="Q930" s="14" t="s">
        <v>2078</v>
      </c>
      <c r="R930" s="3" t="s">
        <v>4170</v>
      </c>
      <c r="S930" s="3">
        <f t="shared" si="48"/>
        <v>550</v>
      </c>
      <c r="T930" s="3">
        <f t="shared" si="49"/>
        <v>17050</v>
      </c>
      <c r="U930" s="3" t="s">
        <v>60</v>
      </c>
      <c r="V930" s="14" t="s">
        <v>6</v>
      </c>
      <c r="W930" s="14" t="s">
        <v>4287</v>
      </c>
      <c r="X930" s="14" t="s">
        <v>60</v>
      </c>
    </row>
    <row r="931" spans="1:24" ht="15" x14ac:dyDescent="0.3">
      <c r="A931" s="3">
        <v>11</v>
      </c>
      <c r="B931" s="3" t="s">
        <v>7660</v>
      </c>
      <c r="C931" s="14" t="s">
        <v>14</v>
      </c>
      <c r="D931" s="14" t="s">
        <v>2098</v>
      </c>
      <c r="E931" s="14" t="s">
        <v>7661</v>
      </c>
      <c r="F931" s="14" t="s">
        <v>2099</v>
      </c>
      <c r="G931" s="14" t="s">
        <v>121</v>
      </c>
      <c r="H931" s="14" t="s">
        <v>7662</v>
      </c>
      <c r="I931" s="14" t="s">
        <v>7663</v>
      </c>
      <c r="J931" s="14" t="s">
        <v>60</v>
      </c>
      <c r="K931" s="14" t="s">
        <v>60</v>
      </c>
      <c r="L931" s="14" t="s">
        <v>60</v>
      </c>
      <c r="M931" s="14" t="s">
        <v>60</v>
      </c>
      <c r="N931" s="14" t="s">
        <v>60</v>
      </c>
      <c r="O931" s="14" t="s">
        <v>60</v>
      </c>
      <c r="P931" s="14" t="s">
        <v>7664</v>
      </c>
      <c r="Q931" s="14" t="s">
        <v>11</v>
      </c>
      <c r="R931" s="3" t="s">
        <v>4170</v>
      </c>
      <c r="S931" s="3">
        <f t="shared" si="48"/>
        <v>640</v>
      </c>
      <c r="T931" s="3">
        <f t="shared" si="49"/>
        <v>19840</v>
      </c>
      <c r="U931" s="3" t="s">
        <v>60</v>
      </c>
      <c r="V931" s="14" t="s">
        <v>6</v>
      </c>
      <c r="W931" s="14" t="s">
        <v>4287</v>
      </c>
      <c r="X931" s="14" t="s">
        <v>60</v>
      </c>
    </row>
    <row r="932" spans="1:24" ht="15" x14ac:dyDescent="0.3">
      <c r="A932" s="3">
        <v>12</v>
      </c>
      <c r="B932" s="3" t="s">
        <v>7665</v>
      </c>
      <c r="C932" s="14" t="s">
        <v>0</v>
      </c>
      <c r="D932" s="14" t="s">
        <v>2100</v>
      </c>
      <c r="E932" s="14" t="s">
        <v>7666</v>
      </c>
      <c r="F932" s="14" t="s">
        <v>2101</v>
      </c>
      <c r="G932" s="14" t="s">
        <v>3</v>
      </c>
      <c r="H932" s="14" t="s">
        <v>7667</v>
      </c>
      <c r="I932" s="14" t="s">
        <v>7668</v>
      </c>
      <c r="J932" s="14" t="s">
        <v>60</v>
      </c>
      <c r="K932" s="14" t="s">
        <v>60</v>
      </c>
      <c r="L932" s="14" t="s">
        <v>60</v>
      </c>
      <c r="M932" s="14" t="s">
        <v>2102</v>
      </c>
      <c r="N932" s="14" t="s">
        <v>60</v>
      </c>
      <c r="O932" s="14" t="s">
        <v>60</v>
      </c>
      <c r="P932" s="14" t="s">
        <v>7669</v>
      </c>
      <c r="Q932" s="14" t="s">
        <v>11</v>
      </c>
      <c r="R932" s="3" t="s">
        <v>4170</v>
      </c>
      <c r="S932" s="3">
        <f t="shared" si="48"/>
        <v>550</v>
      </c>
      <c r="T932" s="3">
        <f t="shared" si="49"/>
        <v>17050</v>
      </c>
      <c r="U932" s="3" t="s">
        <v>60</v>
      </c>
      <c r="V932" s="14" t="s">
        <v>6</v>
      </c>
      <c r="W932" s="14" t="s">
        <v>4287</v>
      </c>
      <c r="X932" s="14" t="s">
        <v>60</v>
      </c>
    </row>
    <row r="933" spans="1:24" ht="15" x14ac:dyDescent="0.3">
      <c r="A933" s="3">
        <v>13</v>
      </c>
      <c r="B933" s="3" t="s">
        <v>7670</v>
      </c>
      <c r="C933" s="14" t="s">
        <v>0</v>
      </c>
      <c r="D933" s="14" t="s">
        <v>2103</v>
      </c>
      <c r="E933" s="14" t="s">
        <v>7671</v>
      </c>
      <c r="F933" s="14" t="s">
        <v>2104</v>
      </c>
      <c r="G933" s="14" t="s">
        <v>3</v>
      </c>
      <c r="H933" s="14" t="s">
        <v>7672</v>
      </c>
      <c r="I933" s="14" t="s">
        <v>2105</v>
      </c>
      <c r="J933" s="14" t="s">
        <v>60</v>
      </c>
      <c r="K933" s="14" t="s">
        <v>60</v>
      </c>
      <c r="L933" s="14" t="s">
        <v>60</v>
      </c>
      <c r="M933" s="14" t="s">
        <v>2106</v>
      </c>
      <c r="N933" s="14" t="s">
        <v>60</v>
      </c>
      <c r="O933" s="14" t="s">
        <v>193</v>
      </c>
      <c r="P933" s="14" t="s">
        <v>7673</v>
      </c>
      <c r="Q933" s="14" t="s">
        <v>588</v>
      </c>
      <c r="R933" s="3" t="s">
        <v>4170</v>
      </c>
      <c r="S933" s="3">
        <f t="shared" si="48"/>
        <v>550</v>
      </c>
      <c r="T933" s="3">
        <f t="shared" si="49"/>
        <v>17050</v>
      </c>
      <c r="U933" s="3" t="s">
        <v>60</v>
      </c>
      <c r="V933" s="14" t="s">
        <v>6</v>
      </c>
      <c r="W933" s="14" t="s">
        <v>4287</v>
      </c>
      <c r="X933" s="14" t="s">
        <v>60</v>
      </c>
    </row>
    <row r="934" spans="1:24" ht="15" x14ac:dyDescent="0.3">
      <c r="A934" s="3">
        <v>14</v>
      </c>
      <c r="B934" s="3" t="s">
        <v>7674</v>
      </c>
      <c r="C934" s="14" t="s">
        <v>0</v>
      </c>
      <c r="D934" s="14" t="s">
        <v>2107</v>
      </c>
      <c r="E934" s="14" t="s">
        <v>7675</v>
      </c>
      <c r="F934" s="14" t="s">
        <v>2108</v>
      </c>
      <c r="G934" s="14" t="s">
        <v>3</v>
      </c>
      <c r="H934" s="14" t="s">
        <v>7676</v>
      </c>
      <c r="I934" s="14" t="s">
        <v>2109</v>
      </c>
      <c r="J934" s="14" t="s">
        <v>60</v>
      </c>
      <c r="K934" s="14" t="s">
        <v>60</v>
      </c>
      <c r="L934" s="14" t="s">
        <v>60</v>
      </c>
      <c r="M934" s="14" t="s">
        <v>60</v>
      </c>
      <c r="N934" s="14" t="s">
        <v>60</v>
      </c>
      <c r="O934" s="14" t="s">
        <v>2110</v>
      </c>
      <c r="P934" s="14" t="s">
        <v>7677</v>
      </c>
      <c r="Q934" s="14" t="s">
        <v>1131</v>
      </c>
      <c r="R934" s="3" t="s">
        <v>4170</v>
      </c>
      <c r="S934" s="3">
        <f t="shared" si="48"/>
        <v>550</v>
      </c>
      <c r="T934" s="3">
        <f t="shared" si="49"/>
        <v>17050</v>
      </c>
      <c r="U934" s="3" t="s">
        <v>60</v>
      </c>
      <c r="V934" s="14" t="s">
        <v>6</v>
      </c>
      <c r="W934" s="14" t="s">
        <v>5019</v>
      </c>
      <c r="X934" s="14" t="s">
        <v>60</v>
      </c>
    </row>
    <row r="935" spans="1:24" ht="15" x14ac:dyDescent="0.3">
      <c r="A935" s="3">
        <v>15</v>
      </c>
      <c r="B935" s="3" t="s">
        <v>7678</v>
      </c>
      <c r="C935" s="14" t="s">
        <v>0</v>
      </c>
      <c r="D935" s="14" t="s">
        <v>1214</v>
      </c>
      <c r="E935" s="14" t="s">
        <v>7679</v>
      </c>
      <c r="F935" s="14" t="s">
        <v>2111</v>
      </c>
      <c r="G935" s="14" t="s">
        <v>3</v>
      </c>
      <c r="H935" s="14" t="s">
        <v>7680</v>
      </c>
      <c r="I935" s="14" t="s">
        <v>7681</v>
      </c>
      <c r="J935" s="14" t="s">
        <v>60</v>
      </c>
      <c r="K935" s="14" t="s">
        <v>60</v>
      </c>
      <c r="L935" s="14" t="s">
        <v>60</v>
      </c>
      <c r="M935" s="14" t="s">
        <v>2112</v>
      </c>
      <c r="N935" s="14" t="s">
        <v>60</v>
      </c>
      <c r="O935" s="14" t="s">
        <v>193</v>
      </c>
      <c r="P935" s="14" t="s">
        <v>7682</v>
      </c>
      <c r="Q935" s="14" t="s">
        <v>11</v>
      </c>
      <c r="R935" s="3" t="s">
        <v>4170</v>
      </c>
      <c r="S935" s="3">
        <f t="shared" si="48"/>
        <v>550</v>
      </c>
      <c r="T935" s="3">
        <f t="shared" si="49"/>
        <v>17050</v>
      </c>
      <c r="U935" s="3" t="s">
        <v>60</v>
      </c>
      <c r="V935" s="14" t="s">
        <v>6</v>
      </c>
      <c r="W935" s="14" t="s">
        <v>4287</v>
      </c>
      <c r="X935" s="14" t="s">
        <v>60</v>
      </c>
    </row>
    <row r="936" spans="1:24" ht="15" x14ac:dyDescent="0.3">
      <c r="A936" s="3">
        <v>16</v>
      </c>
      <c r="B936" s="3" t="s">
        <v>7683</v>
      </c>
      <c r="C936" s="14" t="s">
        <v>0</v>
      </c>
      <c r="D936" s="14" t="s">
        <v>2113</v>
      </c>
      <c r="E936" s="14" t="s">
        <v>7684</v>
      </c>
      <c r="F936" s="14" t="s">
        <v>2114</v>
      </c>
      <c r="G936" s="14" t="s">
        <v>3</v>
      </c>
      <c r="H936" s="14" t="s">
        <v>7685</v>
      </c>
      <c r="I936" s="14" t="s">
        <v>7686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184</v>
      </c>
      <c r="P936" s="14" t="s">
        <v>7687</v>
      </c>
      <c r="Q936" s="14" t="s">
        <v>11</v>
      </c>
      <c r="R936" s="3" t="s">
        <v>4170</v>
      </c>
      <c r="S936" s="3">
        <f t="shared" si="48"/>
        <v>550</v>
      </c>
      <c r="T936" s="3">
        <f t="shared" si="49"/>
        <v>17050</v>
      </c>
      <c r="U936" s="3" t="s">
        <v>60</v>
      </c>
      <c r="V936" s="14" t="s">
        <v>6</v>
      </c>
      <c r="W936" s="14" t="s">
        <v>4287</v>
      </c>
      <c r="X936" s="14" t="s">
        <v>60</v>
      </c>
    </row>
    <row r="937" spans="1:24" ht="15" x14ac:dyDescent="0.3">
      <c r="A937" s="3">
        <v>17</v>
      </c>
      <c r="B937" s="3" t="s">
        <v>7688</v>
      </c>
      <c r="C937" s="14" t="s">
        <v>0</v>
      </c>
      <c r="D937" s="14" t="s">
        <v>2115</v>
      </c>
      <c r="E937" s="14" t="s">
        <v>7689</v>
      </c>
      <c r="F937" s="14" t="s">
        <v>2116</v>
      </c>
      <c r="G937" s="14" t="s">
        <v>3</v>
      </c>
      <c r="H937" s="14" t="s">
        <v>7690</v>
      </c>
      <c r="I937" s="14" t="s">
        <v>7691</v>
      </c>
      <c r="J937" s="14" t="s">
        <v>60</v>
      </c>
      <c r="K937" s="14" t="s">
        <v>60</v>
      </c>
      <c r="L937" s="14" t="s">
        <v>60</v>
      </c>
      <c r="M937" s="14" t="s">
        <v>60</v>
      </c>
      <c r="N937" s="14" t="s">
        <v>60</v>
      </c>
      <c r="O937" s="14" t="s">
        <v>2117</v>
      </c>
      <c r="P937" s="14" t="s">
        <v>7692</v>
      </c>
      <c r="Q937" s="14" t="s">
        <v>2118</v>
      </c>
      <c r="R937" s="3" t="s">
        <v>4170</v>
      </c>
      <c r="S937" s="3">
        <f t="shared" si="48"/>
        <v>550</v>
      </c>
      <c r="T937" s="3">
        <f t="shared" si="49"/>
        <v>17050</v>
      </c>
      <c r="U937" s="3" t="s">
        <v>60</v>
      </c>
      <c r="V937" s="14" t="s">
        <v>6</v>
      </c>
      <c r="W937" s="14" t="s">
        <v>4287</v>
      </c>
      <c r="X937" s="14" t="s">
        <v>60</v>
      </c>
    </row>
    <row r="938" spans="1:24" ht="15" x14ac:dyDescent="0.3">
      <c r="A938" s="3">
        <v>18</v>
      </c>
      <c r="B938" s="3" t="s">
        <v>7693</v>
      </c>
      <c r="C938" s="14" t="s">
        <v>0</v>
      </c>
      <c r="D938" s="14" t="s">
        <v>2119</v>
      </c>
      <c r="E938" s="14" t="s">
        <v>7694</v>
      </c>
      <c r="F938" s="14" t="s">
        <v>2120</v>
      </c>
      <c r="G938" s="14" t="s">
        <v>3</v>
      </c>
      <c r="H938" s="14" t="s">
        <v>7695</v>
      </c>
      <c r="I938" s="14" t="s">
        <v>7696</v>
      </c>
      <c r="J938" s="14" t="s">
        <v>60</v>
      </c>
      <c r="K938" s="14" t="s">
        <v>60</v>
      </c>
      <c r="L938" s="14" t="s">
        <v>60</v>
      </c>
      <c r="M938" s="14" t="s">
        <v>2121</v>
      </c>
      <c r="N938" s="14" t="s">
        <v>60</v>
      </c>
      <c r="O938" s="14" t="s">
        <v>2122</v>
      </c>
      <c r="P938" s="14" t="s">
        <v>7697</v>
      </c>
      <c r="Q938" s="14" t="s">
        <v>5</v>
      </c>
      <c r="R938" s="3" t="s">
        <v>4170</v>
      </c>
      <c r="S938" s="3">
        <f t="shared" si="48"/>
        <v>550</v>
      </c>
      <c r="T938" s="3">
        <f t="shared" si="49"/>
        <v>17050</v>
      </c>
      <c r="U938" s="3" t="s">
        <v>60</v>
      </c>
      <c r="V938" s="14" t="s">
        <v>6</v>
      </c>
      <c r="W938" s="14" t="s">
        <v>5090</v>
      </c>
      <c r="X938" s="14" t="s">
        <v>60</v>
      </c>
    </row>
    <row r="939" spans="1:24" ht="15" x14ac:dyDescent="0.3">
      <c r="A939" s="3">
        <v>19</v>
      </c>
      <c r="B939" s="3" t="s">
        <v>7698</v>
      </c>
      <c r="C939" s="14" t="s">
        <v>0</v>
      </c>
      <c r="D939" s="14" t="s">
        <v>2123</v>
      </c>
      <c r="E939" s="14" t="s">
        <v>5390</v>
      </c>
      <c r="F939" s="14" t="s">
        <v>2124</v>
      </c>
      <c r="G939" s="14" t="s">
        <v>3</v>
      </c>
      <c r="H939" s="14" t="s">
        <v>7699</v>
      </c>
      <c r="I939" s="14" t="s">
        <v>2125</v>
      </c>
      <c r="J939" s="14" t="s">
        <v>60</v>
      </c>
      <c r="K939" s="14" t="s">
        <v>60</v>
      </c>
      <c r="L939" s="14" t="s">
        <v>60</v>
      </c>
      <c r="M939" s="14" t="s">
        <v>60</v>
      </c>
      <c r="N939" s="14" t="s">
        <v>60</v>
      </c>
      <c r="O939" s="14" t="s">
        <v>2122</v>
      </c>
      <c r="P939" s="14" t="s">
        <v>7700</v>
      </c>
      <c r="Q939" s="14" t="s">
        <v>24</v>
      </c>
      <c r="R939" s="3" t="s">
        <v>4170</v>
      </c>
      <c r="S939" s="3">
        <f t="shared" si="48"/>
        <v>550</v>
      </c>
      <c r="T939" s="3">
        <f t="shared" si="49"/>
        <v>17050</v>
      </c>
      <c r="U939" s="3" t="s">
        <v>60</v>
      </c>
      <c r="V939" s="14" t="s">
        <v>6</v>
      </c>
      <c r="W939" s="14" t="s">
        <v>5090</v>
      </c>
      <c r="X939" s="14" t="s">
        <v>60</v>
      </c>
    </row>
    <row r="940" spans="1:24" ht="15" x14ac:dyDescent="0.3">
      <c r="A940" s="3">
        <v>20</v>
      </c>
      <c r="B940" s="3" t="s">
        <v>7701</v>
      </c>
      <c r="C940" s="14" t="s">
        <v>91</v>
      </c>
      <c r="D940" s="14" t="s">
        <v>2260</v>
      </c>
      <c r="E940" s="14" t="s">
        <v>7702</v>
      </c>
      <c r="F940" s="14" t="s">
        <v>2261</v>
      </c>
      <c r="G940" s="14" t="s">
        <v>3</v>
      </c>
      <c r="H940" s="14" t="s">
        <v>7703</v>
      </c>
      <c r="I940" s="14" t="s">
        <v>2262</v>
      </c>
      <c r="J940" s="14" t="s">
        <v>60</v>
      </c>
      <c r="K940" s="14" t="s">
        <v>60</v>
      </c>
      <c r="L940" s="14" t="s">
        <v>60</v>
      </c>
      <c r="M940" s="14" t="s">
        <v>60</v>
      </c>
      <c r="N940" s="14" t="s">
        <v>60</v>
      </c>
      <c r="O940" s="14" t="s">
        <v>60</v>
      </c>
      <c r="P940" s="14" t="s">
        <v>7704</v>
      </c>
      <c r="Q940" s="14" t="s">
        <v>2263</v>
      </c>
      <c r="R940" s="3" t="s">
        <v>4170</v>
      </c>
      <c r="S940" s="3">
        <f t="shared" si="48"/>
        <v>770</v>
      </c>
      <c r="T940" s="3">
        <f t="shared" si="49"/>
        <v>23870</v>
      </c>
      <c r="U940" s="3">
        <f>SUM(T921:T940)</f>
        <v>341000</v>
      </c>
      <c r="V940" s="14" t="s">
        <v>6</v>
      </c>
      <c r="W940" s="14" t="s">
        <v>7705</v>
      </c>
      <c r="X940" s="14" t="s">
        <v>60</v>
      </c>
    </row>
    <row r="941" spans="1:24" ht="15" x14ac:dyDescent="0.3">
      <c r="A941" s="3">
        <v>21</v>
      </c>
      <c r="B941" s="3" t="s">
        <v>2286</v>
      </c>
      <c r="C941" s="14" t="s">
        <v>710</v>
      </c>
      <c r="D941" s="14" t="s">
        <v>2099</v>
      </c>
      <c r="E941" s="14" t="s">
        <v>2287</v>
      </c>
      <c r="F941" s="14" t="s">
        <v>2101</v>
      </c>
      <c r="G941" s="14" t="s">
        <v>3</v>
      </c>
      <c r="H941" s="14" t="s">
        <v>7706</v>
      </c>
      <c r="I941" s="14" t="s">
        <v>7707</v>
      </c>
      <c r="J941" s="14" t="s">
        <v>60</v>
      </c>
      <c r="K941" s="14" t="s">
        <v>60</v>
      </c>
      <c r="L941" s="14" t="s">
        <v>60</v>
      </c>
      <c r="M941" s="14" t="s">
        <v>2288</v>
      </c>
      <c r="N941" s="14" t="s">
        <v>60</v>
      </c>
      <c r="O941" s="14" t="s">
        <v>193</v>
      </c>
      <c r="P941" s="14" t="s">
        <v>7708</v>
      </c>
      <c r="Q941" s="14" t="s">
        <v>1131</v>
      </c>
      <c r="R941" s="3" t="s">
        <v>4170</v>
      </c>
      <c r="S941" s="3">
        <f t="shared" si="48"/>
        <v>900</v>
      </c>
      <c r="T941" s="3">
        <f t="shared" si="49"/>
        <v>27900</v>
      </c>
      <c r="U941" s="3" t="s">
        <v>60</v>
      </c>
      <c r="V941" s="14" t="s">
        <v>6</v>
      </c>
      <c r="W941" s="14" t="s">
        <v>4287</v>
      </c>
      <c r="X941" s="14" t="s">
        <v>60</v>
      </c>
    </row>
    <row r="942" spans="1:24" ht="15" x14ac:dyDescent="0.3">
      <c r="A942" s="3">
        <v>22</v>
      </c>
      <c r="B942" s="3" t="s">
        <v>2299</v>
      </c>
      <c r="C942" s="14" t="s">
        <v>0</v>
      </c>
      <c r="D942" s="14" t="s">
        <v>2300</v>
      </c>
      <c r="E942" s="14" t="s">
        <v>7709</v>
      </c>
      <c r="F942" s="14" t="s">
        <v>2214</v>
      </c>
      <c r="G942" s="14" t="s">
        <v>3</v>
      </c>
      <c r="H942" s="14" t="s">
        <v>7710</v>
      </c>
      <c r="I942" s="14" t="s">
        <v>2301</v>
      </c>
      <c r="J942" s="14" t="s">
        <v>60</v>
      </c>
      <c r="K942" s="14" t="s">
        <v>60</v>
      </c>
      <c r="L942" s="14" t="s">
        <v>60</v>
      </c>
      <c r="M942" s="14" t="s">
        <v>2302</v>
      </c>
      <c r="N942" s="14" t="s">
        <v>60</v>
      </c>
      <c r="O942" s="14" t="s">
        <v>193</v>
      </c>
      <c r="P942" s="14" t="s">
        <v>7711</v>
      </c>
      <c r="Q942" s="14" t="s">
        <v>2266</v>
      </c>
      <c r="R942" s="3" t="s">
        <v>4170</v>
      </c>
      <c r="S942" s="3">
        <f t="shared" si="48"/>
        <v>550</v>
      </c>
      <c r="T942" s="3">
        <f t="shared" si="49"/>
        <v>17050</v>
      </c>
      <c r="U942" s="3" t="s">
        <v>60</v>
      </c>
      <c r="V942" s="14" t="s">
        <v>6</v>
      </c>
      <c r="W942" s="14" t="s">
        <v>4287</v>
      </c>
      <c r="X942" s="14" t="s">
        <v>60</v>
      </c>
    </row>
    <row r="943" spans="1:24" ht="15" x14ac:dyDescent="0.3">
      <c r="A943" s="3">
        <v>23</v>
      </c>
      <c r="B943" s="3" t="s">
        <v>7712</v>
      </c>
      <c r="C943" s="14" t="s">
        <v>0</v>
      </c>
      <c r="D943" s="14" t="s">
        <v>2303</v>
      </c>
      <c r="E943" s="14" t="s">
        <v>4928</v>
      </c>
      <c r="F943" s="14" t="s">
        <v>2304</v>
      </c>
      <c r="G943" s="14" t="s">
        <v>3</v>
      </c>
      <c r="H943" s="14" t="s">
        <v>7713</v>
      </c>
      <c r="I943" s="14" t="s">
        <v>2305</v>
      </c>
      <c r="J943" s="14" t="s">
        <v>60</v>
      </c>
      <c r="K943" s="14" t="s">
        <v>60</v>
      </c>
      <c r="L943" s="14" t="s">
        <v>60</v>
      </c>
      <c r="M943" s="14" t="s">
        <v>2306</v>
      </c>
      <c r="N943" s="14" t="s">
        <v>60</v>
      </c>
      <c r="O943" s="14" t="s">
        <v>2217</v>
      </c>
      <c r="P943" s="14" t="s">
        <v>7714</v>
      </c>
      <c r="Q943" s="14" t="s">
        <v>2151</v>
      </c>
      <c r="R943" s="3" t="s">
        <v>4170</v>
      </c>
      <c r="S943" s="3">
        <f t="shared" si="48"/>
        <v>550</v>
      </c>
      <c r="T943" s="3">
        <f t="shared" si="49"/>
        <v>17050</v>
      </c>
      <c r="U943" s="3" t="s">
        <v>60</v>
      </c>
      <c r="V943" s="14" t="s">
        <v>6</v>
      </c>
      <c r="W943" s="14" t="s">
        <v>4287</v>
      </c>
      <c r="X943" s="14" t="s">
        <v>60</v>
      </c>
    </row>
    <row r="944" spans="1:24" ht="15" x14ac:dyDescent="0.3">
      <c r="A944" s="3">
        <v>24</v>
      </c>
      <c r="B944" s="3" t="s">
        <v>7715</v>
      </c>
      <c r="C944" s="14" t="s">
        <v>0</v>
      </c>
      <c r="D944" s="14" t="s">
        <v>3291</v>
      </c>
      <c r="E944" s="14" t="s">
        <v>7716</v>
      </c>
      <c r="F944" s="14" t="s">
        <v>3292</v>
      </c>
      <c r="G944" s="14" t="s">
        <v>3</v>
      </c>
      <c r="H944" s="14" t="s">
        <v>7717</v>
      </c>
      <c r="I944" s="14" t="s">
        <v>3413</v>
      </c>
      <c r="J944" s="14" t="s">
        <v>60</v>
      </c>
      <c r="K944" s="14" t="s">
        <v>60</v>
      </c>
      <c r="L944" s="14" t="s">
        <v>60</v>
      </c>
      <c r="M944" s="14" t="s">
        <v>60</v>
      </c>
      <c r="N944" s="14" t="s">
        <v>60</v>
      </c>
      <c r="O944" s="14" t="s">
        <v>60</v>
      </c>
      <c r="P944" s="14" t="s">
        <v>7718</v>
      </c>
      <c r="Q944" s="14" t="s">
        <v>1676</v>
      </c>
      <c r="R944" s="3" t="s">
        <v>4170</v>
      </c>
      <c r="S944" s="3">
        <f t="shared" si="48"/>
        <v>550</v>
      </c>
      <c r="T944" s="3">
        <f t="shared" si="49"/>
        <v>17050</v>
      </c>
      <c r="U944" s="3" t="s">
        <v>60</v>
      </c>
      <c r="V944" s="14" t="s">
        <v>6</v>
      </c>
      <c r="W944" s="14" t="s">
        <v>4428</v>
      </c>
      <c r="X944" s="14" t="s">
        <v>60</v>
      </c>
    </row>
    <row r="945" spans="1:24" ht="15" x14ac:dyDescent="0.3">
      <c r="A945" s="3">
        <v>25</v>
      </c>
      <c r="B945" s="3" t="s">
        <v>7719</v>
      </c>
      <c r="C945" s="14" t="s">
        <v>0</v>
      </c>
      <c r="D945" s="14" t="s">
        <v>7720</v>
      </c>
      <c r="E945" s="14" t="s">
        <v>7721</v>
      </c>
      <c r="F945" s="14" t="s">
        <v>2317</v>
      </c>
      <c r="G945" s="14" t="s">
        <v>3</v>
      </c>
      <c r="H945" s="14" t="s">
        <v>7722</v>
      </c>
      <c r="I945" s="14" t="s">
        <v>2318</v>
      </c>
      <c r="J945" s="14" t="s">
        <v>60</v>
      </c>
      <c r="K945" s="14" t="s">
        <v>60</v>
      </c>
      <c r="L945" s="14" t="s">
        <v>60</v>
      </c>
      <c r="M945" s="14" t="s">
        <v>60</v>
      </c>
      <c r="N945" s="14" t="s">
        <v>60</v>
      </c>
      <c r="O945" s="14" t="s">
        <v>487</v>
      </c>
      <c r="P945" s="14" t="s">
        <v>7723</v>
      </c>
      <c r="Q945" s="14" t="s">
        <v>11</v>
      </c>
      <c r="R945" s="3" t="s">
        <v>4300</v>
      </c>
      <c r="S945" s="3">
        <f t="shared" si="48"/>
        <v>550</v>
      </c>
      <c r="T945" s="3">
        <f t="shared" si="49"/>
        <v>15950</v>
      </c>
      <c r="U945" s="3" t="s">
        <v>60</v>
      </c>
      <c r="V945" s="14" t="s">
        <v>6</v>
      </c>
      <c r="W945" s="14" t="s">
        <v>7227</v>
      </c>
      <c r="X945" s="14" t="s">
        <v>60</v>
      </c>
    </row>
    <row r="946" spans="1:24" ht="15" x14ac:dyDescent="0.3">
      <c r="A946" s="3">
        <v>26</v>
      </c>
      <c r="B946" s="3" t="s">
        <v>7724</v>
      </c>
      <c r="C946" s="14" t="s">
        <v>0</v>
      </c>
      <c r="D946" s="14" t="s">
        <v>2323</v>
      </c>
      <c r="E946" s="14" t="s">
        <v>7725</v>
      </c>
      <c r="F946" s="14" t="s">
        <v>2324</v>
      </c>
      <c r="G946" s="14" t="s">
        <v>3</v>
      </c>
      <c r="H946" s="14" t="s">
        <v>7726</v>
      </c>
      <c r="I946" s="14" t="s">
        <v>2325</v>
      </c>
      <c r="J946" s="14" t="s">
        <v>60</v>
      </c>
      <c r="K946" s="14" t="s">
        <v>60</v>
      </c>
      <c r="L946" s="14" t="s">
        <v>60</v>
      </c>
      <c r="M946" s="14" t="s">
        <v>2326</v>
      </c>
      <c r="N946" s="14" t="s">
        <v>60</v>
      </c>
      <c r="O946" s="14" t="s">
        <v>60</v>
      </c>
      <c r="P946" s="14" t="s">
        <v>7727</v>
      </c>
      <c r="Q946" s="14" t="s">
        <v>176</v>
      </c>
      <c r="R946" s="3" t="s">
        <v>4170</v>
      </c>
      <c r="S946" s="3">
        <f t="shared" si="48"/>
        <v>550</v>
      </c>
      <c r="T946" s="3">
        <f t="shared" si="49"/>
        <v>17050</v>
      </c>
      <c r="U946" s="3" t="s">
        <v>60</v>
      </c>
      <c r="V946" s="14" t="s">
        <v>6</v>
      </c>
      <c r="W946" s="14" t="s">
        <v>7728</v>
      </c>
      <c r="X946" s="14" t="s">
        <v>60</v>
      </c>
    </row>
    <row r="947" spans="1:24" ht="15" x14ac:dyDescent="0.3">
      <c r="A947" s="3">
        <v>27</v>
      </c>
      <c r="B947" s="3" t="s">
        <v>7729</v>
      </c>
      <c r="C947" s="14" t="s">
        <v>3966</v>
      </c>
      <c r="D947" s="14" t="s">
        <v>2256</v>
      </c>
      <c r="E947" s="14" t="s">
        <v>7730</v>
      </c>
      <c r="F947" s="14" t="s">
        <v>2257</v>
      </c>
      <c r="G947" s="14" t="s">
        <v>3</v>
      </c>
      <c r="H947" s="14" t="s">
        <v>2258</v>
      </c>
      <c r="I947" s="14" t="s">
        <v>2259</v>
      </c>
      <c r="J947" s="14" t="s">
        <v>60</v>
      </c>
      <c r="K947" s="14" t="s">
        <v>60</v>
      </c>
      <c r="L947" s="14" t="s">
        <v>60</v>
      </c>
      <c r="M947" s="14" t="s">
        <v>60</v>
      </c>
      <c r="N947" s="14" t="s">
        <v>60</v>
      </c>
      <c r="O947" s="14" t="s">
        <v>261</v>
      </c>
      <c r="P947" s="14" t="s">
        <v>7731</v>
      </c>
      <c r="Q947" s="14" t="s">
        <v>11</v>
      </c>
      <c r="R947" s="3" t="s">
        <v>4170</v>
      </c>
      <c r="S947" s="3">
        <f t="shared" si="48"/>
        <v>640</v>
      </c>
      <c r="T947" s="3">
        <f t="shared" si="49"/>
        <v>19840</v>
      </c>
      <c r="U947" s="3" t="s">
        <v>60</v>
      </c>
      <c r="V947" s="14" t="s">
        <v>7732</v>
      </c>
      <c r="W947" s="14" t="s">
        <v>4202</v>
      </c>
      <c r="X947" s="14" t="s">
        <v>60</v>
      </c>
    </row>
    <row r="948" spans="1:24" ht="15" x14ac:dyDescent="0.3">
      <c r="A948" s="3">
        <v>28</v>
      </c>
      <c r="B948" s="3" t="s">
        <v>7733</v>
      </c>
      <c r="C948" s="14" t="s">
        <v>0</v>
      </c>
      <c r="D948" s="14" t="s">
        <v>2314</v>
      </c>
      <c r="E948" s="14" t="s">
        <v>7734</v>
      </c>
      <c r="F948" s="14" t="s">
        <v>2315</v>
      </c>
      <c r="G948" s="14" t="s">
        <v>3</v>
      </c>
      <c r="H948" s="14" t="s">
        <v>7735</v>
      </c>
      <c r="I948" s="14" t="s">
        <v>2316</v>
      </c>
      <c r="J948" s="14" t="s">
        <v>60</v>
      </c>
      <c r="K948" s="14" t="s">
        <v>60</v>
      </c>
      <c r="L948" s="14" t="s">
        <v>60</v>
      </c>
      <c r="M948" s="14" t="s">
        <v>60</v>
      </c>
      <c r="N948" s="14" t="s">
        <v>60</v>
      </c>
      <c r="O948" s="14" t="s">
        <v>487</v>
      </c>
      <c r="P948" s="14" t="s">
        <v>7736</v>
      </c>
      <c r="Q948" s="14" t="s">
        <v>176</v>
      </c>
      <c r="R948" s="3" t="s">
        <v>4170</v>
      </c>
      <c r="S948" s="3">
        <f t="shared" si="48"/>
        <v>550</v>
      </c>
      <c r="T948" s="3">
        <f t="shared" si="49"/>
        <v>17050</v>
      </c>
      <c r="U948" s="3" t="s">
        <v>60</v>
      </c>
      <c r="V948" s="14" t="s">
        <v>6</v>
      </c>
      <c r="W948" s="14" t="s">
        <v>7227</v>
      </c>
      <c r="X948" s="14" t="s">
        <v>60</v>
      </c>
    </row>
    <row r="949" spans="1:24" ht="15" x14ac:dyDescent="0.3">
      <c r="A949" s="3">
        <v>29</v>
      </c>
      <c r="B949" s="3" t="s">
        <v>7737</v>
      </c>
      <c r="C949" s="14" t="s">
        <v>128</v>
      </c>
      <c r="D949" s="14" t="s">
        <v>2181</v>
      </c>
      <c r="E949" s="14" t="s">
        <v>7738</v>
      </c>
      <c r="F949" s="14" t="s">
        <v>2182</v>
      </c>
      <c r="G949" s="14" t="s">
        <v>3</v>
      </c>
      <c r="H949" s="14" t="s">
        <v>2183</v>
      </c>
      <c r="I949" s="14" t="s">
        <v>2184</v>
      </c>
      <c r="J949" s="14" t="s">
        <v>60</v>
      </c>
      <c r="K949" s="14" t="s">
        <v>60</v>
      </c>
      <c r="L949" s="14" t="s">
        <v>60</v>
      </c>
      <c r="M949" s="14" t="s">
        <v>2185</v>
      </c>
      <c r="N949" s="14" t="s">
        <v>60</v>
      </c>
      <c r="O949" s="14" t="s">
        <v>60</v>
      </c>
      <c r="P949" s="14" t="s">
        <v>7739</v>
      </c>
      <c r="Q949" s="14" t="s">
        <v>2084</v>
      </c>
      <c r="R949" s="3" t="s">
        <v>4170</v>
      </c>
      <c r="S949" s="3">
        <f t="shared" si="48"/>
        <v>550</v>
      </c>
      <c r="T949" s="3">
        <f t="shared" si="49"/>
        <v>17050</v>
      </c>
      <c r="U949" s="3" t="s">
        <v>60</v>
      </c>
      <c r="V949" s="14" t="s">
        <v>6</v>
      </c>
      <c r="W949" s="14" t="s">
        <v>4634</v>
      </c>
      <c r="X949" s="14" t="s">
        <v>60</v>
      </c>
    </row>
    <row r="950" spans="1:24" ht="15" x14ac:dyDescent="0.3">
      <c r="A950" s="3">
        <v>30</v>
      </c>
      <c r="B950" s="3" t="s">
        <v>7740</v>
      </c>
      <c r="C950" s="14" t="s">
        <v>0</v>
      </c>
      <c r="D950" s="14" t="s">
        <v>2186</v>
      </c>
      <c r="E950" s="14" t="s">
        <v>7741</v>
      </c>
      <c r="F950" s="14" t="s">
        <v>2187</v>
      </c>
      <c r="G950" s="14" t="s">
        <v>3</v>
      </c>
      <c r="H950" s="14" t="s">
        <v>7742</v>
      </c>
      <c r="I950" s="14" t="s">
        <v>2188</v>
      </c>
      <c r="J950" s="14" t="s">
        <v>60</v>
      </c>
      <c r="K950" s="14" t="s">
        <v>60</v>
      </c>
      <c r="L950" s="14" t="s">
        <v>60</v>
      </c>
      <c r="M950" s="14" t="s">
        <v>60</v>
      </c>
      <c r="N950" s="14" t="s">
        <v>60</v>
      </c>
      <c r="O950" s="14" t="s">
        <v>60</v>
      </c>
      <c r="P950" s="14" t="s">
        <v>7743</v>
      </c>
      <c r="Q950" s="14" t="s">
        <v>2189</v>
      </c>
      <c r="R950" s="3" t="s">
        <v>4170</v>
      </c>
      <c r="S950" s="3">
        <f t="shared" si="48"/>
        <v>550</v>
      </c>
      <c r="T950" s="3">
        <f t="shared" si="49"/>
        <v>17050</v>
      </c>
      <c r="U950" s="3" t="s">
        <v>60</v>
      </c>
      <c r="V950" s="14" t="s">
        <v>6</v>
      </c>
      <c r="W950" s="14" t="s">
        <v>4634</v>
      </c>
      <c r="X950" s="14" t="s">
        <v>60</v>
      </c>
    </row>
    <row r="951" spans="1:24" ht="15" x14ac:dyDescent="0.3">
      <c r="A951" s="3">
        <v>31</v>
      </c>
      <c r="B951" s="3" t="s">
        <v>7744</v>
      </c>
      <c r="C951" s="14" t="s">
        <v>0</v>
      </c>
      <c r="D951" s="14" t="s">
        <v>2190</v>
      </c>
      <c r="E951" s="14" t="s">
        <v>5435</v>
      </c>
      <c r="F951" s="14" t="s">
        <v>2080</v>
      </c>
      <c r="G951" s="14" t="s">
        <v>3</v>
      </c>
      <c r="H951" s="14" t="s">
        <v>7745</v>
      </c>
      <c r="I951" s="14" t="s">
        <v>2191</v>
      </c>
      <c r="J951" s="14" t="s">
        <v>60</v>
      </c>
      <c r="K951" s="14" t="s">
        <v>60</v>
      </c>
      <c r="L951" s="14" t="s">
        <v>60</v>
      </c>
      <c r="M951" s="14" t="s">
        <v>2192</v>
      </c>
      <c r="N951" s="14" t="s">
        <v>60</v>
      </c>
      <c r="O951" s="14" t="s">
        <v>60</v>
      </c>
      <c r="P951" s="14" t="s">
        <v>7746</v>
      </c>
      <c r="Q951" s="14" t="s">
        <v>2189</v>
      </c>
      <c r="R951" s="3" t="s">
        <v>4170</v>
      </c>
      <c r="S951" s="3">
        <f t="shared" si="48"/>
        <v>550</v>
      </c>
      <c r="T951" s="3">
        <f t="shared" si="49"/>
        <v>17050</v>
      </c>
      <c r="U951" s="3" t="s">
        <v>60</v>
      </c>
      <c r="V951" s="14" t="s">
        <v>6</v>
      </c>
      <c r="W951" s="14" t="s">
        <v>4634</v>
      </c>
      <c r="X951" s="14" t="s">
        <v>60</v>
      </c>
    </row>
    <row r="952" spans="1:24" ht="15" x14ac:dyDescent="0.3">
      <c r="A952" s="3">
        <v>32</v>
      </c>
      <c r="B952" s="3" t="s">
        <v>7747</v>
      </c>
      <c r="C952" s="14" t="s">
        <v>0</v>
      </c>
      <c r="D952" s="14" t="s">
        <v>2193</v>
      </c>
      <c r="E952" s="14" t="s">
        <v>6663</v>
      </c>
      <c r="F952" s="14" t="s">
        <v>2194</v>
      </c>
      <c r="G952" s="14" t="s">
        <v>3</v>
      </c>
      <c r="H952" s="14" t="s">
        <v>7748</v>
      </c>
      <c r="I952" s="14" t="s">
        <v>2195</v>
      </c>
      <c r="J952" s="14" t="s">
        <v>60</v>
      </c>
      <c r="K952" s="14" t="s">
        <v>60</v>
      </c>
      <c r="L952" s="14" t="s">
        <v>60</v>
      </c>
      <c r="M952" s="14" t="s">
        <v>2196</v>
      </c>
      <c r="N952" s="14" t="s">
        <v>60</v>
      </c>
      <c r="O952" s="14" t="s">
        <v>60</v>
      </c>
      <c r="P952" s="14" t="s">
        <v>7749</v>
      </c>
      <c r="Q952" s="14" t="s">
        <v>2189</v>
      </c>
      <c r="R952" s="3" t="s">
        <v>4170</v>
      </c>
      <c r="S952" s="3">
        <f t="shared" si="48"/>
        <v>550</v>
      </c>
      <c r="T952" s="3">
        <f t="shared" si="49"/>
        <v>17050</v>
      </c>
      <c r="U952" s="3" t="s">
        <v>60</v>
      </c>
      <c r="V952" s="14" t="s">
        <v>6</v>
      </c>
      <c r="W952" s="14" t="s">
        <v>4634</v>
      </c>
      <c r="X952" s="14" t="s">
        <v>60</v>
      </c>
    </row>
    <row r="953" spans="1:24" ht="15.6" x14ac:dyDescent="0.3">
      <c r="A953" s="3">
        <v>33</v>
      </c>
      <c r="B953" s="25" t="s">
        <v>7750</v>
      </c>
      <c r="C953" s="14" t="s">
        <v>0</v>
      </c>
      <c r="D953" s="14" t="s">
        <v>4150</v>
      </c>
      <c r="E953" s="14" t="s">
        <v>4205</v>
      </c>
      <c r="F953" s="14" t="s">
        <v>4151</v>
      </c>
      <c r="G953" s="14" t="s">
        <v>3</v>
      </c>
      <c r="H953" s="14" t="s">
        <v>7751</v>
      </c>
      <c r="I953" s="14" t="s">
        <v>4152</v>
      </c>
      <c r="J953" s="14" t="s">
        <v>60</v>
      </c>
      <c r="K953" s="14" t="s">
        <v>60</v>
      </c>
      <c r="L953" s="14" t="s">
        <v>60</v>
      </c>
      <c r="M953" s="14" t="s">
        <v>60</v>
      </c>
      <c r="N953" s="14" t="s">
        <v>60</v>
      </c>
      <c r="O953" s="14" t="s">
        <v>60</v>
      </c>
      <c r="P953" s="14" t="s">
        <v>7752</v>
      </c>
      <c r="Q953" s="14" t="s">
        <v>11</v>
      </c>
      <c r="R953" s="3" t="s">
        <v>4170</v>
      </c>
      <c r="S953" s="3">
        <f t="shared" si="48"/>
        <v>550</v>
      </c>
      <c r="T953" s="3">
        <f t="shared" si="49"/>
        <v>17050</v>
      </c>
      <c r="U953" s="3" t="s">
        <v>60</v>
      </c>
      <c r="V953" s="14" t="s">
        <v>6</v>
      </c>
      <c r="W953" s="14" t="s">
        <v>4495</v>
      </c>
      <c r="X953" s="14" t="s">
        <v>60</v>
      </c>
    </row>
    <row r="954" spans="1:24" ht="15.6" x14ac:dyDescent="0.3">
      <c r="A954" s="3">
        <v>34</v>
      </c>
      <c r="B954" s="25" t="s">
        <v>7753</v>
      </c>
      <c r="C954" s="14" t="s">
        <v>0</v>
      </c>
      <c r="D954" s="14" t="s">
        <v>2893</v>
      </c>
      <c r="E954" s="14" t="s">
        <v>4575</v>
      </c>
      <c r="F954" s="14" t="s">
        <v>2894</v>
      </c>
      <c r="G954" s="14" t="s">
        <v>3</v>
      </c>
      <c r="H954" s="14" t="s">
        <v>7754</v>
      </c>
      <c r="I954" s="14" t="s">
        <v>2896</v>
      </c>
      <c r="J954" s="14" t="s">
        <v>60</v>
      </c>
      <c r="K954" s="14" t="s">
        <v>60</v>
      </c>
      <c r="L954" s="14" t="s">
        <v>60</v>
      </c>
      <c r="M954" s="14" t="s">
        <v>7755</v>
      </c>
      <c r="N954" s="14" t="s">
        <v>60</v>
      </c>
      <c r="O954" s="14" t="s">
        <v>60</v>
      </c>
      <c r="P954" s="14" t="s">
        <v>4576</v>
      </c>
      <c r="Q954" s="14" t="s">
        <v>2898</v>
      </c>
      <c r="R954" s="3" t="s">
        <v>7756</v>
      </c>
      <c r="S954" s="3">
        <f t="shared" si="48"/>
        <v>550</v>
      </c>
      <c r="T954" s="3">
        <f t="shared" si="49"/>
        <v>2200</v>
      </c>
      <c r="U954" s="3" t="s">
        <v>7757</v>
      </c>
      <c r="V954" s="14" t="s">
        <v>6</v>
      </c>
      <c r="W954" s="14" t="s">
        <v>7758</v>
      </c>
      <c r="X954" s="14" t="s">
        <v>60</v>
      </c>
    </row>
    <row r="955" spans="1:24" ht="15.6" x14ac:dyDescent="0.3">
      <c r="A955" s="26" t="s">
        <v>60</v>
      </c>
      <c r="B955" s="26" t="s">
        <v>60</v>
      </c>
      <c r="C955" s="27" t="s">
        <v>60</v>
      </c>
      <c r="D955" s="27" t="s">
        <v>60</v>
      </c>
      <c r="E955" s="27" t="s">
        <v>60</v>
      </c>
      <c r="F955" s="27" t="s">
        <v>60</v>
      </c>
      <c r="G955" s="27" t="s">
        <v>60</v>
      </c>
      <c r="H955" s="27" t="s">
        <v>60</v>
      </c>
      <c r="I955" s="27" t="s">
        <v>60</v>
      </c>
      <c r="J955" s="27" t="s">
        <v>60</v>
      </c>
      <c r="K955" s="27" t="s">
        <v>60</v>
      </c>
      <c r="L955" s="27" t="s">
        <v>60</v>
      </c>
      <c r="M955" s="27" t="s">
        <v>60</v>
      </c>
      <c r="N955" s="27" t="s">
        <v>60</v>
      </c>
      <c r="O955" s="27" t="s">
        <v>60</v>
      </c>
      <c r="P955" s="27" t="s">
        <v>60</v>
      </c>
      <c r="Q955" s="27" t="s">
        <v>60</v>
      </c>
      <c r="R955" s="35" t="s">
        <v>2009</v>
      </c>
      <c r="S955" s="35" t="s">
        <v>60</v>
      </c>
      <c r="T955" s="26">
        <f>SUM(T920:T954)</f>
        <v>577390</v>
      </c>
      <c r="U955" s="26">
        <f>SUM(T955)</f>
        <v>577390</v>
      </c>
      <c r="V955" s="27" t="s">
        <v>60</v>
      </c>
      <c r="W955" s="27" t="s">
        <v>60</v>
      </c>
      <c r="X955" s="27" t="s">
        <v>60</v>
      </c>
    </row>
    <row r="956" spans="1:24" ht="15.6" x14ac:dyDescent="0.3">
      <c r="A956" s="34" t="s">
        <v>7759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 spans="1:24" ht="109.2" x14ac:dyDescent="0.3">
      <c r="A957" s="23" t="s">
        <v>42</v>
      </c>
      <c r="B957" s="23" t="s">
        <v>43</v>
      </c>
      <c r="C957" s="24" t="s">
        <v>44</v>
      </c>
      <c r="D957" s="24" t="s">
        <v>4154</v>
      </c>
      <c r="E957" s="24" t="s">
        <v>4155</v>
      </c>
      <c r="F957" s="24" t="s">
        <v>4156</v>
      </c>
      <c r="G957" s="24" t="s">
        <v>45</v>
      </c>
      <c r="H957" s="24" t="s">
        <v>4157</v>
      </c>
      <c r="I957" s="24" t="s">
        <v>46</v>
      </c>
      <c r="J957" s="24" t="s">
        <v>4158</v>
      </c>
      <c r="K957" s="24" t="s">
        <v>4159</v>
      </c>
      <c r="L957" s="24" t="s">
        <v>4160</v>
      </c>
      <c r="M957" s="24" t="s">
        <v>4161</v>
      </c>
      <c r="N957" s="24" t="s">
        <v>47</v>
      </c>
      <c r="O957" s="24" t="s">
        <v>48</v>
      </c>
      <c r="P957" s="24" t="s">
        <v>49</v>
      </c>
      <c r="Q957" s="24" t="s">
        <v>50</v>
      </c>
      <c r="R957" s="23" t="s">
        <v>4162</v>
      </c>
      <c r="S957" s="23" t="s">
        <v>4163</v>
      </c>
      <c r="T957" s="23" t="s">
        <v>4164</v>
      </c>
      <c r="U957" s="23" t="s">
        <v>4165</v>
      </c>
      <c r="V957" s="24" t="s">
        <v>51</v>
      </c>
      <c r="W957" s="24" t="s">
        <v>52</v>
      </c>
      <c r="X957" s="24" t="s">
        <v>53</v>
      </c>
    </row>
    <row r="958" spans="1:24" ht="15" x14ac:dyDescent="0.3">
      <c r="A958" s="3">
        <v>1</v>
      </c>
      <c r="B958" s="3" t="s">
        <v>7760</v>
      </c>
      <c r="C958" s="14" t="s">
        <v>69</v>
      </c>
      <c r="D958" s="14" t="s">
        <v>2327</v>
      </c>
      <c r="E958" s="14" t="s">
        <v>4746</v>
      </c>
      <c r="F958" s="14" t="s">
        <v>2328</v>
      </c>
      <c r="G958" s="14" t="s">
        <v>3</v>
      </c>
      <c r="H958" s="14" t="s">
        <v>2329</v>
      </c>
      <c r="I958" s="14" t="s">
        <v>2330</v>
      </c>
      <c r="J958" s="14" t="s">
        <v>60</v>
      </c>
      <c r="K958" s="14" t="s">
        <v>60</v>
      </c>
      <c r="L958" s="14" t="s">
        <v>60</v>
      </c>
      <c r="M958" s="14" t="s">
        <v>2331</v>
      </c>
      <c r="N958" s="14" t="s">
        <v>60</v>
      </c>
      <c r="O958" s="14" t="s">
        <v>7761</v>
      </c>
      <c r="P958" s="14">
        <v>97016994255</v>
      </c>
      <c r="Q958" s="14" t="s">
        <v>761</v>
      </c>
      <c r="R958" s="3" t="s">
        <v>4170</v>
      </c>
      <c r="S958" s="3">
        <f t="shared" ref="S958:S1021" si="50">IF(RIGHT(C958,3)="MAZ",550,IF(RIGHT(C958,4)="MATE",570,IF(RIGHT(C958,7)="SKD-III",640,IF(RIGHT(C958,6)="SKD-II",770,IF(RIGHT(C958,5)="SKD-I",900,IF(RIGHT(C958,5)="CPDVR",770,""))))))</f>
        <v>570</v>
      </c>
      <c r="T958" s="3">
        <f t="shared" ref="T958:T1021" si="51">R958*S958</f>
        <v>17670</v>
      </c>
      <c r="U958" s="3" t="s">
        <v>60</v>
      </c>
      <c r="V958" s="14" t="s">
        <v>6</v>
      </c>
      <c r="W958" s="14" t="s">
        <v>7762</v>
      </c>
      <c r="X958" s="14" t="s">
        <v>60</v>
      </c>
    </row>
    <row r="959" spans="1:24" ht="15" x14ac:dyDescent="0.3">
      <c r="A959" s="3">
        <v>2</v>
      </c>
      <c r="B959" s="3" t="s">
        <v>7763</v>
      </c>
      <c r="C959" s="14" t="s">
        <v>26</v>
      </c>
      <c r="D959" s="14" t="s">
        <v>2332</v>
      </c>
      <c r="E959" s="14" t="s">
        <v>7764</v>
      </c>
      <c r="F959" s="14" t="s">
        <v>2333</v>
      </c>
      <c r="G959" s="14" t="s">
        <v>3</v>
      </c>
      <c r="H959" s="14" t="s">
        <v>2334</v>
      </c>
      <c r="I959" s="14" t="s">
        <v>2335</v>
      </c>
      <c r="J959" s="14" t="s">
        <v>60</v>
      </c>
      <c r="K959" s="14" t="s">
        <v>60</v>
      </c>
      <c r="L959" s="14" t="s">
        <v>60</v>
      </c>
      <c r="M959" s="14" t="s">
        <v>60</v>
      </c>
      <c r="N959" s="14" t="s">
        <v>60</v>
      </c>
      <c r="O959" s="14" t="s">
        <v>255</v>
      </c>
      <c r="P959" s="14" t="s">
        <v>7765</v>
      </c>
      <c r="Q959" s="14" t="s">
        <v>11</v>
      </c>
      <c r="R959" s="3" t="s">
        <v>4170</v>
      </c>
      <c r="S959" s="3">
        <f t="shared" si="50"/>
        <v>770</v>
      </c>
      <c r="T959" s="3">
        <f t="shared" si="51"/>
        <v>23870</v>
      </c>
      <c r="U959" s="3" t="s">
        <v>60</v>
      </c>
      <c r="V959" s="14" t="s">
        <v>3889</v>
      </c>
      <c r="W959" s="14" t="s">
        <v>5223</v>
      </c>
      <c r="X959" s="14" t="s">
        <v>60</v>
      </c>
    </row>
    <row r="960" spans="1:24" ht="15" x14ac:dyDescent="0.3">
      <c r="A960" s="3">
        <v>3</v>
      </c>
      <c r="B960" s="3" t="s">
        <v>7766</v>
      </c>
      <c r="C960" s="14" t="s">
        <v>91</v>
      </c>
      <c r="D960" s="14" t="s">
        <v>2336</v>
      </c>
      <c r="E960" s="14" t="s">
        <v>2337</v>
      </c>
      <c r="F960" s="14" t="s">
        <v>2338</v>
      </c>
      <c r="G960" s="14" t="s">
        <v>3</v>
      </c>
      <c r="H960" s="14" t="s">
        <v>7767</v>
      </c>
      <c r="I960" s="14" t="s">
        <v>2339</v>
      </c>
      <c r="J960" s="14" t="s">
        <v>60</v>
      </c>
      <c r="K960" s="14" t="s">
        <v>60</v>
      </c>
      <c r="L960" s="14" t="s">
        <v>60</v>
      </c>
      <c r="M960" s="14" t="s">
        <v>2340</v>
      </c>
      <c r="N960" s="14" t="s">
        <v>60</v>
      </c>
      <c r="O960" s="14" t="s">
        <v>59</v>
      </c>
      <c r="P960" s="14" t="s">
        <v>7768</v>
      </c>
      <c r="Q960" s="14" t="s">
        <v>2341</v>
      </c>
      <c r="R960" s="3" t="s">
        <v>4170</v>
      </c>
      <c r="S960" s="3">
        <f t="shared" si="50"/>
        <v>770</v>
      </c>
      <c r="T960" s="3">
        <f t="shared" si="51"/>
        <v>23870</v>
      </c>
      <c r="U960" s="3" t="s">
        <v>60</v>
      </c>
      <c r="V960" s="14" t="s">
        <v>6</v>
      </c>
      <c r="W960" s="14" t="s">
        <v>5178</v>
      </c>
      <c r="X960" s="14" t="s">
        <v>60</v>
      </c>
    </row>
    <row r="961" spans="1:24" ht="15" x14ac:dyDescent="0.3">
      <c r="A961" s="3">
        <v>4</v>
      </c>
      <c r="B961" s="3" t="s">
        <v>7769</v>
      </c>
      <c r="C961" s="14" t="s">
        <v>26</v>
      </c>
      <c r="D961" s="14" t="s">
        <v>2342</v>
      </c>
      <c r="E961" s="14" t="s">
        <v>4195</v>
      </c>
      <c r="F961" s="14" t="s">
        <v>2343</v>
      </c>
      <c r="G961" s="14" t="s">
        <v>3</v>
      </c>
      <c r="H961" s="14" t="s">
        <v>7770</v>
      </c>
      <c r="I961" s="14" t="s">
        <v>2344</v>
      </c>
      <c r="J961" s="14" t="s">
        <v>60</v>
      </c>
      <c r="K961" s="14" t="s">
        <v>60</v>
      </c>
      <c r="L961" s="14" t="s">
        <v>60</v>
      </c>
      <c r="M961" s="14" t="s">
        <v>2345</v>
      </c>
      <c r="N961" s="14" t="s">
        <v>60</v>
      </c>
      <c r="O961" s="14" t="s">
        <v>255</v>
      </c>
      <c r="P961" s="14" t="s">
        <v>7771</v>
      </c>
      <c r="Q961" s="14" t="s">
        <v>11</v>
      </c>
      <c r="R961" s="3" t="s">
        <v>4170</v>
      </c>
      <c r="S961" s="3">
        <f t="shared" si="50"/>
        <v>770</v>
      </c>
      <c r="T961" s="3">
        <f t="shared" si="51"/>
        <v>23870</v>
      </c>
      <c r="U961" s="3" t="s">
        <v>60</v>
      </c>
      <c r="V961" s="14" t="s">
        <v>4208</v>
      </c>
      <c r="W961" s="14" t="s">
        <v>7206</v>
      </c>
      <c r="X961" s="14" t="s">
        <v>60</v>
      </c>
    </row>
    <row r="962" spans="1:24" ht="15" x14ac:dyDescent="0.3">
      <c r="A962" s="3">
        <v>5</v>
      </c>
      <c r="B962" s="3" t="s">
        <v>7772</v>
      </c>
      <c r="C962" s="14" t="s">
        <v>26</v>
      </c>
      <c r="D962" s="14" t="s">
        <v>2346</v>
      </c>
      <c r="E962" s="14" t="s">
        <v>4746</v>
      </c>
      <c r="F962" s="14" t="s">
        <v>2347</v>
      </c>
      <c r="G962" s="14" t="s">
        <v>3</v>
      </c>
      <c r="H962" s="14" t="s">
        <v>2348</v>
      </c>
      <c r="I962" s="14" t="s">
        <v>2349</v>
      </c>
      <c r="J962" s="14" t="s">
        <v>60</v>
      </c>
      <c r="K962" s="14" t="s">
        <v>60</v>
      </c>
      <c r="L962" s="14" t="s">
        <v>60</v>
      </c>
      <c r="M962" s="14" t="s">
        <v>2350</v>
      </c>
      <c r="N962" s="14" t="s">
        <v>60</v>
      </c>
      <c r="O962" s="14" t="s">
        <v>59</v>
      </c>
      <c r="P962" s="14" t="s">
        <v>7773</v>
      </c>
      <c r="Q962" s="14" t="s">
        <v>11</v>
      </c>
      <c r="R962" s="3" t="s">
        <v>4170</v>
      </c>
      <c r="S962" s="3">
        <f t="shared" si="50"/>
        <v>770</v>
      </c>
      <c r="T962" s="3">
        <f t="shared" si="51"/>
        <v>23870</v>
      </c>
      <c r="U962" s="3" t="s">
        <v>60</v>
      </c>
      <c r="V962" s="14" t="s">
        <v>6</v>
      </c>
      <c r="W962" s="14" t="s">
        <v>7774</v>
      </c>
      <c r="X962" s="14" t="s">
        <v>60</v>
      </c>
    </row>
    <row r="963" spans="1:24" ht="15" x14ac:dyDescent="0.3">
      <c r="A963" s="3">
        <v>6</v>
      </c>
      <c r="B963" s="3" t="s">
        <v>7775</v>
      </c>
      <c r="C963" s="14" t="s">
        <v>91</v>
      </c>
      <c r="D963" s="14" t="s">
        <v>669</v>
      </c>
      <c r="E963" s="14" t="s">
        <v>7776</v>
      </c>
      <c r="F963" s="14" t="s">
        <v>565</v>
      </c>
      <c r="G963" s="14" t="s">
        <v>3</v>
      </c>
      <c r="H963" s="14" t="s">
        <v>7777</v>
      </c>
      <c r="I963" s="14" t="s">
        <v>2351</v>
      </c>
      <c r="J963" s="14" t="s">
        <v>60</v>
      </c>
      <c r="K963" s="14" t="s">
        <v>60</v>
      </c>
      <c r="L963" s="14" t="s">
        <v>60</v>
      </c>
      <c r="M963" s="14" t="s">
        <v>2352</v>
      </c>
      <c r="N963" s="14" t="s">
        <v>60</v>
      </c>
      <c r="O963" s="14" t="s">
        <v>558</v>
      </c>
      <c r="P963" s="14" t="s">
        <v>7778</v>
      </c>
      <c r="Q963" s="14" t="s">
        <v>11</v>
      </c>
      <c r="R963" s="3" t="s">
        <v>4170</v>
      </c>
      <c r="S963" s="3">
        <f t="shared" si="50"/>
        <v>770</v>
      </c>
      <c r="T963" s="3">
        <f t="shared" si="51"/>
        <v>23870</v>
      </c>
      <c r="U963" s="3" t="s">
        <v>60</v>
      </c>
      <c r="V963" s="14" t="s">
        <v>6</v>
      </c>
      <c r="W963" s="14" t="s">
        <v>7779</v>
      </c>
      <c r="X963" s="14" t="s">
        <v>60</v>
      </c>
    </row>
    <row r="964" spans="1:24" ht="15" x14ac:dyDescent="0.3">
      <c r="A964" s="3">
        <v>7</v>
      </c>
      <c r="B964" s="3" t="s">
        <v>2353</v>
      </c>
      <c r="C964" s="14" t="s">
        <v>91</v>
      </c>
      <c r="D964" s="14" t="s">
        <v>2354</v>
      </c>
      <c r="E964" s="14" t="s">
        <v>4367</v>
      </c>
      <c r="F964" s="14" t="s">
        <v>2355</v>
      </c>
      <c r="G964" s="14" t="s">
        <v>3</v>
      </c>
      <c r="H964" s="14" t="s">
        <v>7780</v>
      </c>
      <c r="I964" s="14" t="s">
        <v>2356</v>
      </c>
      <c r="J964" s="14" t="s">
        <v>60</v>
      </c>
      <c r="K964" s="14" t="s">
        <v>60</v>
      </c>
      <c r="L964" s="14" t="s">
        <v>60</v>
      </c>
      <c r="M964" s="14" t="s">
        <v>2357</v>
      </c>
      <c r="N964" s="14" t="s">
        <v>60</v>
      </c>
      <c r="O964" s="14" t="s">
        <v>558</v>
      </c>
      <c r="P964" s="14" t="s">
        <v>7781</v>
      </c>
      <c r="Q964" s="14" t="s">
        <v>11</v>
      </c>
      <c r="R964" s="3" t="s">
        <v>4170</v>
      </c>
      <c r="S964" s="3">
        <f t="shared" si="50"/>
        <v>770</v>
      </c>
      <c r="T964" s="3">
        <f t="shared" si="51"/>
        <v>23870</v>
      </c>
      <c r="U964" s="3" t="s">
        <v>60</v>
      </c>
      <c r="V964" s="14" t="s">
        <v>6</v>
      </c>
      <c r="W964" s="14" t="s">
        <v>4287</v>
      </c>
      <c r="X964" s="14" t="s">
        <v>60</v>
      </c>
    </row>
    <row r="965" spans="1:24" ht="15" x14ac:dyDescent="0.3">
      <c r="A965" s="3">
        <v>8</v>
      </c>
      <c r="B965" s="3" t="s">
        <v>7152</v>
      </c>
      <c r="C965" s="14" t="s">
        <v>91</v>
      </c>
      <c r="D965" s="14" t="s">
        <v>2358</v>
      </c>
      <c r="E965" s="14" t="s">
        <v>2359</v>
      </c>
      <c r="F965" s="14" t="s">
        <v>2360</v>
      </c>
      <c r="G965" s="14" t="s">
        <v>3</v>
      </c>
      <c r="H965" s="14" t="s">
        <v>2361</v>
      </c>
      <c r="I965" s="14" t="s">
        <v>2362</v>
      </c>
      <c r="J965" s="14" t="s">
        <v>60</v>
      </c>
      <c r="K965" s="14" t="s">
        <v>60</v>
      </c>
      <c r="L965" s="14" t="s">
        <v>60</v>
      </c>
      <c r="M965" s="14" t="s">
        <v>2363</v>
      </c>
      <c r="N965" s="14" t="s">
        <v>60</v>
      </c>
      <c r="O965" s="14" t="s">
        <v>558</v>
      </c>
      <c r="P965" s="14" t="s">
        <v>7153</v>
      </c>
      <c r="Q965" s="14" t="s">
        <v>185</v>
      </c>
      <c r="R965" s="3" t="s">
        <v>68</v>
      </c>
      <c r="S965" s="3">
        <f t="shared" si="50"/>
        <v>770</v>
      </c>
      <c r="T965" s="3">
        <f t="shared" si="51"/>
        <v>0</v>
      </c>
      <c r="U965" s="3" t="s">
        <v>60</v>
      </c>
      <c r="V965" s="14" t="s">
        <v>6</v>
      </c>
      <c r="W965" s="14" t="s">
        <v>4287</v>
      </c>
      <c r="X965" s="14"/>
    </row>
    <row r="966" spans="1:24" ht="15" x14ac:dyDescent="0.3">
      <c r="A966" s="3">
        <v>9</v>
      </c>
      <c r="B966" s="3" t="s">
        <v>7782</v>
      </c>
      <c r="C966" s="14" t="s">
        <v>91</v>
      </c>
      <c r="D966" s="14" t="s">
        <v>2364</v>
      </c>
      <c r="E966" s="14" t="s">
        <v>7783</v>
      </c>
      <c r="F966" s="14" t="s">
        <v>2365</v>
      </c>
      <c r="G966" s="14" t="s">
        <v>3</v>
      </c>
      <c r="H966" s="14" t="s">
        <v>7784</v>
      </c>
      <c r="I966" s="14" t="s">
        <v>2366</v>
      </c>
      <c r="J966" s="14" t="s">
        <v>60</v>
      </c>
      <c r="K966" s="14" t="s">
        <v>60</v>
      </c>
      <c r="L966" s="14" t="s">
        <v>60</v>
      </c>
      <c r="M966" s="14" t="s">
        <v>2367</v>
      </c>
      <c r="N966" s="14" t="s">
        <v>60</v>
      </c>
      <c r="O966" s="14" t="s">
        <v>558</v>
      </c>
      <c r="P966" s="14" t="s">
        <v>7785</v>
      </c>
      <c r="Q966" s="14" t="s">
        <v>185</v>
      </c>
      <c r="R966" s="3" t="s">
        <v>4170</v>
      </c>
      <c r="S966" s="3">
        <f t="shared" si="50"/>
        <v>770</v>
      </c>
      <c r="T966" s="3">
        <f t="shared" si="51"/>
        <v>23870</v>
      </c>
      <c r="U966" s="3" t="s">
        <v>60</v>
      </c>
      <c r="V966" s="14" t="s">
        <v>4208</v>
      </c>
      <c r="W966" s="14" t="s">
        <v>5223</v>
      </c>
      <c r="X966" s="14" t="s">
        <v>60</v>
      </c>
    </row>
    <row r="967" spans="1:24" ht="15" x14ac:dyDescent="0.3">
      <c r="A967" s="3">
        <v>10</v>
      </c>
      <c r="B967" s="3" t="s">
        <v>7786</v>
      </c>
      <c r="C967" s="14" t="s">
        <v>710</v>
      </c>
      <c r="D967" s="14" t="s">
        <v>2368</v>
      </c>
      <c r="E967" s="14" t="s">
        <v>7787</v>
      </c>
      <c r="F967" s="14" t="s">
        <v>2369</v>
      </c>
      <c r="G967" s="14" t="s">
        <v>3</v>
      </c>
      <c r="H967" s="14" t="s">
        <v>7788</v>
      </c>
      <c r="I967" s="14" t="s">
        <v>2370</v>
      </c>
      <c r="J967" s="14" t="s">
        <v>60</v>
      </c>
      <c r="K967" s="14" t="s">
        <v>60</v>
      </c>
      <c r="L967" s="14" t="s">
        <v>60</v>
      </c>
      <c r="M967" s="14" t="s">
        <v>2371</v>
      </c>
      <c r="N967" s="14" t="s">
        <v>60</v>
      </c>
      <c r="O967" s="14" t="s">
        <v>558</v>
      </c>
      <c r="P967" s="14" t="s">
        <v>7789</v>
      </c>
      <c r="Q967" s="14" t="s">
        <v>2372</v>
      </c>
      <c r="R967" s="3" t="s">
        <v>4170</v>
      </c>
      <c r="S967" s="3">
        <f t="shared" si="50"/>
        <v>900</v>
      </c>
      <c r="T967" s="3">
        <f t="shared" si="51"/>
        <v>27900</v>
      </c>
      <c r="U967" s="3" t="s">
        <v>60</v>
      </c>
      <c r="V967" s="14" t="s">
        <v>6</v>
      </c>
      <c r="W967" s="14" t="s">
        <v>4287</v>
      </c>
      <c r="X967" s="14" t="s">
        <v>60</v>
      </c>
    </row>
    <row r="968" spans="1:24" ht="15" x14ac:dyDescent="0.3">
      <c r="A968" s="3">
        <v>11</v>
      </c>
      <c r="B968" s="3" t="s">
        <v>7790</v>
      </c>
      <c r="C968" s="14" t="s">
        <v>710</v>
      </c>
      <c r="D968" s="14" t="s">
        <v>2373</v>
      </c>
      <c r="E968" s="14" t="s">
        <v>7791</v>
      </c>
      <c r="F968" s="14" t="s">
        <v>2374</v>
      </c>
      <c r="G968" s="14" t="s">
        <v>3</v>
      </c>
      <c r="H968" s="14" t="s">
        <v>7792</v>
      </c>
      <c r="I968" s="14" t="s">
        <v>2375</v>
      </c>
      <c r="J968" s="14" t="s">
        <v>60</v>
      </c>
      <c r="K968" s="14" t="s">
        <v>60</v>
      </c>
      <c r="L968" s="14" t="s">
        <v>60</v>
      </c>
      <c r="M968" s="14" t="s">
        <v>2376</v>
      </c>
      <c r="N968" s="14" t="s">
        <v>60</v>
      </c>
      <c r="O968" s="14" t="s">
        <v>193</v>
      </c>
      <c r="P968" s="14" t="s">
        <v>7793</v>
      </c>
      <c r="Q968" s="14" t="s">
        <v>588</v>
      </c>
      <c r="R968" s="3" t="s">
        <v>4170</v>
      </c>
      <c r="S968" s="3">
        <f t="shared" si="50"/>
        <v>900</v>
      </c>
      <c r="T968" s="3">
        <f t="shared" si="51"/>
        <v>27900</v>
      </c>
      <c r="U968" s="3" t="s">
        <v>60</v>
      </c>
      <c r="V968" s="14" t="s">
        <v>4208</v>
      </c>
      <c r="W968" s="14" t="s">
        <v>7206</v>
      </c>
      <c r="X968" s="14" t="s">
        <v>60</v>
      </c>
    </row>
    <row r="969" spans="1:24" ht="15" x14ac:dyDescent="0.3">
      <c r="A969" s="3">
        <v>12</v>
      </c>
      <c r="B969" s="3" t="s">
        <v>7794</v>
      </c>
      <c r="C969" s="14" t="s">
        <v>0</v>
      </c>
      <c r="D969" s="14" t="s">
        <v>2377</v>
      </c>
      <c r="E969" s="14" t="s">
        <v>7795</v>
      </c>
      <c r="F969" s="14" t="s">
        <v>2378</v>
      </c>
      <c r="G969" s="14" t="s">
        <v>3</v>
      </c>
      <c r="H969" s="14" t="s">
        <v>2379</v>
      </c>
      <c r="I969" s="14" t="s">
        <v>2380</v>
      </c>
      <c r="J969" s="14" t="s">
        <v>60</v>
      </c>
      <c r="K969" s="14" t="s">
        <v>60</v>
      </c>
      <c r="L969" s="14" t="s">
        <v>60</v>
      </c>
      <c r="M969" s="14" t="s">
        <v>2381</v>
      </c>
      <c r="N969" s="14" t="s">
        <v>60</v>
      </c>
      <c r="O969" s="14" t="s">
        <v>255</v>
      </c>
      <c r="P969" s="14" t="s">
        <v>7796</v>
      </c>
      <c r="Q969" s="14" t="s">
        <v>11</v>
      </c>
      <c r="R969" s="3" t="s">
        <v>4443</v>
      </c>
      <c r="S969" s="3">
        <f t="shared" si="50"/>
        <v>550</v>
      </c>
      <c r="T969" s="3">
        <f t="shared" si="51"/>
        <v>11550</v>
      </c>
      <c r="U969" s="3" t="s">
        <v>60</v>
      </c>
      <c r="V969" s="14" t="s">
        <v>6</v>
      </c>
      <c r="W969" s="14" t="s">
        <v>7797</v>
      </c>
      <c r="X969" s="14" t="s">
        <v>7798</v>
      </c>
    </row>
    <row r="970" spans="1:24" ht="15" x14ac:dyDescent="0.3">
      <c r="A970" s="3">
        <v>13</v>
      </c>
      <c r="B970" s="3" t="s">
        <v>7799</v>
      </c>
      <c r="C970" s="14" t="s">
        <v>0</v>
      </c>
      <c r="D970" s="14" t="s">
        <v>2382</v>
      </c>
      <c r="E970" s="14" t="s">
        <v>7800</v>
      </c>
      <c r="F970" s="14" t="s">
        <v>2383</v>
      </c>
      <c r="G970" s="14" t="s">
        <v>3</v>
      </c>
      <c r="H970" s="14" t="s">
        <v>7801</v>
      </c>
      <c r="I970" s="14" t="s">
        <v>2384</v>
      </c>
      <c r="J970" s="14" t="s">
        <v>60</v>
      </c>
      <c r="K970" s="14" t="s">
        <v>60</v>
      </c>
      <c r="L970" s="14" t="s">
        <v>60</v>
      </c>
      <c r="M970" s="14" t="s">
        <v>2385</v>
      </c>
      <c r="N970" s="14" t="s">
        <v>60</v>
      </c>
      <c r="O970" s="14" t="s">
        <v>59</v>
      </c>
      <c r="P970" s="14" t="s">
        <v>7802</v>
      </c>
      <c r="Q970" s="14" t="s">
        <v>11</v>
      </c>
      <c r="R970" s="3" t="s">
        <v>4170</v>
      </c>
      <c r="S970" s="3">
        <f t="shared" si="50"/>
        <v>550</v>
      </c>
      <c r="T970" s="3">
        <f t="shared" si="51"/>
        <v>17050</v>
      </c>
      <c r="U970" s="3" t="s">
        <v>60</v>
      </c>
      <c r="V970" s="14" t="s">
        <v>4208</v>
      </c>
      <c r="W970" s="14" t="s">
        <v>7206</v>
      </c>
      <c r="X970" s="14" t="s">
        <v>60</v>
      </c>
    </row>
    <row r="971" spans="1:24" ht="15" x14ac:dyDescent="0.3">
      <c r="A971" s="3">
        <v>14</v>
      </c>
      <c r="B971" s="3" t="s">
        <v>7803</v>
      </c>
      <c r="C971" s="14" t="s">
        <v>0</v>
      </c>
      <c r="D971" s="14" t="s">
        <v>2386</v>
      </c>
      <c r="E971" s="14" t="s">
        <v>4293</v>
      </c>
      <c r="F971" s="14" t="s">
        <v>2387</v>
      </c>
      <c r="G971" s="14" t="s">
        <v>3</v>
      </c>
      <c r="H971" s="14" t="s">
        <v>2388</v>
      </c>
      <c r="I971" s="14" t="s">
        <v>2389</v>
      </c>
      <c r="J971" s="14" t="s">
        <v>60</v>
      </c>
      <c r="K971" s="14" t="s">
        <v>60</v>
      </c>
      <c r="L971" s="14" t="s">
        <v>60</v>
      </c>
      <c r="M971" s="14" t="s">
        <v>2390</v>
      </c>
      <c r="N971" s="14" t="s">
        <v>60</v>
      </c>
      <c r="O971" s="14" t="s">
        <v>255</v>
      </c>
      <c r="P971" s="14" t="s">
        <v>7804</v>
      </c>
      <c r="Q971" s="14" t="s">
        <v>11</v>
      </c>
      <c r="R971" s="3" t="s">
        <v>5658</v>
      </c>
      <c r="S971" s="3">
        <f t="shared" si="50"/>
        <v>550</v>
      </c>
      <c r="T971" s="3">
        <f t="shared" si="51"/>
        <v>5500</v>
      </c>
      <c r="U971" s="3" t="s">
        <v>60</v>
      </c>
      <c r="V971" s="14" t="s">
        <v>3889</v>
      </c>
      <c r="W971" s="14" t="s">
        <v>7206</v>
      </c>
      <c r="X971" s="14" t="s">
        <v>6866</v>
      </c>
    </row>
    <row r="972" spans="1:24" ht="15" x14ac:dyDescent="0.3">
      <c r="A972" s="3">
        <v>15</v>
      </c>
      <c r="B972" s="3" t="s">
        <v>7805</v>
      </c>
      <c r="C972" s="14" t="s">
        <v>0</v>
      </c>
      <c r="D972" s="14" t="s">
        <v>2391</v>
      </c>
      <c r="E972" s="14" t="s">
        <v>4195</v>
      </c>
      <c r="F972" s="14" t="s">
        <v>2392</v>
      </c>
      <c r="G972" s="14" t="s">
        <v>3</v>
      </c>
      <c r="H972" s="14" t="s">
        <v>2393</v>
      </c>
      <c r="I972" s="14" t="s">
        <v>2394</v>
      </c>
      <c r="J972" s="14" t="s">
        <v>60</v>
      </c>
      <c r="K972" s="14" t="s">
        <v>60</v>
      </c>
      <c r="L972" s="14" t="s">
        <v>60</v>
      </c>
      <c r="M972" s="14" t="s">
        <v>2395</v>
      </c>
      <c r="N972" s="14" t="s">
        <v>60</v>
      </c>
      <c r="O972" s="14" t="s">
        <v>255</v>
      </c>
      <c r="P972" s="14" t="s">
        <v>7806</v>
      </c>
      <c r="Q972" s="14" t="s">
        <v>11</v>
      </c>
      <c r="R972" s="3" t="s">
        <v>4443</v>
      </c>
      <c r="S972" s="3">
        <f t="shared" si="50"/>
        <v>550</v>
      </c>
      <c r="T972" s="3">
        <f t="shared" si="51"/>
        <v>11550</v>
      </c>
      <c r="U972" s="3" t="s">
        <v>60</v>
      </c>
      <c r="V972" s="14" t="s">
        <v>3889</v>
      </c>
      <c r="W972" s="14" t="s">
        <v>7206</v>
      </c>
      <c r="X972" s="14" t="s">
        <v>7798</v>
      </c>
    </row>
    <row r="973" spans="1:24" ht="15" x14ac:dyDescent="0.3">
      <c r="A973" s="3">
        <v>16</v>
      </c>
      <c r="B973" s="3" t="s">
        <v>7807</v>
      </c>
      <c r="C973" s="14" t="s">
        <v>0</v>
      </c>
      <c r="D973" s="14" t="s">
        <v>1610</v>
      </c>
      <c r="E973" s="14" t="s">
        <v>4293</v>
      </c>
      <c r="F973" s="14" t="s">
        <v>2396</v>
      </c>
      <c r="G973" s="14" t="s">
        <v>3</v>
      </c>
      <c r="H973" s="14" t="s">
        <v>2397</v>
      </c>
      <c r="I973" s="14" t="s">
        <v>2398</v>
      </c>
      <c r="J973" s="14" t="s">
        <v>60</v>
      </c>
      <c r="K973" s="14" t="s">
        <v>60</v>
      </c>
      <c r="L973" s="14" t="s">
        <v>60</v>
      </c>
      <c r="M973" s="14" t="s">
        <v>2399</v>
      </c>
      <c r="N973" s="14" t="s">
        <v>60</v>
      </c>
      <c r="O973" s="14" t="s">
        <v>255</v>
      </c>
      <c r="P973" s="14" t="s">
        <v>7808</v>
      </c>
      <c r="Q973" s="14" t="s">
        <v>11</v>
      </c>
      <c r="R973" s="3" t="s">
        <v>4300</v>
      </c>
      <c r="S973" s="3">
        <f t="shared" si="50"/>
        <v>550</v>
      </c>
      <c r="T973" s="3">
        <f t="shared" si="51"/>
        <v>15950</v>
      </c>
      <c r="U973" s="3" t="s">
        <v>60</v>
      </c>
      <c r="V973" s="14" t="s">
        <v>3889</v>
      </c>
      <c r="W973" s="14" t="s">
        <v>7206</v>
      </c>
      <c r="X973" s="14" t="s">
        <v>60</v>
      </c>
    </row>
    <row r="974" spans="1:24" ht="15" x14ac:dyDescent="0.3">
      <c r="A974" s="3">
        <v>17</v>
      </c>
      <c r="B974" s="3" t="s">
        <v>7809</v>
      </c>
      <c r="C974" s="14" t="s">
        <v>0</v>
      </c>
      <c r="D974" s="14" t="s">
        <v>2400</v>
      </c>
      <c r="E974" s="14" t="s">
        <v>5073</v>
      </c>
      <c r="F974" s="14" t="s">
        <v>2401</v>
      </c>
      <c r="G974" s="14" t="s">
        <v>3</v>
      </c>
      <c r="H974" s="14" t="s">
        <v>2402</v>
      </c>
      <c r="I974" s="14" t="s">
        <v>2403</v>
      </c>
      <c r="J974" s="14" t="s">
        <v>60</v>
      </c>
      <c r="K974" s="14" t="s">
        <v>60</v>
      </c>
      <c r="L974" s="14" t="s">
        <v>60</v>
      </c>
      <c r="M974" s="14" t="s">
        <v>2404</v>
      </c>
      <c r="N974" s="14" t="s">
        <v>60</v>
      </c>
      <c r="O974" s="14" t="s">
        <v>255</v>
      </c>
      <c r="P974" s="14" t="s">
        <v>7810</v>
      </c>
      <c r="Q974" s="14" t="s">
        <v>11</v>
      </c>
      <c r="R974" s="3" t="s">
        <v>4443</v>
      </c>
      <c r="S974" s="3">
        <f t="shared" si="50"/>
        <v>550</v>
      </c>
      <c r="T974" s="3">
        <f t="shared" si="51"/>
        <v>11550</v>
      </c>
      <c r="U974" s="3" t="s">
        <v>60</v>
      </c>
      <c r="V974" s="14" t="s">
        <v>3889</v>
      </c>
      <c r="W974" s="14" t="s">
        <v>7206</v>
      </c>
      <c r="X974" s="14" t="s">
        <v>7798</v>
      </c>
    </row>
    <row r="975" spans="1:24" ht="15" x14ac:dyDescent="0.3">
      <c r="A975" s="3">
        <v>18</v>
      </c>
      <c r="B975" s="3" t="s">
        <v>7811</v>
      </c>
      <c r="C975" s="14" t="s">
        <v>3967</v>
      </c>
      <c r="D975" s="14" t="s">
        <v>2405</v>
      </c>
      <c r="E975" s="14" t="s">
        <v>4562</v>
      </c>
      <c r="F975" s="14" t="s">
        <v>2406</v>
      </c>
      <c r="G975" s="14" t="s">
        <v>3</v>
      </c>
      <c r="H975" s="14" t="s">
        <v>2407</v>
      </c>
      <c r="I975" s="14" t="s">
        <v>2408</v>
      </c>
      <c r="J975" s="14" t="s">
        <v>60</v>
      </c>
      <c r="K975" s="14" t="s">
        <v>60</v>
      </c>
      <c r="L975" s="14" t="s">
        <v>60</v>
      </c>
      <c r="M975" s="14" t="s">
        <v>2409</v>
      </c>
      <c r="N975" s="14" t="s">
        <v>60</v>
      </c>
      <c r="O975" s="14" t="s">
        <v>255</v>
      </c>
      <c r="P975" s="14" t="s">
        <v>7812</v>
      </c>
      <c r="Q975" s="14" t="s">
        <v>11</v>
      </c>
      <c r="R975" s="3" t="s">
        <v>4170</v>
      </c>
      <c r="S975" s="3">
        <f t="shared" si="50"/>
        <v>640</v>
      </c>
      <c r="T975" s="3">
        <f t="shared" si="51"/>
        <v>19840</v>
      </c>
      <c r="U975" s="3" t="s">
        <v>60</v>
      </c>
      <c r="V975" s="14" t="s">
        <v>3889</v>
      </c>
      <c r="W975" s="14" t="s">
        <v>7206</v>
      </c>
      <c r="X975" s="14" t="s">
        <v>60</v>
      </c>
    </row>
    <row r="976" spans="1:24" ht="15" x14ac:dyDescent="0.3">
      <c r="A976" s="3">
        <v>19</v>
      </c>
      <c r="B976" s="3" t="s">
        <v>7813</v>
      </c>
      <c r="C976" s="14" t="s">
        <v>0</v>
      </c>
      <c r="D976" s="14" t="s">
        <v>2410</v>
      </c>
      <c r="E976" s="14" t="s">
        <v>7814</v>
      </c>
      <c r="F976" s="14" t="s">
        <v>824</v>
      </c>
      <c r="G976" s="14" t="s">
        <v>3</v>
      </c>
      <c r="H976" s="14" t="s">
        <v>7815</v>
      </c>
      <c r="I976" s="14" t="s">
        <v>2411</v>
      </c>
      <c r="J976" s="14" t="s">
        <v>60</v>
      </c>
      <c r="K976" s="14" t="s">
        <v>60</v>
      </c>
      <c r="L976" s="14" t="s">
        <v>60</v>
      </c>
      <c r="M976" s="14" t="s">
        <v>2412</v>
      </c>
      <c r="N976" s="14" t="s">
        <v>60</v>
      </c>
      <c r="O976" s="14" t="s">
        <v>255</v>
      </c>
      <c r="P976" s="14" t="s">
        <v>7816</v>
      </c>
      <c r="Q976" s="14" t="s">
        <v>11</v>
      </c>
      <c r="R976" s="3" t="s">
        <v>4170</v>
      </c>
      <c r="S976" s="3">
        <f t="shared" si="50"/>
        <v>550</v>
      </c>
      <c r="T976" s="3">
        <f t="shared" si="51"/>
        <v>17050</v>
      </c>
      <c r="U976" s="3" t="s">
        <v>60</v>
      </c>
      <c r="V976" s="14" t="s">
        <v>4208</v>
      </c>
      <c r="W976" s="14" t="s">
        <v>7206</v>
      </c>
      <c r="X976" s="14" t="s">
        <v>60</v>
      </c>
    </row>
    <row r="977" spans="1:24" ht="15" x14ac:dyDescent="0.3">
      <c r="A977" s="3">
        <v>20</v>
      </c>
      <c r="B977" s="3" t="s">
        <v>7817</v>
      </c>
      <c r="C977" s="14" t="s">
        <v>0</v>
      </c>
      <c r="D977" s="14" t="s">
        <v>2413</v>
      </c>
      <c r="E977" s="14" t="s">
        <v>4293</v>
      </c>
      <c r="F977" s="14" t="s">
        <v>2414</v>
      </c>
      <c r="G977" s="14" t="s">
        <v>3</v>
      </c>
      <c r="H977" s="14" t="s">
        <v>2415</v>
      </c>
      <c r="I977" s="14" t="s">
        <v>2416</v>
      </c>
      <c r="J977" s="14" t="s">
        <v>60</v>
      </c>
      <c r="K977" s="14" t="s">
        <v>60</v>
      </c>
      <c r="L977" s="14" t="s">
        <v>60</v>
      </c>
      <c r="M977" s="14" t="s">
        <v>2417</v>
      </c>
      <c r="N977" s="14" t="s">
        <v>60</v>
      </c>
      <c r="O977" s="14" t="s">
        <v>255</v>
      </c>
      <c r="P977" s="14" t="s">
        <v>7818</v>
      </c>
      <c r="Q977" s="14" t="s">
        <v>11</v>
      </c>
      <c r="R977" s="3" t="s">
        <v>4300</v>
      </c>
      <c r="S977" s="3">
        <f t="shared" si="50"/>
        <v>550</v>
      </c>
      <c r="T977" s="3">
        <f t="shared" si="51"/>
        <v>15950</v>
      </c>
      <c r="U977" s="3" t="s">
        <v>7819</v>
      </c>
      <c r="V977" s="14" t="s">
        <v>3889</v>
      </c>
      <c r="W977" s="14" t="s">
        <v>7206</v>
      </c>
      <c r="X977" s="14" t="s">
        <v>60</v>
      </c>
    </row>
    <row r="978" spans="1:24" ht="15" x14ac:dyDescent="0.3">
      <c r="A978" s="3">
        <v>21</v>
      </c>
      <c r="B978" s="3" t="s">
        <v>7820</v>
      </c>
      <c r="C978" s="14" t="s">
        <v>0</v>
      </c>
      <c r="D978" s="14" t="s">
        <v>2418</v>
      </c>
      <c r="E978" s="14" t="s">
        <v>2419</v>
      </c>
      <c r="F978" s="14" t="s">
        <v>2420</v>
      </c>
      <c r="G978" s="14" t="s">
        <v>3</v>
      </c>
      <c r="H978" s="14" t="s">
        <v>7821</v>
      </c>
      <c r="I978" s="14" t="s">
        <v>2421</v>
      </c>
      <c r="J978" s="14" t="s">
        <v>60</v>
      </c>
      <c r="K978" s="14" t="s">
        <v>60</v>
      </c>
      <c r="L978" s="14" t="s">
        <v>60</v>
      </c>
      <c r="M978" s="14" t="s">
        <v>2422</v>
      </c>
      <c r="N978" s="14" t="s">
        <v>60</v>
      </c>
      <c r="O978" s="14" t="s">
        <v>255</v>
      </c>
      <c r="P978" s="14" t="s">
        <v>7822</v>
      </c>
      <c r="Q978" s="14" t="s">
        <v>11</v>
      </c>
      <c r="R978" s="3" t="s">
        <v>4170</v>
      </c>
      <c r="S978" s="3">
        <f t="shared" si="50"/>
        <v>550</v>
      </c>
      <c r="T978" s="3">
        <f t="shared" si="51"/>
        <v>17050</v>
      </c>
      <c r="U978" s="3" t="s">
        <v>60</v>
      </c>
      <c r="V978" s="14" t="s">
        <v>4208</v>
      </c>
      <c r="W978" s="14" t="s">
        <v>7206</v>
      </c>
      <c r="X978" s="14" t="s">
        <v>60</v>
      </c>
    </row>
    <row r="979" spans="1:24" ht="15" x14ac:dyDescent="0.3">
      <c r="A979" s="3">
        <v>22</v>
      </c>
      <c r="B979" s="3" t="s">
        <v>7823</v>
      </c>
      <c r="C979" s="14" t="s">
        <v>0</v>
      </c>
      <c r="D979" s="14" t="s">
        <v>2423</v>
      </c>
      <c r="E979" s="14" t="s">
        <v>7824</v>
      </c>
      <c r="F979" s="14" t="s">
        <v>2424</v>
      </c>
      <c r="G979" s="14" t="s">
        <v>3</v>
      </c>
      <c r="H979" s="14" t="s">
        <v>7825</v>
      </c>
      <c r="I979" s="14" t="s">
        <v>2425</v>
      </c>
      <c r="J979" s="14" t="s">
        <v>60</v>
      </c>
      <c r="K979" s="14" t="s">
        <v>60</v>
      </c>
      <c r="L979" s="14" t="s">
        <v>60</v>
      </c>
      <c r="M979" s="14" t="s">
        <v>2426</v>
      </c>
      <c r="N979" s="14" t="s">
        <v>60</v>
      </c>
      <c r="O979" s="14" t="s">
        <v>255</v>
      </c>
      <c r="P979" s="14" t="s">
        <v>7826</v>
      </c>
      <c r="Q979" s="14" t="s">
        <v>11</v>
      </c>
      <c r="R979" s="3" t="s">
        <v>4170</v>
      </c>
      <c r="S979" s="3">
        <f t="shared" si="50"/>
        <v>550</v>
      </c>
      <c r="T979" s="3">
        <f t="shared" si="51"/>
        <v>17050</v>
      </c>
      <c r="U979" s="3" t="s">
        <v>60</v>
      </c>
      <c r="V979" s="14" t="s">
        <v>4208</v>
      </c>
      <c r="W979" s="14" t="s">
        <v>7206</v>
      </c>
      <c r="X979" s="14" t="s">
        <v>60</v>
      </c>
    </row>
    <row r="980" spans="1:24" ht="15" x14ac:dyDescent="0.3">
      <c r="A980" s="3">
        <v>23</v>
      </c>
      <c r="B980" s="3" t="s">
        <v>7827</v>
      </c>
      <c r="C980" s="14" t="s">
        <v>14</v>
      </c>
      <c r="D980" s="14" t="s">
        <v>2427</v>
      </c>
      <c r="E980" s="14" t="s">
        <v>7828</v>
      </c>
      <c r="F980" s="14" t="s">
        <v>2428</v>
      </c>
      <c r="G980" s="14" t="s">
        <v>3</v>
      </c>
      <c r="H980" s="14" t="s">
        <v>7829</v>
      </c>
      <c r="I980" s="14" t="s">
        <v>2429</v>
      </c>
      <c r="J980" s="14" t="s">
        <v>60</v>
      </c>
      <c r="K980" s="14" t="s">
        <v>60</v>
      </c>
      <c r="L980" s="14" t="s">
        <v>60</v>
      </c>
      <c r="M980" s="14" t="s">
        <v>2430</v>
      </c>
      <c r="N980" s="14" t="s">
        <v>60</v>
      </c>
      <c r="O980" s="14" t="s">
        <v>485</v>
      </c>
      <c r="P980" s="14" t="s">
        <v>7830</v>
      </c>
      <c r="Q980" s="14" t="s">
        <v>11</v>
      </c>
      <c r="R980" s="3" t="s">
        <v>4170</v>
      </c>
      <c r="S980" s="3">
        <f t="shared" si="50"/>
        <v>640</v>
      </c>
      <c r="T980" s="3">
        <f t="shared" si="51"/>
        <v>19840</v>
      </c>
      <c r="U980" s="3" t="s">
        <v>60</v>
      </c>
      <c r="V980" s="14" t="s">
        <v>6</v>
      </c>
      <c r="W980" s="14" t="s">
        <v>5240</v>
      </c>
      <c r="X980" s="14" t="s">
        <v>60</v>
      </c>
    </row>
    <row r="981" spans="1:24" ht="15" x14ac:dyDescent="0.3">
      <c r="A981" s="3">
        <v>24</v>
      </c>
      <c r="B981" s="3" t="s">
        <v>7831</v>
      </c>
      <c r="C981" s="14" t="s">
        <v>14</v>
      </c>
      <c r="D981" s="14" t="s">
        <v>2431</v>
      </c>
      <c r="E981" s="14" t="s">
        <v>7832</v>
      </c>
      <c r="F981" s="14" t="s">
        <v>2432</v>
      </c>
      <c r="G981" s="14" t="s">
        <v>3</v>
      </c>
      <c r="H981" s="14" t="s">
        <v>7833</v>
      </c>
      <c r="I981" s="14" t="s">
        <v>2433</v>
      </c>
      <c r="J981" s="14" t="s">
        <v>228</v>
      </c>
      <c r="K981" s="14" t="s">
        <v>60</v>
      </c>
      <c r="L981" s="14" t="s">
        <v>60</v>
      </c>
      <c r="M981" s="14" t="s">
        <v>60</v>
      </c>
      <c r="N981" s="14" t="s">
        <v>60</v>
      </c>
      <c r="O981" s="14" t="s">
        <v>59</v>
      </c>
      <c r="P981" s="14" t="s">
        <v>7834</v>
      </c>
      <c r="Q981" s="14" t="s">
        <v>11</v>
      </c>
      <c r="R981" s="3" t="s">
        <v>4170</v>
      </c>
      <c r="S981" s="3">
        <f t="shared" si="50"/>
        <v>640</v>
      </c>
      <c r="T981" s="3">
        <f t="shared" si="51"/>
        <v>19840</v>
      </c>
      <c r="U981" s="3" t="s">
        <v>60</v>
      </c>
      <c r="V981" s="14" t="s">
        <v>6</v>
      </c>
      <c r="W981" s="14" t="s">
        <v>4287</v>
      </c>
      <c r="X981" s="14" t="s">
        <v>60</v>
      </c>
    </row>
    <row r="982" spans="1:24" ht="15" x14ac:dyDescent="0.3">
      <c r="A982" s="3">
        <v>25</v>
      </c>
      <c r="B982" s="3" t="s">
        <v>7835</v>
      </c>
      <c r="C982" s="14" t="s">
        <v>0</v>
      </c>
      <c r="D982" s="14" t="s">
        <v>2434</v>
      </c>
      <c r="E982" s="14" t="s">
        <v>7836</v>
      </c>
      <c r="F982" s="14" t="s">
        <v>2435</v>
      </c>
      <c r="G982" s="14" t="s">
        <v>121</v>
      </c>
      <c r="H982" s="14" t="s">
        <v>7837</v>
      </c>
      <c r="I982" s="14" t="s">
        <v>2436</v>
      </c>
      <c r="J982" s="14" t="s">
        <v>60</v>
      </c>
      <c r="K982" s="14" t="s">
        <v>60</v>
      </c>
      <c r="L982" s="14" t="s">
        <v>60</v>
      </c>
      <c r="M982" s="14" t="s">
        <v>60</v>
      </c>
      <c r="N982" s="14" t="s">
        <v>60</v>
      </c>
      <c r="O982" s="14" t="s">
        <v>261</v>
      </c>
      <c r="P982" s="14" t="s">
        <v>7838</v>
      </c>
      <c r="Q982" s="14" t="s">
        <v>185</v>
      </c>
      <c r="R982" s="3" t="s">
        <v>4170</v>
      </c>
      <c r="S982" s="3">
        <f t="shared" si="50"/>
        <v>550</v>
      </c>
      <c r="T982" s="3">
        <f t="shared" si="51"/>
        <v>17050</v>
      </c>
      <c r="U982" s="3" t="s">
        <v>60</v>
      </c>
      <c r="V982" s="14" t="s">
        <v>4301</v>
      </c>
      <c r="W982" s="14" t="s">
        <v>4202</v>
      </c>
      <c r="X982" s="14" t="s">
        <v>60</v>
      </c>
    </row>
    <row r="983" spans="1:24" ht="15" x14ac:dyDescent="0.3">
      <c r="A983" s="3">
        <v>26</v>
      </c>
      <c r="B983" s="3" t="s">
        <v>7839</v>
      </c>
      <c r="C983" s="14" t="s">
        <v>0</v>
      </c>
      <c r="D983" s="14" t="s">
        <v>2437</v>
      </c>
      <c r="E983" s="14" t="s">
        <v>7840</v>
      </c>
      <c r="F983" s="14" t="s">
        <v>2438</v>
      </c>
      <c r="G983" s="14" t="s">
        <v>121</v>
      </c>
      <c r="H983" s="14" t="s">
        <v>7841</v>
      </c>
      <c r="I983" s="14" t="s">
        <v>2439</v>
      </c>
      <c r="J983" s="14" t="s">
        <v>60</v>
      </c>
      <c r="K983" s="14" t="s">
        <v>60</v>
      </c>
      <c r="L983" s="14" t="s">
        <v>60</v>
      </c>
      <c r="M983" s="14" t="s">
        <v>2440</v>
      </c>
      <c r="N983" s="14" t="s">
        <v>60</v>
      </c>
      <c r="O983" s="14" t="s">
        <v>261</v>
      </c>
      <c r="P983" s="14" t="s">
        <v>7842</v>
      </c>
      <c r="Q983" s="14" t="s">
        <v>11</v>
      </c>
      <c r="R983" s="3" t="s">
        <v>4170</v>
      </c>
      <c r="S983" s="3">
        <f t="shared" si="50"/>
        <v>550</v>
      </c>
      <c r="T983" s="3">
        <f t="shared" si="51"/>
        <v>17050</v>
      </c>
      <c r="U983" s="3" t="s">
        <v>60</v>
      </c>
      <c r="V983" s="14" t="s">
        <v>4301</v>
      </c>
      <c r="W983" s="14" t="s">
        <v>4202</v>
      </c>
      <c r="X983" s="14" t="s">
        <v>60</v>
      </c>
    </row>
    <row r="984" spans="1:24" ht="15" x14ac:dyDescent="0.3">
      <c r="A984" s="3">
        <v>27</v>
      </c>
      <c r="B984" s="3" t="s">
        <v>7843</v>
      </c>
      <c r="C984" s="14" t="s">
        <v>0</v>
      </c>
      <c r="D984" s="14" t="s">
        <v>2441</v>
      </c>
      <c r="E984" s="14" t="s">
        <v>7844</v>
      </c>
      <c r="F984" s="14" t="s">
        <v>565</v>
      </c>
      <c r="G984" s="14" t="s">
        <v>121</v>
      </c>
      <c r="H984" s="14" t="s">
        <v>7845</v>
      </c>
      <c r="I984" s="14" t="s">
        <v>2442</v>
      </c>
      <c r="J984" s="14" t="s">
        <v>60</v>
      </c>
      <c r="K984" s="14" t="s">
        <v>60</v>
      </c>
      <c r="L984" s="14" t="s">
        <v>60</v>
      </c>
      <c r="M984" s="14" t="s">
        <v>2443</v>
      </c>
      <c r="N984" s="14" t="s">
        <v>60</v>
      </c>
      <c r="O984" s="14" t="s">
        <v>261</v>
      </c>
      <c r="P984" s="14" t="s">
        <v>7846</v>
      </c>
      <c r="Q984" s="14" t="s">
        <v>11</v>
      </c>
      <c r="R984" s="3" t="s">
        <v>4170</v>
      </c>
      <c r="S984" s="3">
        <f t="shared" si="50"/>
        <v>550</v>
      </c>
      <c r="T984" s="3">
        <f t="shared" si="51"/>
        <v>17050</v>
      </c>
      <c r="U984" s="3" t="s">
        <v>60</v>
      </c>
      <c r="V984" s="14" t="s">
        <v>4301</v>
      </c>
      <c r="W984" s="14" t="s">
        <v>4202</v>
      </c>
      <c r="X984" s="14" t="s">
        <v>60</v>
      </c>
    </row>
    <row r="985" spans="1:24" ht="15" x14ac:dyDescent="0.3">
      <c r="A985" s="3">
        <v>28</v>
      </c>
      <c r="B985" s="3" t="s">
        <v>7847</v>
      </c>
      <c r="C985" s="14" t="s">
        <v>0</v>
      </c>
      <c r="D985" s="14" t="s">
        <v>2449</v>
      </c>
      <c r="E985" s="14" t="s">
        <v>7848</v>
      </c>
      <c r="F985" s="14" t="s">
        <v>2450</v>
      </c>
      <c r="G985" s="14" t="s">
        <v>121</v>
      </c>
      <c r="H985" s="14" t="s">
        <v>2451</v>
      </c>
      <c r="I985" s="14" t="s">
        <v>2452</v>
      </c>
      <c r="J985" s="14" t="s">
        <v>60</v>
      </c>
      <c r="K985" s="14" t="s">
        <v>60</v>
      </c>
      <c r="L985" s="14" t="s">
        <v>60</v>
      </c>
      <c r="M985" s="14" t="s">
        <v>2453</v>
      </c>
      <c r="N985" s="14" t="s">
        <v>60</v>
      </c>
      <c r="O985" s="14" t="s">
        <v>60</v>
      </c>
      <c r="P985" s="14" t="s">
        <v>7849</v>
      </c>
      <c r="Q985" s="14" t="s">
        <v>11</v>
      </c>
      <c r="R985" s="3" t="s">
        <v>4736</v>
      </c>
      <c r="S985" s="3">
        <f t="shared" si="50"/>
        <v>550</v>
      </c>
      <c r="T985" s="3">
        <f t="shared" si="51"/>
        <v>11000</v>
      </c>
      <c r="U985" s="3" t="s">
        <v>60</v>
      </c>
      <c r="V985" s="14" t="s">
        <v>6</v>
      </c>
      <c r="W985" s="14" t="s">
        <v>7850</v>
      </c>
      <c r="X985" s="14" t="s">
        <v>7851</v>
      </c>
    </row>
    <row r="986" spans="1:24" ht="15" x14ac:dyDescent="0.3">
      <c r="A986" s="3">
        <v>29</v>
      </c>
      <c r="B986" s="3" t="s">
        <v>7852</v>
      </c>
      <c r="C986" s="14" t="s">
        <v>0</v>
      </c>
      <c r="D986" s="14" t="s">
        <v>2454</v>
      </c>
      <c r="E986" s="14" t="s">
        <v>7853</v>
      </c>
      <c r="F986" s="14" t="s">
        <v>2455</v>
      </c>
      <c r="G986" s="14" t="s">
        <v>3</v>
      </c>
      <c r="H986" s="14" t="s">
        <v>2456</v>
      </c>
      <c r="I986" s="14" t="s">
        <v>2457</v>
      </c>
      <c r="J986" s="14" t="s">
        <v>60</v>
      </c>
      <c r="K986" s="14" t="s">
        <v>60</v>
      </c>
      <c r="L986" s="14" t="s">
        <v>60</v>
      </c>
      <c r="M986" s="14" t="s">
        <v>2458</v>
      </c>
      <c r="N986" s="14" t="s">
        <v>60</v>
      </c>
      <c r="O986" s="14" t="s">
        <v>60</v>
      </c>
      <c r="P986" s="14" t="s">
        <v>7854</v>
      </c>
      <c r="Q986" s="14" t="s">
        <v>11</v>
      </c>
      <c r="R986" s="3" t="s">
        <v>4736</v>
      </c>
      <c r="S986" s="3">
        <f t="shared" si="50"/>
        <v>550</v>
      </c>
      <c r="T986" s="3">
        <f t="shared" si="51"/>
        <v>11000</v>
      </c>
      <c r="U986" s="3" t="s">
        <v>60</v>
      </c>
      <c r="V986" s="14" t="s">
        <v>6</v>
      </c>
      <c r="W986" s="14" t="s">
        <v>7850</v>
      </c>
      <c r="X986" s="14" t="s">
        <v>7851</v>
      </c>
    </row>
    <row r="987" spans="1:24" ht="15" x14ac:dyDescent="0.3">
      <c r="A987" s="3">
        <v>30</v>
      </c>
      <c r="B987" s="3" t="s">
        <v>7855</v>
      </c>
      <c r="C987" s="14" t="s">
        <v>0</v>
      </c>
      <c r="D987" s="14" t="s">
        <v>2464</v>
      </c>
      <c r="E987" s="14" t="s">
        <v>7856</v>
      </c>
      <c r="F987" s="14" t="s">
        <v>2465</v>
      </c>
      <c r="G987" s="14" t="s">
        <v>121</v>
      </c>
      <c r="H987" s="14" t="s">
        <v>2466</v>
      </c>
      <c r="I987" s="14" t="s">
        <v>2467</v>
      </c>
      <c r="J987" s="14" t="s">
        <v>60</v>
      </c>
      <c r="K987" s="14" t="s">
        <v>60</v>
      </c>
      <c r="L987" s="14" t="s">
        <v>60</v>
      </c>
      <c r="M987" s="14" t="s">
        <v>2468</v>
      </c>
      <c r="N987" s="14" t="s">
        <v>60</v>
      </c>
      <c r="O987" s="14" t="s">
        <v>60</v>
      </c>
      <c r="P987" s="14" t="s">
        <v>7857</v>
      </c>
      <c r="Q987" s="14" t="s">
        <v>2463</v>
      </c>
      <c r="R987" s="3" t="s">
        <v>4170</v>
      </c>
      <c r="S987" s="3">
        <f t="shared" si="50"/>
        <v>550</v>
      </c>
      <c r="T987" s="3">
        <f t="shared" si="51"/>
        <v>17050</v>
      </c>
      <c r="U987" s="3" t="s">
        <v>60</v>
      </c>
      <c r="V987" s="14" t="s">
        <v>6</v>
      </c>
      <c r="W987" s="14" t="s">
        <v>7850</v>
      </c>
      <c r="X987" s="14" t="s">
        <v>60</v>
      </c>
    </row>
    <row r="988" spans="1:24" ht="15" x14ac:dyDescent="0.3">
      <c r="A988" s="3">
        <v>31</v>
      </c>
      <c r="B988" s="3" t="s">
        <v>7858</v>
      </c>
      <c r="C988" s="14" t="s">
        <v>0</v>
      </c>
      <c r="D988" s="14" t="s">
        <v>2473</v>
      </c>
      <c r="E988" s="14" t="s">
        <v>4200</v>
      </c>
      <c r="F988" s="14" t="s">
        <v>2474</v>
      </c>
      <c r="G988" s="14" t="s">
        <v>121</v>
      </c>
      <c r="H988" s="14" t="s">
        <v>2475</v>
      </c>
      <c r="I988" s="14" t="s">
        <v>2476</v>
      </c>
      <c r="J988" s="14" t="s">
        <v>60</v>
      </c>
      <c r="K988" s="14" t="s">
        <v>60</v>
      </c>
      <c r="L988" s="14" t="s">
        <v>60</v>
      </c>
      <c r="M988" s="14" t="s">
        <v>2477</v>
      </c>
      <c r="N988" s="14" t="s">
        <v>60</v>
      </c>
      <c r="O988" s="14" t="s">
        <v>60</v>
      </c>
      <c r="P988" s="14" t="s">
        <v>7859</v>
      </c>
      <c r="Q988" s="14" t="s">
        <v>2463</v>
      </c>
      <c r="R988" s="3" t="s">
        <v>4551</v>
      </c>
      <c r="S988" s="3">
        <f t="shared" si="50"/>
        <v>550</v>
      </c>
      <c r="T988" s="3">
        <f t="shared" si="51"/>
        <v>6600</v>
      </c>
      <c r="U988" s="3" t="s">
        <v>60</v>
      </c>
      <c r="V988" s="14" t="s">
        <v>6</v>
      </c>
      <c r="W988" s="14" t="s">
        <v>7850</v>
      </c>
      <c r="X988" s="14" t="s">
        <v>60</v>
      </c>
    </row>
    <row r="989" spans="1:24" ht="15" x14ac:dyDescent="0.3">
      <c r="A989" s="3">
        <v>32</v>
      </c>
      <c r="B989" s="3" t="s">
        <v>7860</v>
      </c>
      <c r="C989" s="14" t="s">
        <v>0</v>
      </c>
      <c r="D989" s="14" t="s">
        <v>2478</v>
      </c>
      <c r="E989" s="14" t="s">
        <v>7861</v>
      </c>
      <c r="F989" s="14" t="s">
        <v>2479</v>
      </c>
      <c r="G989" s="14" t="s">
        <v>121</v>
      </c>
      <c r="H989" s="14" t="s">
        <v>2480</v>
      </c>
      <c r="I989" s="14" t="s">
        <v>2481</v>
      </c>
      <c r="J989" s="14" t="s">
        <v>60</v>
      </c>
      <c r="K989" s="14" t="s">
        <v>60</v>
      </c>
      <c r="L989" s="14" t="s">
        <v>60</v>
      </c>
      <c r="M989" s="14" t="s">
        <v>2482</v>
      </c>
      <c r="N989" s="14" t="s">
        <v>60</v>
      </c>
      <c r="O989" s="14" t="s">
        <v>60</v>
      </c>
      <c r="P989" s="14" t="s">
        <v>2483</v>
      </c>
      <c r="Q989" s="14" t="s">
        <v>2484</v>
      </c>
      <c r="R989" s="3" t="s">
        <v>68</v>
      </c>
      <c r="S989" s="3">
        <f t="shared" si="50"/>
        <v>550</v>
      </c>
      <c r="T989" s="3">
        <f t="shared" si="51"/>
        <v>0</v>
      </c>
      <c r="U989" s="3" t="s">
        <v>60</v>
      </c>
      <c r="V989" s="14" t="s">
        <v>6</v>
      </c>
      <c r="W989" s="14" t="s">
        <v>7850</v>
      </c>
      <c r="X989" s="14" t="s">
        <v>7862</v>
      </c>
    </row>
    <row r="990" spans="1:24" ht="15" x14ac:dyDescent="0.3">
      <c r="A990" s="3">
        <v>33</v>
      </c>
      <c r="B990" s="3" t="s">
        <v>7863</v>
      </c>
      <c r="C990" s="14" t="s">
        <v>0</v>
      </c>
      <c r="D990" s="14" t="s">
        <v>2489</v>
      </c>
      <c r="E990" s="14" t="s">
        <v>7864</v>
      </c>
      <c r="F990" s="14" t="s">
        <v>2490</v>
      </c>
      <c r="G990" s="14" t="s">
        <v>3</v>
      </c>
      <c r="H990" s="14" t="s">
        <v>2491</v>
      </c>
      <c r="I990" s="14" t="s">
        <v>2492</v>
      </c>
      <c r="J990" s="14" t="s">
        <v>60</v>
      </c>
      <c r="K990" s="14" t="s">
        <v>60</v>
      </c>
      <c r="L990" s="14" t="s">
        <v>60</v>
      </c>
      <c r="M990" s="14" t="s">
        <v>2493</v>
      </c>
      <c r="N990" s="14" t="s">
        <v>60</v>
      </c>
      <c r="O990" s="14" t="s">
        <v>60</v>
      </c>
      <c r="P990" s="14" t="s">
        <v>7865</v>
      </c>
      <c r="Q990" s="14" t="s">
        <v>2463</v>
      </c>
      <c r="R990" s="3" t="s">
        <v>68</v>
      </c>
      <c r="S990" s="3">
        <f t="shared" si="50"/>
        <v>550</v>
      </c>
      <c r="T990" s="3">
        <f t="shared" si="51"/>
        <v>0</v>
      </c>
      <c r="U990" s="3" t="s">
        <v>60</v>
      </c>
      <c r="V990" s="14" t="s">
        <v>6</v>
      </c>
      <c r="W990" s="14" t="s">
        <v>7866</v>
      </c>
      <c r="X990" s="14" t="s">
        <v>60</v>
      </c>
    </row>
    <row r="991" spans="1:24" ht="15" x14ac:dyDescent="0.3">
      <c r="A991" s="3">
        <v>34</v>
      </c>
      <c r="B991" s="3" t="s">
        <v>7867</v>
      </c>
      <c r="C991" s="14" t="s">
        <v>0</v>
      </c>
      <c r="D991" s="14" t="s">
        <v>2494</v>
      </c>
      <c r="E991" s="14" t="s">
        <v>7868</v>
      </c>
      <c r="F991" s="14" t="s">
        <v>2495</v>
      </c>
      <c r="G991" s="14" t="s">
        <v>3</v>
      </c>
      <c r="H991" s="14" t="s">
        <v>2496</v>
      </c>
      <c r="I991" s="14" t="s">
        <v>2497</v>
      </c>
      <c r="J991" s="14" t="s">
        <v>60</v>
      </c>
      <c r="K991" s="14" t="s">
        <v>60</v>
      </c>
      <c r="L991" s="14" t="s">
        <v>60</v>
      </c>
      <c r="M991" s="14" t="s">
        <v>2498</v>
      </c>
      <c r="N991" s="14" t="s">
        <v>60</v>
      </c>
      <c r="O991" s="14" t="s">
        <v>60</v>
      </c>
      <c r="P991" s="14" t="s">
        <v>7869</v>
      </c>
      <c r="Q991" s="14" t="s">
        <v>11</v>
      </c>
      <c r="R991" s="3" t="s">
        <v>5244</v>
      </c>
      <c r="S991" s="3">
        <f t="shared" si="50"/>
        <v>550</v>
      </c>
      <c r="T991" s="3">
        <f t="shared" si="51"/>
        <v>14850</v>
      </c>
      <c r="U991" s="3" t="s">
        <v>60</v>
      </c>
      <c r="V991" s="14" t="s">
        <v>6</v>
      </c>
      <c r="W991" s="14" t="s">
        <v>7866</v>
      </c>
      <c r="X991" s="14" t="s">
        <v>60</v>
      </c>
    </row>
    <row r="992" spans="1:24" ht="15" x14ac:dyDescent="0.3">
      <c r="A992" s="3">
        <v>35</v>
      </c>
      <c r="B992" s="3" t="s">
        <v>7870</v>
      </c>
      <c r="C992" s="14" t="s">
        <v>0</v>
      </c>
      <c r="D992" s="14" t="s">
        <v>2499</v>
      </c>
      <c r="E992" s="14" t="s">
        <v>7871</v>
      </c>
      <c r="F992" s="14" t="s">
        <v>2500</v>
      </c>
      <c r="G992" s="14" t="s">
        <v>3</v>
      </c>
      <c r="H992" s="14" t="s">
        <v>2501</v>
      </c>
      <c r="I992" s="14" t="s">
        <v>2502</v>
      </c>
      <c r="J992" s="14" t="s">
        <v>60</v>
      </c>
      <c r="K992" s="14" t="s">
        <v>60</v>
      </c>
      <c r="L992" s="14" t="s">
        <v>60</v>
      </c>
      <c r="M992" s="14" t="s">
        <v>2503</v>
      </c>
      <c r="N992" s="14" t="s">
        <v>60</v>
      </c>
      <c r="O992" s="14" t="s">
        <v>60</v>
      </c>
      <c r="P992" s="14" t="s">
        <v>7872</v>
      </c>
      <c r="Q992" s="14" t="s">
        <v>11</v>
      </c>
      <c r="R992" s="3" t="s">
        <v>4170</v>
      </c>
      <c r="S992" s="3">
        <f t="shared" si="50"/>
        <v>550</v>
      </c>
      <c r="T992" s="3">
        <f t="shared" si="51"/>
        <v>17050</v>
      </c>
      <c r="U992" s="3" t="s">
        <v>60</v>
      </c>
      <c r="V992" s="14" t="s">
        <v>6</v>
      </c>
      <c r="W992" s="14" t="s">
        <v>7866</v>
      </c>
      <c r="X992" s="14" t="s">
        <v>60</v>
      </c>
    </row>
    <row r="993" spans="1:24" ht="15" x14ac:dyDescent="0.3">
      <c r="A993" s="3">
        <v>36</v>
      </c>
      <c r="B993" s="3" t="s">
        <v>7873</v>
      </c>
      <c r="C993" s="14" t="s">
        <v>0</v>
      </c>
      <c r="D993" s="14" t="s">
        <v>2508</v>
      </c>
      <c r="E993" s="14" t="s">
        <v>7874</v>
      </c>
      <c r="F993" s="14" t="s">
        <v>2509</v>
      </c>
      <c r="G993" s="14" t="s">
        <v>3</v>
      </c>
      <c r="H993" s="14" t="s">
        <v>7875</v>
      </c>
      <c r="I993" s="14" t="s">
        <v>2510</v>
      </c>
      <c r="J993" s="14" t="s">
        <v>60</v>
      </c>
      <c r="K993" s="14" t="s">
        <v>60</v>
      </c>
      <c r="L993" s="14" t="s">
        <v>60</v>
      </c>
      <c r="M993" s="14" t="s">
        <v>2511</v>
      </c>
      <c r="N993" s="14" t="s">
        <v>60</v>
      </c>
      <c r="O993" s="14" t="s">
        <v>60</v>
      </c>
      <c r="P993" s="14" t="s">
        <v>7876</v>
      </c>
      <c r="Q993" s="14" t="s">
        <v>11</v>
      </c>
      <c r="R993" s="3" t="s">
        <v>6057</v>
      </c>
      <c r="S993" s="3">
        <f t="shared" si="50"/>
        <v>550</v>
      </c>
      <c r="T993" s="3">
        <f t="shared" si="51"/>
        <v>4400</v>
      </c>
      <c r="U993" s="3" t="s">
        <v>60</v>
      </c>
      <c r="V993" s="14" t="s">
        <v>6</v>
      </c>
      <c r="W993" s="14" t="s">
        <v>7866</v>
      </c>
      <c r="X993" s="14" t="s">
        <v>60</v>
      </c>
    </row>
    <row r="994" spans="1:24" ht="15" x14ac:dyDescent="0.3">
      <c r="A994" s="3">
        <v>37</v>
      </c>
      <c r="B994" s="3" t="s">
        <v>7877</v>
      </c>
      <c r="C994" s="14" t="s">
        <v>0</v>
      </c>
      <c r="D994" s="14" t="s">
        <v>2512</v>
      </c>
      <c r="E994" s="14" t="s">
        <v>5258</v>
      </c>
      <c r="F994" s="14" t="s">
        <v>2513</v>
      </c>
      <c r="G994" s="14" t="s">
        <v>3</v>
      </c>
      <c r="H994" s="14" t="s">
        <v>2514</v>
      </c>
      <c r="I994" s="14" t="s">
        <v>2515</v>
      </c>
      <c r="J994" s="14" t="s">
        <v>60</v>
      </c>
      <c r="K994" s="14" t="s">
        <v>60</v>
      </c>
      <c r="L994" s="14" t="s">
        <v>60</v>
      </c>
      <c r="M994" s="14" t="s">
        <v>2516</v>
      </c>
      <c r="N994" s="14" t="s">
        <v>60</v>
      </c>
      <c r="O994" s="14" t="s">
        <v>60</v>
      </c>
      <c r="P994" s="14" t="s">
        <v>7878</v>
      </c>
      <c r="Q994" s="14" t="s">
        <v>2463</v>
      </c>
      <c r="R994" s="3" t="s">
        <v>4551</v>
      </c>
      <c r="S994" s="3">
        <f t="shared" si="50"/>
        <v>550</v>
      </c>
      <c r="T994" s="3">
        <f t="shared" si="51"/>
        <v>6600</v>
      </c>
      <c r="U994" s="3" t="s">
        <v>60</v>
      </c>
      <c r="V994" s="14" t="s">
        <v>6</v>
      </c>
      <c r="W994" s="14" t="s">
        <v>7866</v>
      </c>
      <c r="X994" s="14" t="s">
        <v>60</v>
      </c>
    </row>
    <row r="995" spans="1:24" ht="15" x14ac:dyDescent="0.3">
      <c r="A995" s="3">
        <v>38</v>
      </c>
      <c r="B995" s="3" t="s">
        <v>7879</v>
      </c>
      <c r="C995" s="14" t="s">
        <v>0</v>
      </c>
      <c r="D995" s="14" t="s">
        <v>2517</v>
      </c>
      <c r="E995" s="14" t="s">
        <v>7880</v>
      </c>
      <c r="F995" s="14" t="s">
        <v>823</v>
      </c>
      <c r="G995" s="14" t="s">
        <v>3</v>
      </c>
      <c r="H995" s="14" t="s">
        <v>7881</v>
      </c>
      <c r="I995" s="14" t="s">
        <v>2518</v>
      </c>
      <c r="J995" s="14" t="s">
        <v>60</v>
      </c>
      <c r="K995" s="14" t="s">
        <v>60</v>
      </c>
      <c r="L995" s="14" t="s">
        <v>60</v>
      </c>
      <c r="M995" s="14" t="s">
        <v>2519</v>
      </c>
      <c r="N995" s="14" t="s">
        <v>60</v>
      </c>
      <c r="O995" s="14" t="s">
        <v>487</v>
      </c>
      <c r="P995" s="14" t="s">
        <v>7882</v>
      </c>
      <c r="Q995" s="14" t="s">
        <v>11</v>
      </c>
      <c r="R995" s="3" t="s">
        <v>4170</v>
      </c>
      <c r="S995" s="3">
        <f t="shared" si="50"/>
        <v>550</v>
      </c>
      <c r="T995" s="3">
        <f t="shared" si="51"/>
        <v>17050</v>
      </c>
      <c r="U995" s="3" t="s">
        <v>60</v>
      </c>
      <c r="V995" s="14" t="s">
        <v>6</v>
      </c>
      <c r="W995" s="14" t="s">
        <v>6318</v>
      </c>
      <c r="X995" s="14" t="s">
        <v>60</v>
      </c>
    </row>
    <row r="996" spans="1:24" ht="15" x14ac:dyDescent="0.3">
      <c r="A996" s="3">
        <v>39</v>
      </c>
      <c r="B996" s="3" t="s">
        <v>7883</v>
      </c>
      <c r="C996" s="14" t="s">
        <v>0</v>
      </c>
      <c r="D996" s="14" t="s">
        <v>2520</v>
      </c>
      <c r="E996" s="14" t="s">
        <v>7884</v>
      </c>
      <c r="F996" s="14" t="s">
        <v>2444</v>
      </c>
      <c r="G996" s="14" t="s">
        <v>3</v>
      </c>
      <c r="H996" s="14" t="s">
        <v>7885</v>
      </c>
      <c r="I996" s="14" t="s">
        <v>2521</v>
      </c>
      <c r="J996" s="14" t="s">
        <v>60</v>
      </c>
      <c r="K996" s="14" t="s">
        <v>60</v>
      </c>
      <c r="L996" s="14" t="s">
        <v>60</v>
      </c>
      <c r="M996" s="14" t="s">
        <v>2522</v>
      </c>
      <c r="N996" s="14" t="s">
        <v>60</v>
      </c>
      <c r="O996" s="14" t="s">
        <v>388</v>
      </c>
      <c r="P996" s="14" t="s">
        <v>7886</v>
      </c>
      <c r="Q996" s="14" t="s">
        <v>11</v>
      </c>
      <c r="R996" s="3" t="s">
        <v>4170</v>
      </c>
      <c r="S996" s="3">
        <f t="shared" si="50"/>
        <v>550</v>
      </c>
      <c r="T996" s="3">
        <f t="shared" si="51"/>
        <v>17050</v>
      </c>
      <c r="U996" s="3" t="s">
        <v>60</v>
      </c>
      <c r="V996" s="14" t="s">
        <v>6</v>
      </c>
      <c r="W996" s="14" t="s">
        <v>6925</v>
      </c>
      <c r="X996" s="14" t="s">
        <v>60</v>
      </c>
    </row>
    <row r="997" spans="1:24" ht="15" x14ac:dyDescent="0.3">
      <c r="A997" s="3">
        <v>40</v>
      </c>
      <c r="B997" s="3" t="s">
        <v>7887</v>
      </c>
      <c r="C997" s="14" t="s">
        <v>0</v>
      </c>
      <c r="D997" s="14" t="s">
        <v>2509</v>
      </c>
      <c r="E997" s="14" t="s">
        <v>7888</v>
      </c>
      <c r="F997" s="14" t="s">
        <v>2499</v>
      </c>
      <c r="G997" s="14" t="s">
        <v>3</v>
      </c>
      <c r="H997" s="14" t="s">
        <v>2523</v>
      </c>
      <c r="I997" s="14" t="s">
        <v>2524</v>
      </c>
      <c r="J997" s="14" t="s">
        <v>60</v>
      </c>
      <c r="K997" s="14" t="s">
        <v>60</v>
      </c>
      <c r="L997" s="14" t="s">
        <v>60</v>
      </c>
      <c r="M997" s="14" t="s">
        <v>60</v>
      </c>
      <c r="N997" s="14" t="s">
        <v>60</v>
      </c>
      <c r="O997" s="14" t="s">
        <v>388</v>
      </c>
      <c r="P997" s="14" t="s">
        <v>7889</v>
      </c>
      <c r="Q997" s="14" t="s">
        <v>11</v>
      </c>
      <c r="R997" s="3" t="s">
        <v>4170</v>
      </c>
      <c r="S997" s="3">
        <f t="shared" si="50"/>
        <v>550</v>
      </c>
      <c r="T997" s="3">
        <f t="shared" si="51"/>
        <v>17050</v>
      </c>
      <c r="U997" s="3" t="s">
        <v>7890</v>
      </c>
      <c r="V997" s="14" t="s">
        <v>6</v>
      </c>
      <c r="W997" s="14" t="s">
        <v>6925</v>
      </c>
      <c r="X997" s="14" t="s">
        <v>60</v>
      </c>
    </row>
    <row r="998" spans="1:24" ht="15" x14ac:dyDescent="0.3">
      <c r="A998" s="3">
        <v>41</v>
      </c>
      <c r="B998" s="3" t="s">
        <v>7891</v>
      </c>
      <c r="C998" s="14" t="s">
        <v>0</v>
      </c>
      <c r="D998" s="14" t="s">
        <v>1282</v>
      </c>
      <c r="E998" s="14" t="s">
        <v>6442</v>
      </c>
      <c r="F998" s="14" t="s">
        <v>2525</v>
      </c>
      <c r="G998" s="14" t="s">
        <v>3</v>
      </c>
      <c r="H998" s="14" t="s">
        <v>7892</v>
      </c>
      <c r="I998" s="14" t="s">
        <v>2526</v>
      </c>
      <c r="J998" s="14" t="s">
        <v>60</v>
      </c>
      <c r="K998" s="14" t="s">
        <v>60</v>
      </c>
      <c r="L998" s="14" t="s">
        <v>60</v>
      </c>
      <c r="M998" s="14" t="s">
        <v>2527</v>
      </c>
      <c r="N998" s="14" t="s">
        <v>60</v>
      </c>
      <c r="O998" s="14" t="s">
        <v>388</v>
      </c>
      <c r="P998" s="14" t="s">
        <v>7893</v>
      </c>
      <c r="Q998" s="14" t="s">
        <v>11</v>
      </c>
      <c r="R998" s="3" t="s">
        <v>4170</v>
      </c>
      <c r="S998" s="3">
        <f t="shared" si="50"/>
        <v>550</v>
      </c>
      <c r="T998" s="3">
        <f t="shared" si="51"/>
        <v>17050</v>
      </c>
      <c r="U998" s="3" t="s">
        <v>60</v>
      </c>
      <c r="V998" s="14" t="s">
        <v>6</v>
      </c>
      <c r="W998" s="14" t="s">
        <v>6925</v>
      </c>
      <c r="X998" s="14" t="s">
        <v>60</v>
      </c>
    </row>
    <row r="999" spans="1:24" ht="15" x14ac:dyDescent="0.3">
      <c r="A999" s="3">
        <v>42</v>
      </c>
      <c r="B999" s="3" t="s">
        <v>7894</v>
      </c>
      <c r="C999" s="14" t="s">
        <v>0</v>
      </c>
      <c r="D999" s="14" t="s">
        <v>3602</v>
      </c>
      <c r="E999" s="14" t="s">
        <v>7895</v>
      </c>
      <c r="F999" s="14" t="s">
        <v>3603</v>
      </c>
      <c r="G999" s="14" t="s">
        <v>3</v>
      </c>
      <c r="H999" s="14" t="s">
        <v>7896</v>
      </c>
      <c r="I999" s="14" t="s">
        <v>3845</v>
      </c>
      <c r="J999" s="14" t="s">
        <v>60</v>
      </c>
      <c r="K999" s="14" t="s">
        <v>60</v>
      </c>
      <c r="L999" s="14" t="s">
        <v>60</v>
      </c>
      <c r="M999" s="14" t="s">
        <v>3846</v>
      </c>
      <c r="N999" s="14" t="s">
        <v>60</v>
      </c>
      <c r="O999" s="14" t="s">
        <v>60</v>
      </c>
      <c r="P999" s="14" t="s">
        <v>7897</v>
      </c>
      <c r="Q999" s="14" t="s">
        <v>11</v>
      </c>
      <c r="R999" s="3" t="s">
        <v>4170</v>
      </c>
      <c r="S999" s="3">
        <f t="shared" si="50"/>
        <v>550</v>
      </c>
      <c r="T999" s="3">
        <f t="shared" si="51"/>
        <v>17050</v>
      </c>
      <c r="U999" s="3" t="s">
        <v>60</v>
      </c>
      <c r="V999" s="14" t="s">
        <v>6</v>
      </c>
      <c r="W999" s="14" t="s">
        <v>4444</v>
      </c>
      <c r="X999" s="14" t="s">
        <v>60</v>
      </c>
    </row>
    <row r="1000" spans="1:24" ht="15" x14ac:dyDescent="0.3">
      <c r="A1000" s="3">
        <v>43</v>
      </c>
      <c r="B1000" s="3" t="s">
        <v>7898</v>
      </c>
      <c r="C1000" s="14" t="s">
        <v>0</v>
      </c>
      <c r="D1000" s="14" t="s">
        <v>2528</v>
      </c>
      <c r="E1000" s="14" t="s">
        <v>5390</v>
      </c>
      <c r="F1000" s="14" t="s">
        <v>2529</v>
      </c>
      <c r="G1000" s="14" t="s">
        <v>3</v>
      </c>
      <c r="H1000" s="14" t="s">
        <v>7899</v>
      </c>
      <c r="I1000" s="14" t="s">
        <v>60</v>
      </c>
      <c r="J1000" s="14" t="s">
        <v>60</v>
      </c>
      <c r="K1000" s="14" t="s">
        <v>60</v>
      </c>
      <c r="L1000" s="14" t="s">
        <v>60</v>
      </c>
      <c r="M1000" s="14" t="s">
        <v>2530</v>
      </c>
      <c r="N1000" s="14" t="s">
        <v>60</v>
      </c>
      <c r="O1000" s="14" t="s">
        <v>388</v>
      </c>
      <c r="P1000" s="14" t="s">
        <v>7900</v>
      </c>
      <c r="Q1000" s="14" t="s">
        <v>11</v>
      </c>
      <c r="R1000" s="3" t="s">
        <v>4170</v>
      </c>
      <c r="S1000" s="3">
        <f t="shared" si="50"/>
        <v>550</v>
      </c>
      <c r="T1000" s="3">
        <f t="shared" si="51"/>
        <v>17050</v>
      </c>
      <c r="U1000" s="3" t="s">
        <v>60</v>
      </c>
      <c r="V1000" s="14" t="s">
        <v>6</v>
      </c>
      <c r="W1000" s="14" t="s">
        <v>6925</v>
      </c>
      <c r="X1000" s="14" t="s">
        <v>60</v>
      </c>
    </row>
    <row r="1001" spans="1:24" ht="15" x14ac:dyDescent="0.3">
      <c r="A1001" s="3">
        <v>44</v>
      </c>
      <c r="B1001" s="3" t="s">
        <v>7901</v>
      </c>
      <c r="C1001" s="14" t="s">
        <v>0</v>
      </c>
      <c r="D1001" s="14" t="s">
        <v>2531</v>
      </c>
      <c r="E1001" s="14" t="s">
        <v>4304</v>
      </c>
      <c r="F1001" s="14" t="s">
        <v>2532</v>
      </c>
      <c r="G1001" s="14" t="s">
        <v>3</v>
      </c>
      <c r="H1001" s="14" t="s">
        <v>7902</v>
      </c>
      <c r="I1001" s="14" t="s">
        <v>2533</v>
      </c>
      <c r="J1001" s="14" t="s">
        <v>60</v>
      </c>
      <c r="K1001" s="14" t="s">
        <v>60</v>
      </c>
      <c r="L1001" s="14" t="s">
        <v>60</v>
      </c>
      <c r="M1001" s="14" t="s">
        <v>2534</v>
      </c>
      <c r="N1001" s="14" t="s">
        <v>60</v>
      </c>
      <c r="O1001" s="14" t="s">
        <v>388</v>
      </c>
      <c r="P1001" s="14" t="s">
        <v>7903</v>
      </c>
      <c r="Q1001" s="14" t="s">
        <v>11</v>
      </c>
      <c r="R1001" s="3" t="s">
        <v>4170</v>
      </c>
      <c r="S1001" s="3">
        <f t="shared" si="50"/>
        <v>550</v>
      </c>
      <c r="T1001" s="3">
        <f t="shared" si="51"/>
        <v>17050</v>
      </c>
      <c r="U1001" s="3" t="s">
        <v>60</v>
      </c>
      <c r="V1001" s="14" t="s">
        <v>6</v>
      </c>
      <c r="W1001" s="14" t="s">
        <v>6925</v>
      </c>
      <c r="X1001" s="14" t="s">
        <v>60</v>
      </c>
    </row>
    <row r="1002" spans="1:24" ht="15" x14ac:dyDescent="0.3">
      <c r="A1002" s="3">
        <v>45</v>
      </c>
      <c r="B1002" s="3" t="s">
        <v>7904</v>
      </c>
      <c r="C1002" s="14" t="s">
        <v>0</v>
      </c>
      <c r="D1002" s="14" t="s">
        <v>545</v>
      </c>
      <c r="E1002" s="14" t="s">
        <v>4304</v>
      </c>
      <c r="F1002" s="14" t="s">
        <v>2535</v>
      </c>
      <c r="G1002" s="14" t="s">
        <v>3</v>
      </c>
      <c r="H1002" s="14" t="s">
        <v>7905</v>
      </c>
      <c r="I1002" s="14" t="s">
        <v>2536</v>
      </c>
      <c r="J1002" s="14" t="s">
        <v>60</v>
      </c>
      <c r="K1002" s="14" t="s">
        <v>60</v>
      </c>
      <c r="L1002" s="14" t="s">
        <v>60</v>
      </c>
      <c r="M1002" s="14" t="s">
        <v>2537</v>
      </c>
      <c r="N1002" s="14" t="s">
        <v>60</v>
      </c>
      <c r="O1002" s="14" t="s">
        <v>388</v>
      </c>
      <c r="P1002" s="14" t="s">
        <v>7906</v>
      </c>
      <c r="Q1002" s="14" t="s">
        <v>11</v>
      </c>
      <c r="R1002" s="3" t="s">
        <v>4170</v>
      </c>
      <c r="S1002" s="3">
        <f t="shared" si="50"/>
        <v>550</v>
      </c>
      <c r="T1002" s="3">
        <f t="shared" si="51"/>
        <v>17050</v>
      </c>
      <c r="U1002" s="3" t="s">
        <v>60</v>
      </c>
      <c r="V1002" s="14" t="s">
        <v>6</v>
      </c>
      <c r="W1002" s="14" t="s">
        <v>6925</v>
      </c>
      <c r="X1002" s="14" t="s">
        <v>60</v>
      </c>
    </row>
    <row r="1003" spans="1:24" ht="15" x14ac:dyDescent="0.3">
      <c r="A1003" s="3">
        <v>46</v>
      </c>
      <c r="B1003" s="3" t="s">
        <v>7907</v>
      </c>
      <c r="C1003" s="14" t="s">
        <v>0</v>
      </c>
      <c r="D1003" s="14" t="s">
        <v>2538</v>
      </c>
      <c r="E1003" s="14" t="s">
        <v>4216</v>
      </c>
      <c r="F1003" s="14" t="s">
        <v>2539</v>
      </c>
      <c r="G1003" s="14" t="s">
        <v>3</v>
      </c>
      <c r="H1003" s="14" t="s">
        <v>7908</v>
      </c>
      <c r="I1003" s="14" t="s">
        <v>2540</v>
      </c>
      <c r="J1003" s="14" t="s">
        <v>60</v>
      </c>
      <c r="K1003" s="14" t="s">
        <v>60</v>
      </c>
      <c r="L1003" s="14" t="s">
        <v>60</v>
      </c>
      <c r="M1003" s="14" t="s">
        <v>2541</v>
      </c>
      <c r="N1003" s="14" t="s">
        <v>60</v>
      </c>
      <c r="O1003" s="14" t="s">
        <v>388</v>
      </c>
      <c r="P1003" s="14" t="s">
        <v>7909</v>
      </c>
      <c r="Q1003" s="14" t="s">
        <v>11</v>
      </c>
      <c r="R1003" s="3" t="s">
        <v>4170</v>
      </c>
      <c r="S1003" s="3">
        <f t="shared" si="50"/>
        <v>550</v>
      </c>
      <c r="T1003" s="3">
        <f t="shared" si="51"/>
        <v>17050</v>
      </c>
      <c r="U1003" s="3" t="s">
        <v>60</v>
      </c>
      <c r="V1003" s="14" t="s">
        <v>6</v>
      </c>
      <c r="W1003" s="14" t="s">
        <v>6925</v>
      </c>
      <c r="X1003" s="14" t="s">
        <v>60</v>
      </c>
    </row>
    <row r="1004" spans="1:24" ht="15" x14ac:dyDescent="0.3">
      <c r="A1004" s="3">
        <v>47</v>
      </c>
      <c r="B1004" s="3" t="s">
        <v>7910</v>
      </c>
      <c r="C1004" s="14" t="s">
        <v>0</v>
      </c>
      <c r="D1004" s="14" t="s">
        <v>2542</v>
      </c>
      <c r="E1004" s="14" t="s">
        <v>4200</v>
      </c>
      <c r="F1004" s="14" t="s">
        <v>486</v>
      </c>
      <c r="G1004" s="14" t="s">
        <v>3</v>
      </c>
      <c r="H1004" s="14" t="s">
        <v>7911</v>
      </c>
      <c r="I1004" s="14" t="s">
        <v>2543</v>
      </c>
      <c r="J1004" s="14" t="s">
        <v>60</v>
      </c>
      <c r="K1004" s="14" t="s">
        <v>60</v>
      </c>
      <c r="L1004" s="14" t="s">
        <v>60</v>
      </c>
      <c r="M1004" s="14" t="s">
        <v>2544</v>
      </c>
      <c r="N1004" s="14" t="s">
        <v>60</v>
      </c>
      <c r="O1004" s="14" t="s">
        <v>388</v>
      </c>
      <c r="P1004" s="14" t="s">
        <v>7912</v>
      </c>
      <c r="Q1004" s="14" t="s">
        <v>11</v>
      </c>
      <c r="R1004" s="3" t="s">
        <v>4170</v>
      </c>
      <c r="S1004" s="3">
        <f t="shared" si="50"/>
        <v>550</v>
      </c>
      <c r="T1004" s="3">
        <f t="shared" si="51"/>
        <v>17050</v>
      </c>
      <c r="U1004" s="3" t="s">
        <v>60</v>
      </c>
      <c r="V1004" s="14" t="s">
        <v>6</v>
      </c>
      <c r="W1004" s="14" t="s">
        <v>6925</v>
      </c>
      <c r="X1004" s="14" t="s">
        <v>60</v>
      </c>
    </row>
    <row r="1005" spans="1:24" ht="15" x14ac:dyDescent="0.3">
      <c r="A1005" s="3">
        <v>48</v>
      </c>
      <c r="B1005" s="3" t="s">
        <v>7913</v>
      </c>
      <c r="C1005" s="14" t="s">
        <v>354</v>
      </c>
      <c r="D1005" s="14" t="s">
        <v>3336</v>
      </c>
      <c r="E1005" s="14" t="s">
        <v>7914</v>
      </c>
      <c r="F1005" s="14" t="s">
        <v>3337</v>
      </c>
      <c r="G1005" s="14" t="s">
        <v>3</v>
      </c>
      <c r="H1005" s="14" t="s">
        <v>3414</v>
      </c>
      <c r="I1005" s="14" t="s">
        <v>3415</v>
      </c>
      <c r="J1005" s="14" t="s">
        <v>60</v>
      </c>
      <c r="K1005" s="14" t="s">
        <v>60</v>
      </c>
      <c r="L1005" s="14" t="s">
        <v>60</v>
      </c>
      <c r="M1005" s="14" t="s">
        <v>3416</v>
      </c>
      <c r="N1005" s="14" t="s">
        <v>60</v>
      </c>
      <c r="O1005" s="14" t="s">
        <v>60</v>
      </c>
      <c r="P1005" s="14" t="s">
        <v>7915</v>
      </c>
      <c r="Q1005" s="14" t="s">
        <v>3345</v>
      </c>
      <c r="R1005" s="3" t="s">
        <v>6037</v>
      </c>
      <c r="S1005" s="3">
        <f t="shared" si="50"/>
        <v>550</v>
      </c>
      <c r="T1005" s="3">
        <f t="shared" si="51"/>
        <v>3850</v>
      </c>
      <c r="U1005" s="3" t="s">
        <v>60</v>
      </c>
      <c r="V1005" s="14" t="s">
        <v>6</v>
      </c>
      <c r="W1005" s="14" t="s">
        <v>7916</v>
      </c>
      <c r="X1005" s="14" t="s">
        <v>7917</v>
      </c>
    </row>
    <row r="1006" spans="1:24" ht="15" x14ac:dyDescent="0.3">
      <c r="A1006" s="3">
        <v>49</v>
      </c>
      <c r="B1006" s="3" t="s">
        <v>7918</v>
      </c>
      <c r="C1006" s="14" t="s">
        <v>14</v>
      </c>
      <c r="D1006" s="14" t="s">
        <v>720</v>
      </c>
      <c r="E1006" s="14" t="s">
        <v>7919</v>
      </c>
      <c r="F1006" s="14" t="s">
        <v>721</v>
      </c>
      <c r="G1006" s="14" t="s">
        <v>3</v>
      </c>
      <c r="H1006" s="14" t="s">
        <v>7920</v>
      </c>
      <c r="I1006" s="14" t="s">
        <v>722</v>
      </c>
      <c r="J1006" s="14" t="s">
        <v>60</v>
      </c>
      <c r="K1006" s="14" t="s">
        <v>60</v>
      </c>
      <c r="L1006" s="14" t="s">
        <v>60</v>
      </c>
      <c r="M1006" s="14" t="s">
        <v>60</v>
      </c>
      <c r="N1006" s="14" t="s">
        <v>60</v>
      </c>
      <c r="O1006" s="14" t="s">
        <v>60</v>
      </c>
      <c r="P1006" s="14" t="s">
        <v>7921</v>
      </c>
      <c r="Q1006" s="14" t="s">
        <v>11</v>
      </c>
      <c r="R1006" s="3" t="s">
        <v>4170</v>
      </c>
      <c r="S1006" s="3">
        <f t="shared" si="50"/>
        <v>640</v>
      </c>
      <c r="T1006" s="3">
        <f t="shared" si="51"/>
        <v>19840</v>
      </c>
      <c r="U1006" s="3" t="s">
        <v>60</v>
      </c>
      <c r="V1006" s="14" t="s">
        <v>6</v>
      </c>
      <c r="W1006" s="14" t="s">
        <v>4287</v>
      </c>
      <c r="X1006" s="14" t="s">
        <v>60</v>
      </c>
    </row>
    <row r="1007" spans="1:24" ht="15" x14ac:dyDescent="0.3">
      <c r="A1007" s="3">
        <v>50</v>
      </c>
      <c r="B1007" s="3" t="s">
        <v>7922</v>
      </c>
      <c r="C1007" s="14" t="s">
        <v>0</v>
      </c>
      <c r="D1007" s="14" t="s">
        <v>602</v>
      </c>
      <c r="E1007" s="14" t="s">
        <v>7923</v>
      </c>
      <c r="F1007" s="14" t="s">
        <v>603</v>
      </c>
      <c r="G1007" s="14" t="s">
        <v>3</v>
      </c>
      <c r="H1007" s="14" t="s">
        <v>7924</v>
      </c>
      <c r="I1007" s="14" t="s">
        <v>604</v>
      </c>
      <c r="J1007" s="14" t="s">
        <v>60</v>
      </c>
      <c r="K1007" s="14" t="s">
        <v>60</v>
      </c>
      <c r="L1007" s="14" t="s">
        <v>60</v>
      </c>
      <c r="M1007" s="14" t="s">
        <v>605</v>
      </c>
      <c r="N1007" s="14" t="s">
        <v>60</v>
      </c>
      <c r="O1007" s="14" t="s">
        <v>558</v>
      </c>
      <c r="P1007" s="14" t="s">
        <v>7925</v>
      </c>
      <c r="Q1007" s="14" t="s">
        <v>185</v>
      </c>
      <c r="R1007" s="3" t="s">
        <v>4170</v>
      </c>
      <c r="S1007" s="3">
        <f t="shared" si="50"/>
        <v>550</v>
      </c>
      <c r="T1007" s="3">
        <f t="shared" si="51"/>
        <v>17050</v>
      </c>
      <c r="U1007" s="3" t="s">
        <v>60</v>
      </c>
      <c r="V1007" s="14" t="s">
        <v>6</v>
      </c>
      <c r="W1007" s="14" t="s">
        <v>4287</v>
      </c>
      <c r="X1007" s="14" t="s">
        <v>60</v>
      </c>
    </row>
    <row r="1008" spans="1:24" ht="15" x14ac:dyDescent="0.3">
      <c r="A1008" s="3">
        <v>51</v>
      </c>
      <c r="B1008" s="3" t="s">
        <v>7926</v>
      </c>
      <c r="C1008" s="14" t="s">
        <v>0</v>
      </c>
      <c r="D1008" s="14" t="s">
        <v>3601</v>
      </c>
      <c r="E1008" s="14" t="s">
        <v>7927</v>
      </c>
      <c r="F1008" s="14" t="s">
        <v>3602</v>
      </c>
      <c r="G1008" s="14" t="s">
        <v>3</v>
      </c>
      <c r="H1008" s="14" t="s">
        <v>7928</v>
      </c>
      <c r="I1008" s="14" t="s">
        <v>3843</v>
      </c>
      <c r="J1008" s="14" t="s">
        <v>60</v>
      </c>
      <c r="K1008" s="14" t="s">
        <v>60</v>
      </c>
      <c r="L1008" s="14" t="s">
        <v>60</v>
      </c>
      <c r="M1008" s="14" t="s">
        <v>3844</v>
      </c>
      <c r="N1008" s="14" t="s">
        <v>60</v>
      </c>
      <c r="O1008" s="14" t="s">
        <v>60</v>
      </c>
      <c r="P1008" s="14" t="s">
        <v>7929</v>
      </c>
      <c r="Q1008" s="14" t="s">
        <v>11</v>
      </c>
      <c r="R1008" s="3" t="s">
        <v>4170</v>
      </c>
      <c r="S1008" s="3">
        <f t="shared" si="50"/>
        <v>550</v>
      </c>
      <c r="T1008" s="3">
        <f t="shared" si="51"/>
        <v>17050</v>
      </c>
      <c r="U1008" s="3" t="s">
        <v>60</v>
      </c>
      <c r="V1008" s="14" t="s">
        <v>6</v>
      </c>
      <c r="W1008" s="14" t="s">
        <v>4444</v>
      </c>
      <c r="X1008" s="14" t="s">
        <v>60</v>
      </c>
    </row>
    <row r="1009" spans="1:24" ht="15" x14ac:dyDescent="0.3">
      <c r="A1009" s="3">
        <v>52</v>
      </c>
      <c r="B1009" s="3" t="s">
        <v>7930</v>
      </c>
      <c r="C1009" s="14" t="s">
        <v>0</v>
      </c>
      <c r="D1009" s="14" t="s">
        <v>3928</v>
      </c>
      <c r="E1009" s="14" t="s">
        <v>7931</v>
      </c>
      <c r="F1009" s="14" t="s">
        <v>3570</v>
      </c>
      <c r="G1009" s="14" t="s">
        <v>3</v>
      </c>
      <c r="H1009" s="14" t="s">
        <v>7932</v>
      </c>
      <c r="I1009" s="14" t="s">
        <v>3944</v>
      </c>
      <c r="J1009" s="14" t="s">
        <v>60</v>
      </c>
      <c r="K1009" s="14" t="s">
        <v>60</v>
      </c>
      <c r="L1009" s="14" t="s">
        <v>60</v>
      </c>
      <c r="M1009" s="14" t="s">
        <v>3929</v>
      </c>
      <c r="N1009" s="14" t="s">
        <v>60</v>
      </c>
      <c r="O1009" s="14" t="s">
        <v>3910</v>
      </c>
      <c r="P1009" s="14" t="s">
        <v>7933</v>
      </c>
      <c r="Q1009" s="14" t="s">
        <v>3930</v>
      </c>
      <c r="R1009" s="3" t="s">
        <v>4300</v>
      </c>
      <c r="S1009" s="3">
        <f t="shared" si="50"/>
        <v>550</v>
      </c>
      <c r="T1009" s="3">
        <f t="shared" si="51"/>
        <v>15950</v>
      </c>
      <c r="U1009" s="3" t="s">
        <v>60</v>
      </c>
      <c r="V1009" s="14" t="s">
        <v>6</v>
      </c>
      <c r="W1009" s="14" t="s">
        <v>5755</v>
      </c>
      <c r="X1009" s="14" t="s">
        <v>60</v>
      </c>
    </row>
    <row r="1010" spans="1:24" ht="15" x14ac:dyDescent="0.3">
      <c r="A1010" s="3">
        <v>53</v>
      </c>
      <c r="B1010" s="3" t="s">
        <v>7934</v>
      </c>
      <c r="C1010" s="14" t="s">
        <v>0</v>
      </c>
      <c r="D1010" s="14" t="s">
        <v>3931</v>
      </c>
      <c r="E1010" s="14" t="s">
        <v>7935</v>
      </c>
      <c r="F1010" s="14" t="s">
        <v>3932</v>
      </c>
      <c r="G1010" s="14" t="s">
        <v>3</v>
      </c>
      <c r="H1010" s="14" t="s">
        <v>7936</v>
      </c>
      <c r="I1010" s="14" t="s">
        <v>3943</v>
      </c>
      <c r="J1010" s="14" t="s">
        <v>60</v>
      </c>
      <c r="K1010" s="14" t="s">
        <v>60</v>
      </c>
      <c r="L1010" s="14" t="s">
        <v>60</v>
      </c>
      <c r="M1010" s="14" t="s">
        <v>3933</v>
      </c>
      <c r="N1010" s="14" t="s">
        <v>60</v>
      </c>
      <c r="O1010" s="14" t="s">
        <v>3910</v>
      </c>
      <c r="P1010" s="14" t="s">
        <v>7937</v>
      </c>
      <c r="Q1010" s="14" t="s">
        <v>11</v>
      </c>
      <c r="R1010" s="3" t="s">
        <v>4170</v>
      </c>
      <c r="S1010" s="3">
        <f t="shared" si="50"/>
        <v>550</v>
      </c>
      <c r="T1010" s="3">
        <f t="shared" si="51"/>
        <v>17050</v>
      </c>
      <c r="U1010" s="3" t="s">
        <v>60</v>
      </c>
      <c r="V1010" s="14" t="s">
        <v>6</v>
      </c>
      <c r="W1010" s="14" t="s">
        <v>5755</v>
      </c>
      <c r="X1010" s="14" t="s">
        <v>60</v>
      </c>
    </row>
    <row r="1011" spans="1:24" ht="15" x14ac:dyDescent="0.3">
      <c r="A1011" s="3">
        <v>54</v>
      </c>
      <c r="B1011" s="3" t="s">
        <v>7938</v>
      </c>
      <c r="C1011" s="14" t="s">
        <v>0</v>
      </c>
      <c r="D1011" s="14" t="s">
        <v>3584</v>
      </c>
      <c r="E1011" s="14" t="s">
        <v>4319</v>
      </c>
      <c r="F1011" s="14" t="s">
        <v>3592</v>
      </c>
      <c r="G1011" s="14" t="s">
        <v>121</v>
      </c>
      <c r="H1011" s="14" t="s">
        <v>7939</v>
      </c>
      <c r="I1011" s="14" t="s">
        <v>3941</v>
      </c>
      <c r="J1011" s="14" t="s">
        <v>60</v>
      </c>
      <c r="K1011" s="14" t="s">
        <v>60</v>
      </c>
      <c r="L1011" s="14" t="s">
        <v>60</v>
      </c>
      <c r="M1011" s="14" t="s">
        <v>3851</v>
      </c>
      <c r="N1011" s="14" t="s">
        <v>60</v>
      </c>
      <c r="O1011" s="14" t="s">
        <v>3910</v>
      </c>
      <c r="P1011" s="14" t="s">
        <v>7940</v>
      </c>
      <c r="Q1011" s="14" t="s">
        <v>2463</v>
      </c>
      <c r="R1011" s="3" t="s">
        <v>4300</v>
      </c>
      <c r="S1011" s="3">
        <f t="shared" si="50"/>
        <v>550</v>
      </c>
      <c r="T1011" s="3">
        <f t="shared" si="51"/>
        <v>15950</v>
      </c>
      <c r="U1011" s="3" t="s">
        <v>60</v>
      </c>
      <c r="V1011" s="14" t="s">
        <v>6</v>
      </c>
      <c r="W1011" s="14" t="s">
        <v>7941</v>
      </c>
      <c r="X1011" s="14" t="s">
        <v>60</v>
      </c>
    </row>
    <row r="1012" spans="1:24" ht="15" x14ac:dyDescent="0.3">
      <c r="A1012" s="3">
        <v>55</v>
      </c>
      <c r="B1012" s="3" t="s">
        <v>7942</v>
      </c>
      <c r="C1012" s="14" t="s">
        <v>0</v>
      </c>
      <c r="D1012" s="14" t="s">
        <v>138</v>
      </c>
      <c r="E1012" s="14" t="s">
        <v>7943</v>
      </c>
      <c r="F1012" s="14" t="s">
        <v>3934</v>
      </c>
      <c r="G1012" s="14" t="s">
        <v>3</v>
      </c>
      <c r="H1012" s="14" t="s">
        <v>7944</v>
      </c>
      <c r="I1012" s="14" t="s">
        <v>3942</v>
      </c>
      <c r="J1012" s="14" t="s">
        <v>60</v>
      </c>
      <c r="K1012" s="14" t="s">
        <v>60</v>
      </c>
      <c r="L1012" s="14" t="s">
        <v>60</v>
      </c>
      <c r="M1012" s="14" t="s">
        <v>3935</v>
      </c>
      <c r="N1012" s="14" t="s">
        <v>60</v>
      </c>
      <c r="O1012" s="14" t="s">
        <v>3910</v>
      </c>
      <c r="P1012" s="14" t="s">
        <v>7945</v>
      </c>
      <c r="Q1012" s="14" t="s">
        <v>11</v>
      </c>
      <c r="R1012" s="3" t="s">
        <v>4170</v>
      </c>
      <c r="S1012" s="3">
        <f t="shared" si="50"/>
        <v>550</v>
      </c>
      <c r="T1012" s="3">
        <f t="shared" si="51"/>
        <v>17050</v>
      </c>
      <c r="U1012" s="3" t="s">
        <v>60</v>
      </c>
      <c r="V1012" s="14" t="s">
        <v>6</v>
      </c>
      <c r="W1012" s="14" t="s">
        <v>7946</v>
      </c>
      <c r="X1012" s="14" t="s">
        <v>60</v>
      </c>
    </row>
    <row r="1013" spans="1:24" ht="15" x14ac:dyDescent="0.3">
      <c r="A1013" s="3">
        <v>56</v>
      </c>
      <c r="B1013" s="3" t="s">
        <v>7947</v>
      </c>
      <c r="C1013" s="14" t="s">
        <v>0</v>
      </c>
      <c r="D1013" s="14" t="s">
        <v>3936</v>
      </c>
      <c r="E1013" s="14" t="s">
        <v>7948</v>
      </c>
      <c r="F1013" s="14" t="s">
        <v>7949</v>
      </c>
      <c r="G1013" s="14" t="s">
        <v>121</v>
      </c>
      <c r="H1013" s="14" t="s">
        <v>7950</v>
      </c>
      <c r="I1013" s="14" t="s">
        <v>3945</v>
      </c>
      <c r="J1013" s="14" t="s">
        <v>60</v>
      </c>
      <c r="K1013" s="14" t="s">
        <v>60</v>
      </c>
      <c r="L1013" s="14" t="s">
        <v>60</v>
      </c>
      <c r="M1013" s="14" t="s">
        <v>3937</v>
      </c>
      <c r="N1013" s="14" t="s">
        <v>60</v>
      </c>
      <c r="O1013" s="14" t="s">
        <v>3910</v>
      </c>
      <c r="P1013" s="14" t="s">
        <v>7951</v>
      </c>
      <c r="Q1013" s="14" t="s">
        <v>11</v>
      </c>
      <c r="R1013" s="3" t="s">
        <v>4170</v>
      </c>
      <c r="S1013" s="3">
        <f t="shared" si="50"/>
        <v>550</v>
      </c>
      <c r="T1013" s="3">
        <f t="shared" si="51"/>
        <v>17050</v>
      </c>
      <c r="U1013" s="3" t="s">
        <v>60</v>
      </c>
      <c r="V1013" s="14" t="s">
        <v>6</v>
      </c>
      <c r="W1013" s="14" t="s">
        <v>7946</v>
      </c>
      <c r="X1013" s="14" t="s">
        <v>60</v>
      </c>
    </row>
    <row r="1014" spans="1:24" ht="15" x14ac:dyDescent="0.3">
      <c r="A1014" s="3">
        <v>57</v>
      </c>
      <c r="B1014" s="3" t="s">
        <v>7952</v>
      </c>
      <c r="C1014" s="14" t="s">
        <v>0</v>
      </c>
      <c r="D1014" s="14" t="s">
        <v>3938</v>
      </c>
      <c r="E1014" s="14" t="s">
        <v>4308</v>
      </c>
      <c r="F1014" s="14" t="s">
        <v>3939</v>
      </c>
      <c r="G1014" s="14" t="s">
        <v>121</v>
      </c>
      <c r="H1014" s="14" t="s">
        <v>7953</v>
      </c>
      <c r="I1014" s="14" t="s">
        <v>3946</v>
      </c>
      <c r="J1014" s="14" t="s">
        <v>60</v>
      </c>
      <c r="K1014" s="14" t="s">
        <v>60</v>
      </c>
      <c r="L1014" s="14" t="s">
        <v>60</v>
      </c>
      <c r="M1014" s="14" t="s">
        <v>3940</v>
      </c>
      <c r="N1014" s="14" t="s">
        <v>60</v>
      </c>
      <c r="O1014" s="14" t="s">
        <v>3910</v>
      </c>
      <c r="P1014" s="14" t="s">
        <v>7954</v>
      </c>
      <c r="Q1014" s="14" t="s">
        <v>2463</v>
      </c>
      <c r="R1014" s="3" t="s">
        <v>4170</v>
      </c>
      <c r="S1014" s="3">
        <f t="shared" si="50"/>
        <v>550</v>
      </c>
      <c r="T1014" s="3">
        <f t="shared" si="51"/>
        <v>17050</v>
      </c>
      <c r="U1014" s="3" t="s">
        <v>60</v>
      </c>
      <c r="V1014" s="14" t="s">
        <v>6</v>
      </c>
      <c r="W1014" s="14" t="s">
        <v>7946</v>
      </c>
      <c r="X1014" s="14" t="s">
        <v>60</v>
      </c>
    </row>
    <row r="1015" spans="1:24" ht="15" x14ac:dyDescent="0.3">
      <c r="A1015" s="3">
        <v>58</v>
      </c>
      <c r="B1015" s="3" t="s">
        <v>7955</v>
      </c>
      <c r="C1015" s="14" t="s">
        <v>0</v>
      </c>
      <c r="D1015" s="14" t="s">
        <v>147</v>
      </c>
      <c r="E1015" s="14" t="s">
        <v>5154</v>
      </c>
      <c r="F1015" s="14" t="s">
        <v>148</v>
      </c>
      <c r="G1015" s="14" t="s">
        <v>3</v>
      </c>
      <c r="H1015" s="14" t="s">
        <v>7956</v>
      </c>
      <c r="I1015" s="14" t="s">
        <v>149</v>
      </c>
      <c r="J1015" s="14" t="s">
        <v>60</v>
      </c>
      <c r="K1015" s="14" t="s">
        <v>60</v>
      </c>
      <c r="L1015" s="14" t="s">
        <v>60</v>
      </c>
      <c r="M1015" s="14" t="s">
        <v>150</v>
      </c>
      <c r="N1015" s="14" t="s">
        <v>60</v>
      </c>
      <c r="O1015" s="14" t="s">
        <v>3910</v>
      </c>
      <c r="P1015" s="14" t="s">
        <v>7957</v>
      </c>
      <c r="Q1015" s="14" t="s">
        <v>11</v>
      </c>
      <c r="R1015" s="3" t="s">
        <v>4311</v>
      </c>
      <c r="S1015" s="3">
        <f t="shared" si="50"/>
        <v>550</v>
      </c>
      <c r="T1015" s="3">
        <f t="shared" si="51"/>
        <v>16500</v>
      </c>
      <c r="U1015" s="3" t="s">
        <v>60</v>
      </c>
      <c r="V1015" s="14" t="s">
        <v>6</v>
      </c>
      <c r="W1015" s="14" t="s">
        <v>4491</v>
      </c>
      <c r="X1015" s="14" t="s">
        <v>60</v>
      </c>
    </row>
    <row r="1016" spans="1:24" ht="15.6" x14ac:dyDescent="0.3">
      <c r="A1016" s="20">
        <v>59</v>
      </c>
      <c r="B1016" s="13">
        <v>8526</v>
      </c>
      <c r="C1016" s="14" t="s">
        <v>0</v>
      </c>
      <c r="D1016" s="15" t="s">
        <v>110</v>
      </c>
      <c r="E1016" s="12">
        <v>32910</v>
      </c>
      <c r="F1016" s="12" t="s">
        <v>111</v>
      </c>
      <c r="G1016" s="5" t="s">
        <v>3</v>
      </c>
      <c r="H1016" s="5" t="s">
        <v>3947</v>
      </c>
      <c r="I1016" s="5" t="s">
        <v>112</v>
      </c>
      <c r="J1016" s="8"/>
      <c r="K1016" s="5"/>
      <c r="L1016" s="5"/>
      <c r="M1016" s="5" t="s">
        <v>113</v>
      </c>
      <c r="N1016" s="16"/>
      <c r="O1016" s="4" t="s">
        <v>3910</v>
      </c>
      <c r="P1016" s="17">
        <v>97008940504</v>
      </c>
      <c r="Q1016" s="6" t="s">
        <v>11</v>
      </c>
      <c r="R1016" s="3" t="s">
        <v>4311</v>
      </c>
      <c r="S1016" s="3">
        <f t="shared" si="50"/>
        <v>550</v>
      </c>
      <c r="T1016" s="3">
        <f t="shared" si="51"/>
        <v>16500</v>
      </c>
      <c r="U1016" s="7"/>
      <c r="V1016" s="9" t="s">
        <v>6</v>
      </c>
      <c r="W1016" s="11">
        <v>46252</v>
      </c>
      <c r="X1016" s="11"/>
    </row>
    <row r="1017" spans="1:24" ht="15" x14ac:dyDescent="0.3">
      <c r="A1017" s="3">
        <v>60</v>
      </c>
      <c r="B1017" s="3" t="s">
        <v>7958</v>
      </c>
      <c r="C1017" s="14" t="s">
        <v>3915</v>
      </c>
      <c r="D1017" s="14" t="s">
        <v>2504</v>
      </c>
      <c r="E1017" s="14" t="s">
        <v>7959</v>
      </c>
      <c r="F1017" s="14" t="s">
        <v>2445</v>
      </c>
      <c r="G1017" s="14" t="s">
        <v>3</v>
      </c>
      <c r="H1017" s="14" t="s">
        <v>2505</v>
      </c>
      <c r="I1017" s="14" t="s">
        <v>2506</v>
      </c>
      <c r="J1017" s="14" t="s">
        <v>60</v>
      </c>
      <c r="K1017" s="14" t="s">
        <v>60</v>
      </c>
      <c r="L1017" s="14" t="s">
        <v>60</v>
      </c>
      <c r="M1017" s="14" t="s">
        <v>2507</v>
      </c>
      <c r="N1017" s="14" t="s">
        <v>60</v>
      </c>
      <c r="O1017" s="14" t="s">
        <v>60</v>
      </c>
      <c r="P1017" s="14" t="s">
        <v>7960</v>
      </c>
      <c r="Q1017" s="14" t="s">
        <v>11</v>
      </c>
      <c r="R1017" s="3" t="s">
        <v>4300</v>
      </c>
      <c r="S1017" s="3">
        <f t="shared" si="50"/>
        <v>770</v>
      </c>
      <c r="T1017" s="3">
        <f t="shared" si="51"/>
        <v>22330</v>
      </c>
      <c r="U1017" s="3" t="s">
        <v>60</v>
      </c>
      <c r="V1017" s="14" t="s">
        <v>6</v>
      </c>
      <c r="W1017" s="14" t="s">
        <v>7866</v>
      </c>
      <c r="X1017" s="14" t="s">
        <v>60</v>
      </c>
    </row>
    <row r="1018" spans="1:24" ht="15" x14ac:dyDescent="0.3">
      <c r="A1018" s="3">
        <v>61</v>
      </c>
      <c r="B1018" s="3" t="s">
        <v>7961</v>
      </c>
      <c r="C1018" s="14" t="s">
        <v>91</v>
      </c>
      <c r="D1018" s="14" t="s">
        <v>2485</v>
      </c>
      <c r="E1018" s="14" t="s">
        <v>7962</v>
      </c>
      <c r="F1018" s="14" t="s">
        <v>2486</v>
      </c>
      <c r="G1018" s="14" t="s">
        <v>3</v>
      </c>
      <c r="H1018" s="14" t="s">
        <v>7963</v>
      </c>
      <c r="I1018" s="14" t="s">
        <v>2487</v>
      </c>
      <c r="J1018" s="14" t="s">
        <v>60</v>
      </c>
      <c r="K1018" s="14" t="s">
        <v>60</v>
      </c>
      <c r="L1018" s="14" t="s">
        <v>60</v>
      </c>
      <c r="M1018" s="14" t="s">
        <v>2488</v>
      </c>
      <c r="N1018" s="14" t="s">
        <v>60</v>
      </c>
      <c r="O1018" s="14" t="s">
        <v>60</v>
      </c>
      <c r="P1018" s="14" t="s">
        <v>7964</v>
      </c>
      <c r="Q1018" s="14" t="s">
        <v>2463</v>
      </c>
      <c r="R1018" s="3" t="s">
        <v>4170</v>
      </c>
      <c r="S1018" s="3">
        <f t="shared" si="50"/>
        <v>770</v>
      </c>
      <c r="T1018" s="3">
        <f t="shared" si="51"/>
        <v>23870</v>
      </c>
      <c r="U1018" s="3" t="s">
        <v>7965</v>
      </c>
      <c r="V1018" s="14" t="s">
        <v>6</v>
      </c>
      <c r="W1018" s="14" t="s">
        <v>7866</v>
      </c>
      <c r="X1018" s="14" t="s">
        <v>60</v>
      </c>
    </row>
    <row r="1019" spans="1:24" ht="15" x14ac:dyDescent="0.3">
      <c r="A1019" s="3">
        <v>62</v>
      </c>
      <c r="B1019" s="3" t="s">
        <v>7966</v>
      </c>
      <c r="C1019" s="14" t="s">
        <v>0</v>
      </c>
      <c r="D1019" s="14" t="s">
        <v>4056</v>
      </c>
      <c r="E1019" s="14" t="s">
        <v>7967</v>
      </c>
      <c r="F1019" s="14" t="s">
        <v>4057</v>
      </c>
      <c r="G1019" s="14" t="s">
        <v>3</v>
      </c>
      <c r="H1019" s="14" t="s">
        <v>4072</v>
      </c>
      <c r="I1019" s="14" t="s">
        <v>4073</v>
      </c>
      <c r="J1019" s="14" t="s">
        <v>60</v>
      </c>
      <c r="K1019" s="14" t="s">
        <v>60</v>
      </c>
      <c r="L1019" s="14" t="s">
        <v>60</v>
      </c>
      <c r="M1019" s="14" t="s">
        <v>4066</v>
      </c>
      <c r="N1019" s="14" t="s">
        <v>60</v>
      </c>
      <c r="O1019" s="14" t="s">
        <v>3910</v>
      </c>
      <c r="P1019" s="14" t="s">
        <v>4074</v>
      </c>
      <c r="Q1019" s="14" t="s">
        <v>4058</v>
      </c>
      <c r="R1019" s="3" t="s">
        <v>4170</v>
      </c>
      <c r="S1019" s="3">
        <f t="shared" si="50"/>
        <v>550</v>
      </c>
      <c r="T1019" s="3">
        <f t="shared" si="51"/>
        <v>17050</v>
      </c>
      <c r="U1019" s="3" t="s">
        <v>60</v>
      </c>
      <c r="V1019" s="14" t="s">
        <v>6</v>
      </c>
      <c r="W1019" s="14" t="s">
        <v>4483</v>
      </c>
      <c r="X1019" s="14" t="s">
        <v>60</v>
      </c>
    </row>
    <row r="1020" spans="1:24" ht="15.6" x14ac:dyDescent="0.3">
      <c r="A1020" s="3">
        <v>63</v>
      </c>
      <c r="B1020" s="25" t="s">
        <v>7968</v>
      </c>
      <c r="C1020" s="14" t="s">
        <v>0</v>
      </c>
      <c r="D1020" s="14" t="s">
        <v>2459</v>
      </c>
      <c r="E1020" s="14" t="s">
        <v>7969</v>
      </c>
      <c r="F1020" s="14" t="s">
        <v>2460</v>
      </c>
      <c r="G1020" s="14" t="s">
        <v>3</v>
      </c>
      <c r="H1020" s="14" t="s">
        <v>7970</v>
      </c>
      <c r="I1020" s="14" t="s">
        <v>2461</v>
      </c>
      <c r="J1020" s="14" t="s">
        <v>60</v>
      </c>
      <c r="K1020" s="14" t="s">
        <v>60</v>
      </c>
      <c r="L1020" s="14" t="s">
        <v>60</v>
      </c>
      <c r="M1020" s="14" t="s">
        <v>2462</v>
      </c>
      <c r="N1020" s="14" t="s">
        <v>60</v>
      </c>
      <c r="O1020" s="14" t="s">
        <v>60</v>
      </c>
      <c r="P1020" s="14" t="s">
        <v>7971</v>
      </c>
      <c r="Q1020" s="14" t="s">
        <v>2463</v>
      </c>
      <c r="R1020" s="3" t="s">
        <v>4311</v>
      </c>
      <c r="S1020" s="3">
        <f t="shared" si="50"/>
        <v>550</v>
      </c>
      <c r="T1020" s="3">
        <f t="shared" si="51"/>
        <v>16500</v>
      </c>
      <c r="U1020" s="3" t="s">
        <v>60</v>
      </c>
      <c r="V1020" s="14" t="s">
        <v>6</v>
      </c>
      <c r="W1020" s="14" t="s">
        <v>4495</v>
      </c>
      <c r="X1020" s="14" t="s">
        <v>60</v>
      </c>
    </row>
    <row r="1021" spans="1:24" ht="15.6" x14ac:dyDescent="0.3">
      <c r="A1021" s="3">
        <v>64</v>
      </c>
      <c r="B1021" s="25" t="s">
        <v>7972</v>
      </c>
      <c r="C1021" s="14" t="s">
        <v>0</v>
      </c>
      <c r="D1021" s="14" t="s">
        <v>7973</v>
      </c>
      <c r="E1021" s="14" t="s">
        <v>7974</v>
      </c>
      <c r="F1021" s="14" t="s">
        <v>7975</v>
      </c>
      <c r="G1021" s="14" t="s">
        <v>3</v>
      </c>
      <c r="H1021" s="14" t="s">
        <v>7976</v>
      </c>
      <c r="I1021" s="14" t="s">
        <v>7977</v>
      </c>
      <c r="J1021" s="14" t="s">
        <v>60</v>
      </c>
      <c r="K1021" s="14" t="s">
        <v>60</v>
      </c>
      <c r="L1021" s="14" t="s">
        <v>60</v>
      </c>
      <c r="M1021" s="14" t="s">
        <v>7978</v>
      </c>
      <c r="N1021" s="14" t="s">
        <v>60</v>
      </c>
      <c r="O1021" s="14" t="s">
        <v>60</v>
      </c>
      <c r="P1021" s="14" t="s">
        <v>7979</v>
      </c>
      <c r="Q1021" s="14" t="s">
        <v>11</v>
      </c>
      <c r="R1021" s="3" t="s">
        <v>5870</v>
      </c>
      <c r="S1021" s="3">
        <f t="shared" si="50"/>
        <v>550</v>
      </c>
      <c r="T1021" s="3">
        <f t="shared" si="51"/>
        <v>13200</v>
      </c>
      <c r="U1021" s="3" t="s">
        <v>60</v>
      </c>
      <c r="V1021" s="14" t="s">
        <v>6</v>
      </c>
      <c r="W1021" s="14" t="s">
        <v>7980</v>
      </c>
      <c r="X1021" s="14" t="s">
        <v>60</v>
      </c>
    </row>
    <row r="1022" spans="1:24" ht="45" x14ac:dyDescent="0.3">
      <c r="A1022" s="3">
        <v>65</v>
      </c>
      <c r="B1022" s="25" t="s">
        <v>7981</v>
      </c>
      <c r="C1022" s="14" t="s">
        <v>0</v>
      </c>
      <c r="D1022" s="14" t="s">
        <v>7982</v>
      </c>
      <c r="E1022" s="14" t="s">
        <v>5258</v>
      </c>
      <c r="F1022" s="14" t="s">
        <v>7983</v>
      </c>
      <c r="G1022" s="14" t="s">
        <v>3</v>
      </c>
      <c r="H1022" s="14" t="s">
        <v>7984</v>
      </c>
      <c r="I1022" s="33" t="s">
        <v>7985</v>
      </c>
      <c r="J1022" s="14" t="s">
        <v>60</v>
      </c>
      <c r="K1022" s="14" t="s">
        <v>60</v>
      </c>
      <c r="L1022" s="14" t="s">
        <v>60</v>
      </c>
      <c r="M1022" s="14" t="s">
        <v>7986</v>
      </c>
      <c r="N1022" s="14" t="s">
        <v>60</v>
      </c>
      <c r="O1022" s="14" t="s">
        <v>60</v>
      </c>
      <c r="P1022" s="14" t="s">
        <v>7987</v>
      </c>
      <c r="Q1022" s="14" t="s">
        <v>7988</v>
      </c>
      <c r="R1022" s="3" t="s">
        <v>5222</v>
      </c>
      <c r="S1022" s="3">
        <f t="shared" ref="S1022:S1023" si="52">IF(RIGHT(C1022,3)="MAZ",550,IF(RIGHT(C1022,4)="MATE",570,IF(RIGHT(C1022,7)="SKD-III",640,IF(RIGHT(C1022,6)="SKD-II",770,IF(RIGHT(C1022,5)="SKD-I",900,IF(RIGHT(C1022,5)="CPDVR",770,""))))))</f>
        <v>550</v>
      </c>
      <c r="T1022" s="3">
        <f t="shared" ref="T1022:T1023" si="53">R1022*S1022</f>
        <v>14300</v>
      </c>
      <c r="U1022" s="3" t="s">
        <v>60</v>
      </c>
      <c r="V1022" s="14" t="s">
        <v>6</v>
      </c>
      <c r="W1022" s="14" t="s">
        <v>7980</v>
      </c>
      <c r="X1022" s="14" t="s">
        <v>60</v>
      </c>
    </row>
    <row r="1023" spans="1:24" ht="15.6" x14ac:dyDescent="0.3">
      <c r="A1023" s="3">
        <v>66</v>
      </c>
      <c r="B1023" s="25" t="s">
        <v>7989</v>
      </c>
      <c r="C1023" s="14" t="s">
        <v>0</v>
      </c>
      <c r="D1023" s="14" t="s">
        <v>7990</v>
      </c>
      <c r="E1023" s="14" t="s">
        <v>7991</v>
      </c>
      <c r="F1023" s="14" t="s">
        <v>7992</v>
      </c>
      <c r="G1023" s="14" t="s">
        <v>3</v>
      </c>
      <c r="H1023" s="14" t="s">
        <v>7993</v>
      </c>
      <c r="I1023" s="14" t="s">
        <v>7994</v>
      </c>
      <c r="J1023" s="14" t="s">
        <v>60</v>
      </c>
      <c r="K1023" s="14" t="s">
        <v>60</v>
      </c>
      <c r="L1023" s="14" t="s">
        <v>60</v>
      </c>
      <c r="M1023" s="14" t="s">
        <v>7995</v>
      </c>
      <c r="N1023" s="14" t="s">
        <v>60</v>
      </c>
      <c r="O1023" s="14" t="s">
        <v>60</v>
      </c>
      <c r="P1023" s="14" t="s">
        <v>7996</v>
      </c>
      <c r="Q1023" s="14" t="s">
        <v>7997</v>
      </c>
      <c r="R1023" s="3" t="s">
        <v>6057</v>
      </c>
      <c r="S1023" s="3">
        <f t="shared" si="52"/>
        <v>550</v>
      </c>
      <c r="T1023" s="3">
        <f t="shared" si="53"/>
        <v>4400</v>
      </c>
      <c r="U1023" s="3" t="s">
        <v>7998</v>
      </c>
      <c r="V1023" s="14" t="s">
        <v>6</v>
      </c>
      <c r="W1023" s="14" t="s">
        <v>7999</v>
      </c>
      <c r="X1023" s="14" t="s">
        <v>60</v>
      </c>
    </row>
    <row r="1024" spans="1:24" ht="15.6" x14ac:dyDescent="0.3">
      <c r="A1024" s="26" t="s">
        <v>60</v>
      </c>
      <c r="B1024" s="26" t="s">
        <v>60</v>
      </c>
      <c r="C1024" s="27" t="s">
        <v>60</v>
      </c>
      <c r="D1024" s="27" t="s">
        <v>60</v>
      </c>
      <c r="E1024" s="27" t="s">
        <v>60</v>
      </c>
      <c r="F1024" s="27" t="s">
        <v>60</v>
      </c>
      <c r="G1024" s="27" t="s">
        <v>60</v>
      </c>
      <c r="H1024" s="27" t="s">
        <v>60</v>
      </c>
      <c r="I1024" s="27" t="s">
        <v>60</v>
      </c>
      <c r="J1024" s="27" t="s">
        <v>60</v>
      </c>
      <c r="K1024" s="27" t="s">
        <v>60</v>
      </c>
      <c r="L1024" s="27" t="s">
        <v>60</v>
      </c>
      <c r="M1024" s="27" t="s">
        <v>60</v>
      </c>
      <c r="N1024" s="27" t="s">
        <v>60</v>
      </c>
      <c r="O1024" s="27" t="s">
        <v>60</v>
      </c>
      <c r="P1024" s="27" t="s">
        <v>60</v>
      </c>
      <c r="Q1024" s="27" t="s">
        <v>60</v>
      </c>
      <c r="R1024" s="35" t="s">
        <v>2009</v>
      </c>
      <c r="S1024" s="35" t="s">
        <v>60</v>
      </c>
      <c r="T1024" s="26">
        <f>SUM(T957:T1023)</f>
        <v>1053070</v>
      </c>
      <c r="U1024" s="26" t="s">
        <v>8000</v>
      </c>
      <c r="V1024" s="27" t="s">
        <v>60</v>
      </c>
      <c r="W1024" s="27" t="s">
        <v>60</v>
      </c>
      <c r="X1024" s="27" t="s">
        <v>60</v>
      </c>
    </row>
    <row r="1025" spans="1:24" ht="15.6" x14ac:dyDescent="0.3">
      <c r="A1025" s="34" t="s">
        <v>8001</v>
      </c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</row>
    <row r="1026" spans="1:24" ht="109.2" x14ac:dyDescent="0.3">
      <c r="A1026" s="23" t="s">
        <v>42</v>
      </c>
      <c r="B1026" s="23" t="s">
        <v>43</v>
      </c>
      <c r="C1026" s="24" t="s">
        <v>44</v>
      </c>
      <c r="D1026" s="24" t="s">
        <v>4154</v>
      </c>
      <c r="E1026" s="24" t="s">
        <v>4155</v>
      </c>
      <c r="F1026" s="24" t="s">
        <v>4156</v>
      </c>
      <c r="G1026" s="24" t="s">
        <v>45</v>
      </c>
      <c r="H1026" s="24" t="s">
        <v>4157</v>
      </c>
      <c r="I1026" s="24" t="s">
        <v>46</v>
      </c>
      <c r="J1026" s="24" t="s">
        <v>4158</v>
      </c>
      <c r="K1026" s="24" t="s">
        <v>4159</v>
      </c>
      <c r="L1026" s="24" t="s">
        <v>4160</v>
      </c>
      <c r="M1026" s="24" t="s">
        <v>4161</v>
      </c>
      <c r="N1026" s="24" t="s">
        <v>47</v>
      </c>
      <c r="O1026" s="24" t="s">
        <v>48</v>
      </c>
      <c r="P1026" s="24" t="s">
        <v>49</v>
      </c>
      <c r="Q1026" s="24" t="s">
        <v>50</v>
      </c>
      <c r="R1026" s="23" t="s">
        <v>4162</v>
      </c>
      <c r="S1026" s="23" t="s">
        <v>4163</v>
      </c>
      <c r="T1026" s="23" t="s">
        <v>4164</v>
      </c>
      <c r="U1026" s="23" t="s">
        <v>4165</v>
      </c>
      <c r="V1026" s="24" t="s">
        <v>51</v>
      </c>
      <c r="W1026" s="24" t="s">
        <v>52</v>
      </c>
      <c r="X1026" s="24" t="s">
        <v>53</v>
      </c>
    </row>
    <row r="1027" spans="1:24" ht="15" x14ac:dyDescent="0.3">
      <c r="A1027" s="3">
        <v>1</v>
      </c>
      <c r="B1027" s="3" t="s">
        <v>8002</v>
      </c>
      <c r="C1027" s="14" t="s">
        <v>26</v>
      </c>
      <c r="D1027" s="14" t="s">
        <v>2469</v>
      </c>
      <c r="E1027" s="14" t="s">
        <v>8003</v>
      </c>
      <c r="F1027" s="14" t="s">
        <v>2470</v>
      </c>
      <c r="G1027" s="14" t="s">
        <v>3</v>
      </c>
      <c r="H1027" s="14" t="s">
        <v>8004</v>
      </c>
      <c r="I1027" s="14" t="s">
        <v>2471</v>
      </c>
      <c r="J1027" s="14" t="s">
        <v>60</v>
      </c>
      <c r="K1027" s="14" t="s">
        <v>60</v>
      </c>
      <c r="L1027" s="14" t="s">
        <v>60</v>
      </c>
      <c r="M1027" s="14" t="s">
        <v>2472</v>
      </c>
      <c r="N1027" s="14" t="s">
        <v>60</v>
      </c>
      <c r="O1027" s="14" t="s">
        <v>60</v>
      </c>
      <c r="P1027" s="14" t="s">
        <v>8005</v>
      </c>
      <c r="Q1027" s="14" t="s">
        <v>2463</v>
      </c>
      <c r="R1027" s="3" t="s">
        <v>4170</v>
      </c>
      <c r="S1027" s="3">
        <f t="shared" ref="S1027:S1062" si="54">IF(RIGHT(C1027,3)="MAZ",550,IF(RIGHT(C1027,4)="MATE",570,IF(RIGHT(C1027,7)="SKD-III",640,IF(RIGHT(C1027,6)="SKD-II",770,IF(RIGHT(C1027,5)="SKD-I",900,IF(RIGHT(C1027,5)="CPDVR",770,""))))))</f>
        <v>770</v>
      </c>
      <c r="T1027" s="3">
        <f t="shared" ref="T1027:T1062" si="55">R1027*S1027</f>
        <v>23870</v>
      </c>
      <c r="U1027" s="3" t="s">
        <v>60</v>
      </c>
      <c r="V1027" s="14" t="s">
        <v>6</v>
      </c>
      <c r="W1027" s="14" t="s">
        <v>7850</v>
      </c>
      <c r="X1027" s="14" t="s">
        <v>60</v>
      </c>
    </row>
    <row r="1028" spans="1:24" ht="15" x14ac:dyDescent="0.3">
      <c r="A1028" s="3">
        <v>2</v>
      </c>
      <c r="B1028" s="3" t="s">
        <v>8006</v>
      </c>
      <c r="C1028" s="14" t="s">
        <v>0</v>
      </c>
      <c r="D1028" s="14" t="s">
        <v>2547</v>
      </c>
      <c r="E1028" s="14" t="s">
        <v>4440</v>
      </c>
      <c r="F1028" s="14" t="s">
        <v>2548</v>
      </c>
      <c r="G1028" s="14" t="s">
        <v>3</v>
      </c>
      <c r="H1028" s="14" t="s">
        <v>8007</v>
      </c>
      <c r="I1028" s="14" t="s">
        <v>2549</v>
      </c>
      <c r="J1028" s="14" t="s">
        <v>60</v>
      </c>
      <c r="K1028" s="14" t="s">
        <v>60</v>
      </c>
      <c r="L1028" s="14" t="s">
        <v>60</v>
      </c>
      <c r="M1028" s="14" t="s">
        <v>2550</v>
      </c>
      <c r="N1028" s="14" t="s">
        <v>60</v>
      </c>
      <c r="O1028" s="14" t="s">
        <v>388</v>
      </c>
      <c r="P1028" s="14" t="s">
        <v>8008</v>
      </c>
      <c r="Q1028" s="14" t="s">
        <v>11</v>
      </c>
      <c r="R1028" s="3" t="s">
        <v>4170</v>
      </c>
      <c r="S1028" s="3">
        <f t="shared" si="54"/>
        <v>550</v>
      </c>
      <c r="T1028" s="3">
        <f t="shared" si="55"/>
        <v>17050</v>
      </c>
      <c r="U1028" s="3" t="s">
        <v>60</v>
      </c>
      <c r="V1028" s="14" t="s">
        <v>6</v>
      </c>
      <c r="W1028" s="14" t="s">
        <v>6925</v>
      </c>
      <c r="X1028" s="14" t="s">
        <v>60</v>
      </c>
    </row>
    <row r="1029" spans="1:24" ht="15" x14ac:dyDescent="0.3">
      <c r="A1029" s="3">
        <v>3</v>
      </c>
      <c r="B1029" s="3" t="s">
        <v>8009</v>
      </c>
      <c r="C1029" s="14" t="s">
        <v>0</v>
      </c>
      <c r="D1029" s="14" t="s">
        <v>2551</v>
      </c>
      <c r="E1029" s="14" t="s">
        <v>8010</v>
      </c>
      <c r="F1029" s="14" t="s">
        <v>2552</v>
      </c>
      <c r="G1029" s="14" t="s">
        <v>3</v>
      </c>
      <c r="H1029" s="14" t="s">
        <v>8011</v>
      </c>
      <c r="I1029" s="14" t="s">
        <v>2553</v>
      </c>
      <c r="J1029" s="14" t="s">
        <v>60</v>
      </c>
      <c r="K1029" s="14" t="s">
        <v>60</v>
      </c>
      <c r="L1029" s="14" t="s">
        <v>60</v>
      </c>
      <c r="M1029" s="14" t="s">
        <v>2554</v>
      </c>
      <c r="N1029" s="14" t="s">
        <v>60</v>
      </c>
      <c r="O1029" s="14" t="s">
        <v>388</v>
      </c>
      <c r="P1029" s="14" t="s">
        <v>8012</v>
      </c>
      <c r="Q1029" s="14" t="s">
        <v>11</v>
      </c>
      <c r="R1029" s="3" t="s">
        <v>4170</v>
      </c>
      <c r="S1029" s="3">
        <f t="shared" si="54"/>
        <v>550</v>
      </c>
      <c r="T1029" s="3">
        <f t="shared" si="55"/>
        <v>17050</v>
      </c>
      <c r="U1029" s="3" t="s">
        <v>60</v>
      </c>
      <c r="V1029" s="14" t="s">
        <v>6</v>
      </c>
      <c r="W1029" s="14" t="s">
        <v>6925</v>
      </c>
      <c r="X1029" s="14" t="s">
        <v>60</v>
      </c>
    </row>
    <row r="1030" spans="1:24" ht="15" x14ac:dyDescent="0.3">
      <c r="A1030" s="3">
        <v>4</v>
      </c>
      <c r="B1030" s="3" t="s">
        <v>8013</v>
      </c>
      <c r="C1030" s="14" t="s">
        <v>0</v>
      </c>
      <c r="D1030" s="14" t="s">
        <v>2555</v>
      </c>
      <c r="E1030" s="14" t="s">
        <v>4430</v>
      </c>
      <c r="F1030" s="14" t="s">
        <v>2556</v>
      </c>
      <c r="G1030" s="14" t="s">
        <v>3</v>
      </c>
      <c r="H1030" s="14" t="s">
        <v>8014</v>
      </c>
      <c r="I1030" s="14" t="s">
        <v>2557</v>
      </c>
      <c r="J1030" s="14" t="s">
        <v>60</v>
      </c>
      <c r="K1030" s="14" t="s">
        <v>60</v>
      </c>
      <c r="L1030" s="14" t="s">
        <v>60</v>
      </c>
      <c r="M1030" s="14" t="s">
        <v>2558</v>
      </c>
      <c r="N1030" s="14" t="s">
        <v>60</v>
      </c>
      <c r="O1030" s="14" t="s">
        <v>388</v>
      </c>
      <c r="P1030" s="14" t="s">
        <v>8015</v>
      </c>
      <c r="Q1030" s="14" t="s">
        <v>11</v>
      </c>
      <c r="R1030" s="3" t="s">
        <v>4170</v>
      </c>
      <c r="S1030" s="3">
        <f t="shared" si="54"/>
        <v>550</v>
      </c>
      <c r="T1030" s="3">
        <f t="shared" si="55"/>
        <v>17050</v>
      </c>
      <c r="U1030" s="3" t="s">
        <v>60</v>
      </c>
      <c r="V1030" s="14" t="s">
        <v>6</v>
      </c>
      <c r="W1030" s="14" t="s">
        <v>6925</v>
      </c>
      <c r="X1030" s="14" t="s">
        <v>60</v>
      </c>
    </row>
    <row r="1031" spans="1:24" ht="15" x14ac:dyDescent="0.3">
      <c r="A1031" s="3">
        <v>5</v>
      </c>
      <c r="B1031" s="3" t="s">
        <v>8016</v>
      </c>
      <c r="C1031" s="14" t="s">
        <v>0</v>
      </c>
      <c r="D1031" s="14" t="s">
        <v>2559</v>
      </c>
      <c r="E1031" s="14" t="s">
        <v>4778</v>
      </c>
      <c r="F1031" s="14" t="s">
        <v>2560</v>
      </c>
      <c r="G1031" s="14" t="s">
        <v>3</v>
      </c>
      <c r="H1031" s="14" t="s">
        <v>8017</v>
      </c>
      <c r="I1031" s="14" t="s">
        <v>2561</v>
      </c>
      <c r="J1031" s="14" t="s">
        <v>60</v>
      </c>
      <c r="K1031" s="14" t="s">
        <v>60</v>
      </c>
      <c r="L1031" s="14" t="s">
        <v>60</v>
      </c>
      <c r="M1031" s="14" t="s">
        <v>2562</v>
      </c>
      <c r="N1031" s="14" t="s">
        <v>60</v>
      </c>
      <c r="O1031" s="14" t="s">
        <v>388</v>
      </c>
      <c r="P1031" s="14" t="s">
        <v>8018</v>
      </c>
      <c r="Q1031" s="14" t="s">
        <v>11</v>
      </c>
      <c r="R1031" s="3" t="s">
        <v>4170</v>
      </c>
      <c r="S1031" s="3">
        <f t="shared" si="54"/>
        <v>550</v>
      </c>
      <c r="T1031" s="3">
        <f t="shared" si="55"/>
        <v>17050</v>
      </c>
      <c r="U1031" s="3" t="s">
        <v>60</v>
      </c>
      <c r="V1031" s="14" t="s">
        <v>6</v>
      </c>
      <c r="W1031" s="14" t="s">
        <v>6925</v>
      </c>
      <c r="X1031" s="14" t="s">
        <v>60</v>
      </c>
    </row>
    <row r="1032" spans="1:24" ht="15" x14ac:dyDescent="0.3">
      <c r="A1032" s="3">
        <v>6</v>
      </c>
      <c r="B1032" s="3" t="s">
        <v>8019</v>
      </c>
      <c r="C1032" s="14" t="s">
        <v>0</v>
      </c>
      <c r="D1032" s="14" t="s">
        <v>2563</v>
      </c>
      <c r="E1032" s="14" t="s">
        <v>6442</v>
      </c>
      <c r="F1032" s="14" t="s">
        <v>2564</v>
      </c>
      <c r="G1032" s="14" t="s">
        <v>3</v>
      </c>
      <c r="H1032" s="14" t="s">
        <v>8020</v>
      </c>
      <c r="I1032" s="14" t="s">
        <v>2565</v>
      </c>
      <c r="J1032" s="14" t="s">
        <v>60</v>
      </c>
      <c r="K1032" s="14" t="s">
        <v>60</v>
      </c>
      <c r="L1032" s="14" t="s">
        <v>60</v>
      </c>
      <c r="M1032" s="14" t="s">
        <v>2566</v>
      </c>
      <c r="N1032" s="14" t="s">
        <v>60</v>
      </c>
      <c r="O1032" s="14" t="s">
        <v>388</v>
      </c>
      <c r="P1032" s="14" t="s">
        <v>8021</v>
      </c>
      <c r="Q1032" s="14" t="s">
        <v>11</v>
      </c>
      <c r="R1032" s="3" t="s">
        <v>4170</v>
      </c>
      <c r="S1032" s="3">
        <f t="shared" si="54"/>
        <v>550</v>
      </c>
      <c r="T1032" s="3">
        <f t="shared" si="55"/>
        <v>17050</v>
      </c>
      <c r="U1032" s="3" t="s">
        <v>60</v>
      </c>
      <c r="V1032" s="14" t="s">
        <v>6</v>
      </c>
      <c r="W1032" s="14" t="s">
        <v>6925</v>
      </c>
      <c r="X1032" s="14" t="s">
        <v>60</v>
      </c>
    </row>
    <row r="1033" spans="1:24" ht="15" x14ac:dyDescent="0.3">
      <c r="A1033" s="3">
        <v>7</v>
      </c>
      <c r="B1033" s="3" t="s">
        <v>8022</v>
      </c>
      <c r="C1033" s="14" t="s">
        <v>0</v>
      </c>
      <c r="D1033" s="14" t="s">
        <v>2567</v>
      </c>
      <c r="E1033" s="14" t="s">
        <v>5258</v>
      </c>
      <c r="F1033" s="14" t="s">
        <v>2568</v>
      </c>
      <c r="G1033" s="14" t="s">
        <v>3</v>
      </c>
      <c r="H1033" s="14" t="s">
        <v>8023</v>
      </c>
      <c r="I1033" s="14" t="s">
        <v>2569</v>
      </c>
      <c r="J1033" s="14" t="s">
        <v>60</v>
      </c>
      <c r="K1033" s="14" t="s">
        <v>60</v>
      </c>
      <c r="L1033" s="14" t="s">
        <v>60</v>
      </c>
      <c r="M1033" s="14" t="s">
        <v>2570</v>
      </c>
      <c r="N1033" s="14" t="s">
        <v>60</v>
      </c>
      <c r="O1033" s="14" t="s">
        <v>388</v>
      </c>
      <c r="P1033" s="14" t="s">
        <v>8024</v>
      </c>
      <c r="Q1033" s="14" t="s">
        <v>11</v>
      </c>
      <c r="R1033" s="3" t="s">
        <v>4170</v>
      </c>
      <c r="S1033" s="3">
        <f t="shared" si="54"/>
        <v>550</v>
      </c>
      <c r="T1033" s="3">
        <f t="shared" si="55"/>
        <v>17050</v>
      </c>
      <c r="U1033" s="3" t="s">
        <v>60</v>
      </c>
      <c r="V1033" s="14" t="s">
        <v>6</v>
      </c>
      <c r="W1033" s="14" t="s">
        <v>6925</v>
      </c>
      <c r="X1033" s="14" t="s">
        <v>60</v>
      </c>
    </row>
    <row r="1034" spans="1:24" ht="15" x14ac:dyDescent="0.3">
      <c r="A1034" s="3">
        <v>8</v>
      </c>
      <c r="B1034" s="3" t="s">
        <v>8025</v>
      </c>
      <c r="C1034" s="14" t="s">
        <v>0</v>
      </c>
      <c r="D1034" s="14" t="s">
        <v>2571</v>
      </c>
      <c r="E1034" s="14" t="s">
        <v>5390</v>
      </c>
      <c r="F1034" s="14" t="s">
        <v>2572</v>
      </c>
      <c r="G1034" s="14" t="s">
        <v>3</v>
      </c>
      <c r="H1034" s="14" t="s">
        <v>8026</v>
      </c>
      <c r="I1034" s="14" t="s">
        <v>2573</v>
      </c>
      <c r="J1034" s="14" t="s">
        <v>60</v>
      </c>
      <c r="K1034" s="14" t="s">
        <v>60</v>
      </c>
      <c r="L1034" s="14" t="s">
        <v>60</v>
      </c>
      <c r="M1034" s="14" t="s">
        <v>2574</v>
      </c>
      <c r="N1034" s="14" t="s">
        <v>60</v>
      </c>
      <c r="O1034" s="14" t="s">
        <v>388</v>
      </c>
      <c r="P1034" s="14" t="s">
        <v>8027</v>
      </c>
      <c r="Q1034" s="14" t="s">
        <v>11</v>
      </c>
      <c r="R1034" s="3" t="s">
        <v>4300</v>
      </c>
      <c r="S1034" s="3">
        <f t="shared" si="54"/>
        <v>550</v>
      </c>
      <c r="T1034" s="3">
        <f t="shared" si="55"/>
        <v>15950</v>
      </c>
      <c r="U1034" s="3" t="s">
        <v>60</v>
      </c>
      <c r="V1034" s="14" t="s">
        <v>6</v>
      </c>
      <c r="W1034" s="14" t="s">
        <v>8028</v>
      </c>
      <c r="X1034" s="14" t="s">
        <v>60</v>
      </c>
    </row>
    <row r="1035" spans="1:24" ht="15" x14ac:dyDescent="0.3">
      <c r="A1035" s="3">
        <v>9</v>
      </c>
      <c r="B1035" s="3" t="s">
        <v>8029</v>
      </c>
      <c r="C1035" s="14" t="s">
        <v>0</v>
      </c>
      <c r="D1035" s="14" t="s">
        <v>2578</v>
      </c>
      <c r="E1035" s="14" t="s">
        <v>8030</v>
      </c>
      <c r="F1035" s="14" t="s">
        <v>2469</v>
      </c>
      <c r="G1035" s="14" t="s">
        <v>3</v>
      </c>
      <c r="H1035" s="14" t="s">
        <v>8031</v>
      </c>
      <c r="I1035" s="14" t="s">
        <v>2579</v>
      </c>
      <c r="J1035" s="14" t="s">
        <v>60</v>
      </c>
      <c r="K1035" s="14" t="s">
        <v>60</v>
      </c>
      <c r="L1035" s="14" t="s">
        <v>60</v>
      </c>
      <c r="M1035" s="14" t="s">
        <v>2580</v>
      </c>
      <c r="N1035" s="14" t="s">
        <v>60</v>
      </c>
      <c r="O1035" s="14" t="s">
        <v>60</v>
      </c>
      <c r="P1035" s="14" t="s">
        <v>8032</v>
      </c>
      <c r="Q1035" s="14" t="s">
        <v>2463</v>
      </c>
      <c r="R1035" s="3" t="s">
        <v>4170</v>
      </c>
      <c r="S1035" s="3">
        <f t="shared" si="54"/>
        <v>550</v>
      </c>
      <c r="T1035" s="3">
        <f t="shared" si="55"/>
        <v>17050</v>
      </c>
      <c r="U1035" s="3" t="s">
        <v>60</v>
      </c>
      <c r="V1035" s="14" t="s">
        <v>6</v>
      </c>
      <c r="W1035" s="14" t="s">
        <v>8033</v>
      </c>
      <c r="X1035" s="14" t="s">
        <v>60</v>
      </c>
    </row>
    <row r="1036" spans="1:24" ht="15" x14ac:dyDescent="0.3">
      <c r="A1036" s="3">
        <v>10</v>
      </c>
      <c r="B1036" s="3" t="s">
        <v>8034</v>
      </c>
      <c r="C1036" s="14" t="s">
        <v>0</v>
      </c>
      <c r="D1036" s="14" t="s">
        <v>2581</v>
      </c>
      <c r="E1036" s="14" t="s">
        <v>8035</v>
      </c>
      <c r="F1036" s="14" t="s">
        <v>2535</v>
      </c>
      <c r="G1036" s="14" t="s">
        <v>3</v>
      </c>
      <c r="H1036" s="14" t="s">
        <v>8036</v>
      </c>
      <c r="I1036" s="14" t="s">
        <v>2582</v>
      </c>
      <c r="J1036" s="14" t="s">
        <v>60</v>
      </c>
      <c r="K1036" s="14" t="s">
        <v>60</v>
      </c>
      <c r="L1036" s="14" t="s">
        <v>60</v>
      </c>
      <c r="M1036" s="14" t="s">
        <v>2583</v>
      </c>
      <c r="N1036" s="14" t="s">
        <v>60</v>
      </c>
      <c r="O1036" s="14"/>
      <c r="P1036" s="14">
        <v>97017449027</v>
      </c>
      <c r="Q1036" s="14" t="s">
        <v>11</v>
      </c>
      <c r="R1036" s="3" t="s">
        <v>4300</v>
      </c>
      <c r="S1036" s="3">
        <f t="shared" si="54"/>
        <v>550</v>
      </c>
      <c r="T1036" s="3">
        <f t="shared" si="55"/>
        <v>15950</v>
      </c>
      <c r="U1036" s="3" t="s">
        <v>60</v>
      </c>
      <c r="V1036" s="14" t="s">
        <v>6</v>
      </c>
      <c r="W1036" s="14" t="s">
        <v>8037</v>
      </c>
      <c r="X1036" s="14" t="s">
        <v>60</v>
      </c>
    </row>
    <row r="1037" spans="1:24" ht="15" x14ac:dyDescent="0.3">
      <c r="A1037" s="3">
        <v>11</v>
      </c>
      <c r="B1037" s="3" t="s">
        <v>8038</v>
      </c>
      <c r="C1037" s="14" t="s">
        <v>0</v>
      </c>
      <c r="D1037" s="14" t="s">
        <v>2584</v>
      </c>
      <c r="E1037" s="14" t="s">
        <v>4195</v>
      </c>
      <c r="F1037" s="14" t="s">
        <v>2585</v>
      </c>
      <c r="G1037" s="14" t="s">
        <v>3</v>
      </c>
      <c r="H1037" s="14" t="s">
        <v>8039</v>
      </c>
      <c r="I1037" s="14" t="s">
        <v>2586</v>
      </c>
      <c r="J1037" s="14" t="s">
        <v>60</v>
      </c>
      <c r="K1037" s="14" t="s">
        <v>60</v>
      </c>
      <c r="L1037" s="14" t="s">
        <v>60</v>
      </c>
      <c r="M1037" s="14" t="s">
        <v>2587</v>
      </c>
      <c r="N1037" s="14" t="s">
        <v>60</v>
      </c>
      <c r="O1037" s="14" t="s">
        <v>60</v>
      </c>
      <c r="P1037" s="14" t="s">
        <v>8040</v>
      </c>
      <c r="Q1037" s="14" t="s">
        <v>11</v>
      </c>
      <c r="R1037" s="3" t="s">
        <v>4170</v>
      </c>
      <c r="S1037" s="3">
        <f t="shared" si="54"/>
        <v>550</v>
      </c>
      <c r="T1037" s="3">
        <f t="shared" si="55"/>
        <v>17050</v>
      </c>
      <c r="U1037" s="3" t="s">
        <v>60</v>
      </c>
      <c r="V1037" s="14" t="s">
        <v>6</v>
      </c>
      <c r="W1037" s="14" t="s">
        <v>8037</v>
      </c>
      <c r="X1037" s="14" t="s">
        <v>60</v>
      </c>
    </row>
    <row r="1038" spans="1:24" ht="15" x14ac:dyDescent="0.3">
      <c r="A1038" s="3">
        <v>12</v>
      </c>
      <c r="B1038" s="3" t="s">
        <v>8041</v>
      </c>
      <c r="C1038" s="14" t="s">
        <v>0</v>
      </c>
      <c r="D1038" s="14" t="s">
        <v>2588</v>
      </c>
      <c r="E1038" s="14" t="s">
        <v>8042</v>
      </c>
      <c r="F1038" s="14" t="s">
        <v>533</v>
      </c>
      <c r="G1038" s="14" t="s">
        <v>3</v>
      </c>
      <c r="H1038" s="14" t="s">
        <v>8043</v>
      </c>
      <c r="I1038" s="14" t="s">
        <v>2589</v>
      </c>
      <c r="J1038" s="14" t="s">
        <v>60</v>
      </c>
      <c r="K1038" s="14" t="s">
        <v>60</v>
      </c>
      <c r="L1038" s="14" t="s">
        <v>60</v>
      </c>
      <c r="M1038" s="14" t="s">
        <v>2590</v>
      </c>
      <c r="N1038" s="14" t="s">
        <v>60</v>
      </c>
      <c r="O1038" s="14" t="s">
        <v>60</v>
      </c>
      <c r="P1038" s="14" t="s">
        <v>8044</v>
      </c>
      <c r="Q1038" s="14" t="s">
        <v>11</v>
      </c>
      <c r="R1038" s="3" t="s">
        <v>4300</v>
      </c>
      <c r="S1038" s="3">
        <f t="shared" si="54"/>
        <v>550</v>
      </c>
      <c r="T1038" s="3">
        <f t="shared" si="55"/>
        <v>15950</v>
      </c>
      <c r="U1038" s="3" t="s">
        <v>60</v>
      </c>
      <c r="V1038" s="14" t="s">
        <v>6</v>
      </c>
      <c r="W1038" s="14" t="s">
        <v>8045</v>
      </c>
      <c r="X1038" s="14" t="s">
        <v>60</v>
      </c>
    </row>
    <row r="1039" spans="1:24" ht="15" x14ac:dyDescent="0.3">
      <c r="A1039" s="3">
        <v>13</v>
      </c>
      <c r="B1039" s="3" t="s">
        <v>8046</v>
      </c>
      <c r="C1039" s="14" t="s">
        <v>0</v>
      </c>
      <c r="D1039" s="14" t="s">
        <v>2591</v>
      </c>
      <c r="E1039" s="14" t="s">
        <v>4658</v>
      </c>
      <c r="F1039" s="14" t="s">
        <v>1713</v>
      </c>
      <c r="G1039" s="14" t="s">
        <v>3</v>
      </c>
      <c r="H1039" s="14" t="s">
        <v>8047</v>
      </c>
      <c r="I1039" s="14" t="s">
        <v>2592</v>
      </c>
      <c r="J1039" s="14" t="s">
        <v>60</v>
      </c>
      <c r="K1039" s="14" t="s">
        <v>60</v>
      </c>
      <c r="L1039" s="14" t="s">
        <v>60</v>
      </c>
      <c r="M1039" s="14" t="s">
        <v>2593</v>
      </c>
      <c r="N1039" s="14" t="s">
        <v>60</v>
      </c>
      <c r="O1039" s="14" t="s">
        <v>60</v>
      </c>
      <c r="P1039" s="14" t="s">
        <v>8048</v>
      </c>
      <c r="Q1039" s="14" t="s">
        <v>11</v>
      </c>
      <c r="R1039" s="3" t="s">
        <v>4170</v>
      </c>
      <c r="S1039" s="3">
        <f t="shared" si="54"/>
        <v>550</v>
      </c>
      <c r="T1039" s="3">
        <f t="shared" si="55"/>
        <v>17050</v>
      </c>
      <c r="U1039" s="3" t="s">
        <v>60</v>
      </c>
      <c r="V1039" s="14" t="s">
        <v>6</v>
      </c>
      <c r="W1039" s="14" t="s">
        <v>8045</v>
      </c>
      <c r="X1039" s="14" t="s">
        <v>60</v>
      </c>
    </row>
    <row r="1040" spans="1:24" ht="15" x14ac:dyDescent="0.3">
      <c r="A1040" s="3">
        <v>14</v>
      </c>
      <c r="B1040" s="3" t="s">
        <v>8049</v>
      </c>
      <c r="C1040" s="14" t="s">
        <v>0</v>
      </c>
      <c r="D1040" s="14" t="s">
        <v>2594</v>
      </c>
      <c r="E1040" s="14" t="s">
        <v>5073</v>
      </c>
      <c r="F1040" s="14" t="s">
        <v>2595</v>
      </c>
      <c r="G1040" s="14" t="s">
        <v>3</v>
      </c>
      <c r="H1040" s="14" t="s">
        <v>8050</v>
      </c>
      <c r="I1040" s="14" t="s">
        <v>2596</v>
      </c>
      <c r="J1040" s="14" t="s">
        <v>60</v>
      </c>
      <c r="K1040" s="14" t="s">
        <v>60</v>
      </c>
      <c r="L1040" s="14" t="s">
        <v>60</v>
      </c>
      <c r="M1040" s="14" t="s">
        <v>2597</v>
      </c>
      <c r="N1040" s="14" t="s">
        <v>60</v>
      </c>
      <c r="O1040" s="14" t="s">
        <v>60</v>
      </c>
      <c r="P1040" s="14" t="s">
        <v>8051</v>
      </c>
      <c r="Q1040" s="14" t="s">
        <v>11</v>
      </c>
      <c r="R1040" s="3" t="s">
        <v>4170</v>
      </c>
      <c r="S1040" s="3">
        <f t="shared" si="54"/>
        <v>550</v>
      </c>
      <c r="T1040" s="3">
        <f t="shared" si="55"/>
        <v>17050</v>
      </c>
      <c r="U1040" s="3" t="s">
        <v>60</v>
      </c>
      <c r="V1040" s="14" t="s">
        <v>6</v>
      </c>
      <c r="W1040" s="14" t="s">
        <v>8045</v>
      </c>
      <c r="X1040" s="14" t="s">
        <v>60</v>
      </c>
    </row>
    <row r="1041" spans="1:24" ht="15" x14ac:dyDescent="0.3">
      <c r="A1041" s="3">
        <v>15</v>
      </c>
      <c r="B1041" s="3" t="s">
        <v>8052</v>
      </c>
      <c r="C1041" s="14" t="s">
        <v>0</v>
      </c>
      <c r="D1041" s="14" t="s">
        <v>2598</v>
      </c>
      <c r="E1041" s="14" t="s">
        <v>8053</v>
      </c>
      <c r="F1041" s="14" t="s">
        <v>2599</v>
      </c>
      <c r="G1041" s="14" t="s">
        <v>3</v>
      </c>
      <c r="H1041" s="14" t="s">
        <v>8054</v>
      </c>
      <c r="I1041" s="14" t="s">
        <v>2600</v>
      </c>
      <c r="J1041" s="14" t="s">
        <v>60</v>
      </c>
      <c r="K1041" s="14" t="s">
        <v>60</v>
      </c>
      <c r="L1041" s="14" t="s">
        <v>60</v>
      </c>
      <c r="M1041" s="14" t="s">
        <v>2601</v>
      </c>
      <c r="N1041" s="14" t="s">
        <v>60</v>
      </c>
      <c r="O1041" s="14" t="s">
        <v>60</v>
      </c>
      <c r="P1041" s="14" t="s">
        <v>8055</v>
      </c>
      <c r="Q1041" s="14" t="s">
        <v>11</v>
      </c>
      <c r="R1041" s="3" t="s">
        <v>4170</v>
      </c>
      <c r="S1041" s="3">
        <f t="shared" si="54"/>
        <v>550</v>
      </c>
      <c r="T1041" s="3">
        <f t="shared" si="55"/>
        <v>17050</v>
      </c>
      <c r="U1041" s="3" t="s">
        <v>60</v>
      </c>
      <c r="V1041" s="14" t="s">
        <v>6</v>
      </c>
      <c r="W1041" s="14" t="s">
        <v>8045</v>
      </c>
      <c r="X1041" s="14" t="s">
        <v>60</v>
      </c>
    </row>
    <row r="1042" spans="1:24" ht="15" x14ac:dyDescent="0.3">
      <c r="A1042" s="3">
        <v>16</v>
      </c>
      <c r="B1042" s="3" t="s">
        <v>8056</v>
      </c>
      <c r="C1042" s="14" t="s">
        <v>0</v>
      </c>
      <c r="D1042" s="14" t="s">
        <v>2602</v>
      </c>
      <c r="E1042" s="14" t="s">
        <v>4778</v>
      </c>
      <c r="F1042" s="14" t="s">
        <v>2410</v>
      </c>
      <c r="G1042" s="14" t="s">
        <v>3</v>
      </c>
      <c r="H1042" s="14" t="s">
        <v>8057</v>
      </c>
      <c r="I1042" s="14" t="s">
        <v>2603</v>
      </c>
      <c r="J1042" s="14" t="s">
        <v>60</v>
      </c>
      <c r="K1042" s="14" t="s">
        <v>60</v>
      </c>
      <c r="L1042" s="14" t="s">
        <v>60</v>
      </c>
      <c r="M1042" s="14" t="s">
        <v>2604</v>
      </c>
      <c r="N1042" s="14" t="s">
        <v>60</v>
      </c>
      <c r="O1042" s="14" t="s">
        <v>60</v>
      </c>
      <c r="P1042" s="14" t="s">
        <v>8058</v>
      </c>
      <c r="Q1042" s="14" t="s">
        <v>11</v>
      </c>
      <c r="R1042" s="3" t="s">
        <v>4170</v>
      </c>
      <c r="S1042" s="3">
        <f t="shared" si="54"/>
        <v>550</v>
      </c>
      <c r="T1042" s="3">
        <f t="shared" si="55"/>
        <v>17050</v>
      </c>
      <c r="U1042" s="3" t="s">
        <v>60</v>
      </c>
      <c r="V1042" s="14" t="s">
        <v>6</v>
      </c>
      <c r="W1042" s="14" t="s">
        <v>8045</v>
      </c>
      <c r="X1042" s="14" t="s">
        <v>60</v>
      </c>
    </row>
    <row r="1043" spans="1:24" ht="15" x14ac:dyDescent="0.3">
      <c r="A1043" s="3">
        <v>17</v>
      </c>
      <c r="B1043" s="3" t="s">
        <v>8059</v>
      </c>
      <c r="C1043" s="14" t="s">
        <v>0</v>
      </c>
      <c r="D1043" s="14" t="s">
        <v>2605</v>
      </c>
      <c r="E1043" s="14" t="s">
        <v>8060</v>
      </c>
      <c r="F1043" s="14" t="s">
        <v>2606</v>
      </c>
      <c r="G1043" s="14" t="s">
        <v>3</v>
      </c>
      <c r="H1043" s="14" t="s">
        <v>8061</v>
      </c>
      <c r="I1043" s="14" t="s">
        <v>2607</v>
      </c>
      <c r="J1043" s="14" t="s">
        <v>60</v>
      </c>
      <c r="K1043" s="14" t="s">
        <v>60</v>
      </c>
      <c r="L1043" s="14" t="s">
        <v>60</v>
      </c>
      <c r="M1043" s="14" t="s">
        <v>2608</v>
      </c>
      <c r="N1043" s="14" t="s">
        <v>60</v>
      </c>
      <c r="O1043" s="14" t="s">
        <v>60</v>
      </c>
      <c r="P1043" s="14" t="s">
        <v>8062</v>
      </c>
      <c r="Q1043" s="14" t="s">
        <v>11</v>
      </c>
      <c r="R1043" s="3" t="s">
        <v>4170</v>
      </c>
      <c r="S1043" s="3">
        <f t="shared" si="54"/>
        <v>550</v>
      </c>
      <c r="T1043" s="3">
        <f t="shared" si="55"/>
        <v>17050</v>
      </c>
      <c r="U1043" s="3" t="s">
        <v>60</v>
      </c>
      <c r="V1043" s="14" t="s">
        <v>6</v>
      </c>
      <c r="W1043" s="14" t="s">
        <v>8063</v>
      </c>
      <c r="X1043" s="14" t="s">
        <v>60</v>
      </c>
    </row>
    <row r="1044" spans="1:24" ht="15" x14ac:dyDescent="0.3">
      <c r="A1044" s="3">
        <v>18</v>
      </c>
      <c r="B1044" s="3" t="s">
        <v>8064</v>
      </c>
      <c r="C1044" s="14" t="s">
        <v>26</v>
      </c>
      <c r="D1044" s="14" t="s">
        <v>2319</v>
      </c>
      <c r="E1044" s="14" t="s">
        <v>8065</v>
      </c>
      <c r="F1044" s="14" t="s">
        <v>2320</v>
      </c>
      <c r="G1044" s="14" t="s">
        <v>3</v>
      </c>
      <c r="H1044" s="14" t="s">
        <v>8066</v>
      </c>
      <c r="I1044" s="14" t="s">
        <v>2321</v>
      </c>
      <c r="J1044" s="14" t="s">
        <v>60</v>
      </c>
      <c r="K1044" s="14" t="s">
        <v>60</v>
      </c>
      <c r="L1044" s="14" t="s">
        <v>60</v>
      </c>
      <c r="M1044" s="14" t="s">
        <v>2322</v>
      </c>
      <c r="N1044" s="14" t="s">
        <v>60</v>
      </c>
      <c r="O1044" s="14" t="s">
        <v>8067</v>
      </c>
      <c r="P1044" s="14" t="s">
        <v>8068</v>
      </c>
      <c r="Q1044" s="14" t="s">
        <v>2266</v>
      </c>
      <c r="R1044" s="3" t="s">
        <v>4170</v>
      </c>
      <c r="S1044" s="3">
        <f t="shared" si="54"/>
        <v>770</v>
      </c>
      <c r="T1044" s="3">
        <f t="shared" si="55"/>
        <v>23870</v>
      </c>
      <c r="U1044" s="3" t="s">
        <v>60</v>
      </c>
      <c r="V1044" s="14" t="s">
        <v>6</v>
      </c>
      <c r="W1044" s="14" t="s">
        <v>4287</v>
      </c>
      <c r="X1044" s="14" t="s">
        <v>60</v>
      </c>
    </row>
    <row r="1045" spans="1:24" ht="15" x14ac:dyDescent="0.3">
      <c r="A1045" s="3">
        <v>19</v>
      </c>
      <c r="B1045" s="3" t="s">
        <v>8069</v>
      </c>
      <c r="C1045" s="14" t="s">
        <v>69</v>
      </c>
      <c r="D1045" s="14" t="s">
        <v>2609</v>
      </c>
      <c r="E1045" s="14" t="s">
        <v>8070</v>
      </c>
      <c r="F1045" s="14" t="s">
        <v>2610</v>
      </c>
      <c r="G1045" s="14" t="s">
        <v>3</v>
      </c>
      <c r="H1045" s="14" t="s">
        <v>2611</v>
      </c>
      <c r="I1045" s="14" t="s">
        <v>2612</v>
      </c>
      <c r="J1045" s="14" t="s">
        <v>60</v>
      </c>
      <c r="K1045" s="14" t="s">
        <v>60</v>
      </c>
      <c r="L1045" s="14" t="s">
        <v>60</v>
      </c>
      <c r="M1045" s="14" t="s">
        <v>2613</v>
      </c>
      <c r="N1045" s="14" t="s">
        <v>60</v>
      </c>
      <c r="O1045" s="14" t="s">
        <v>60</v>
      </c>
      <c r="P1045" s="14" t="s">
        <v>8071</v>
      </c>
      <c r="Q1045" s="14" t="s">
        <v>11</v>
      </c>
      <c r="R1045" s="3" t="s">
        <v>4170</v>
      </c>
      <c r="S1045" s="3">
        <f t="shared" si="54"/>
        <v>570</v>
      </c>
      <c r="T1045" s="3">
        <f t="shared" si="55"/>
        <v>17670</v>
      </c>
      <c r="U1045" s="3" t="s">
        <v>60</v>
      </c>
      <c r="V1045" s="14" t="s">
        <v>6</v>
      </c>
      <c r="W1045" s="14" t="s">
        <v>6825</v>
      </c>
      <c r="X1045" s="14" t="s">
        <v>60</v>
      </c>
    </row>
    <row r="1046" spans="1:24" ht="15" x14ac:dyDescent="0.3">
      <c r="A1046" s="3">
        <v>20</v>
      </c>
      <c r="B1046" s="3" t="s">
        <v>8072</v>
      </c>
      <c r="C1046" s="14" t="s">
        <v>0</v>
      </c>
      <c r="D1046" s="14" t="s">
        <v>3582</v>
      </c>
      <c r="E1046" s="14" t="s">
        <v>8073</v>
      </c>
      <c r="F1046" s="14" t="s">
        <v>3628</v>
      </c>
      <c r="G1046" s="14" t="s">
        <v>3</v>
      </c>
      <c r="H1046" s="14" t="s">
        <v>8074</v>
      </c>
      <c r="I1046" s="14" t="s">
        <v>3847</v>
      </c>
      <c r="J1046" s="14" t="s">
        <v>60</v>
      </c>
      <c r="K1046" s="14" t="s">
        <v>60</v>
      </c>
      <c r="L1046" s="14" t="s">
        <v>60</v>
      </c>
      <c r="M1046" s="14" t="s">
        <v>3848</v>
      </c>
      <c r="N1046" s="14" t="s">
        <v>60</v>
      </c>
      <c r="O1046" s="14" t="s">
        <v>60</v>
      </c>
      <c r="P1046" s="14" t="s">
        <v>8075</v>
      </c>
      <c r="Q1046" s="14" t="s">
        <v>2463</v>
      </c>
      <c r="R1046" s="3" t="s">
        <v>4381</v>
      </c>
      <c r="S1046" s="3">
        <f t="shared" si="54"/>
        <v>550</v>
      </c>
      <c r="T1046" s="3">
        <f t="shared" si="55"/>
        <v>15400</v>
      </c>
      <c r="U1046" s="3" t="s">
        <v>8076</v>
      </c>
      <c r="V1046" s="14" t="s">
        <v>6</v>
      </c>
      <c r="W1046" s="14" t="s">
        <v>4444</v>
      </c>
      <c r="X1046" s="14" t="s">
        <v>60</v>
      </c>
    </row>
    <row r="1047" spans="1:24" ht="15" x14ac:dyDescent="0.3">
      <c r="A1047" s="3">
        <v>21</v>
      </c>
      <c r="B1047" s="3" t="s">
        <v>8077</v>
      </c>
      <c r="C1047" s="14" t="s">
        <v>0</v>
      </c>
      <c r="D1047" s="14" t="s">
        <v>3583</v>
      </c>
      <c r="E1047" s="14" t="s">
        <v>8078</v>
      </c>
      <c r="F1047" s="14" t="s">
        <v>3591</v>
      </c>
      <c r="G1047" s="14" t="s">
        <v>121</v>
      </c>
      <c r="H1047" s="14" t="s">
        <v>8079</v>
      </c>
      <c r="I1047" s="14" t="s">
        <v>3849</v>
      </c>
      <c r="J1047" s="14" t="s">
        <v>60</v>
      </c>
      <c r="K1047" s="14" t="s">
        <v>60</v>
      </c>
      <c r="L1047" s="14" t="s">
        <v>60</v>
      </c>
      <c r="M1047" s="14" t="s">
        <v>3850</v>
      </c>
      <c r="N1047" s="14" t="s">
        <v>60</v>
      </c>
      <c r="O1047" s="14" t="s">
        <v>60</v>
      </c>
      <c r="P1047" s="14" t="s">
        <v>8080</v>
      </c>
      <c r="Q1047" s="14" t="s">
        <v>2463</v>
      </c>
      <c r="R1047" s="3" t="s">
        <v>4170</v>
      </c>
      <c r="S1047" s="3">
        <f t="shared" si="54"/>
        <v>550</v>
      </c>
      <c r="T1047" s="3">
        <f t="shared" si="55"/>
        <v>17050</v>
      </c>
      <c r="U1047" s="3" t="s">
        <v>60</v>
      </c>
      <c r="V1047" s="14" t="s">
        <v>6</v>
      </c>
      <c r="W1047" s="14" t="s">
        <v>4444</v>
      </c>
      <c r="X1047" s="14" t="s">
        <v>60</v>
      </c>
    </row>
    <row r="1048" spans="1:24" ht="15" x14ac:dyDescent="0.3">
      <c r="A1048" s="3">
        <v>22</v>
      </c>
      <c r="B1048" s="3" t="s">
        <v>8081</v>
      </c>
      <c r="C1048" s="14" t="s">
        <v>0</v>
      </c>
      <c r="D1048" s="14" t="s">
        <v>3585</v>
      </c>
      <c r="E1048" s="14" t="s">
        <v>8082</v>
      </c>
      <c r="F1048" s="14" t="s">
        <v>3593</v>
      </c>
      <c r="G1048" s="14" t="s">
        <v>121</v>
      </c>
      <c r="H1048" s="14" t="s">
        <v>8083</v>
      </c>
      <c r="I1048" s="14" t="s">
        <v>3852</v>
      </c>
      <c r="J1048" s="14" t="s">
        <v>60</v>
      </c>
      <c r="K1048" s="14" t="s">
        <v>60</v>
      </c>
      <c r="L1048" s="14" t="s">
        <v>60</v>
      </c>
      <c r="M1048" s="14" t="s">
        <v>3853</v>
      </c>
      <c r="N1048" s="14" t="s">
        <v>60</v>
      </c>
      <c r="O1048" s="14" t="s">
        <v>60</v>
      </c>
      <c r="P1048" s="14" t="s">
        <v>8084</v>
      </c>
      <c r="Q1048" s="14" t="s">
        <v>11</v>
      </c>
      <c r="R1048" s="3" t="s">
        <v>4170</v>
      </c>
      <c r="S1048" s="3">
        <f t="shared" si="54"/>
        <v>550</v>
      </c>
      <c r="T1048" s="3">
        <f t="shared" si="55"/>
        <v>17050</v>
      </c>
      <c r="U1048" s="3" t="s">
        <v>60</v>
      </c>
      <c r="V1048" s="14" t="s">
        <v>6</v>
      </c>
      <c r="W1048" s="14" t="s">
        <v>4444</v>
      </c>
      <c r="X1048" s="14" t="s">
        <v>60</v>
      </c>
    </row>
    <row r="1049" spans="1:24" ht="15" x14ac:dyDescent="0.3">
      <c r="A1049" s="3">
        <v>23</v>
      </c>
      <c r="B1049" s="3" t="s">
        <v>8085</v>
      </c>
      <c r="C1049" s="14" t="s">
        <v>0</v>
      </c>
      <c r="D1049" s="14" t="s">
        <v>3420</v>
      </c>
      <c r="E1049" s="14" t="s">
        <v>8086</v>
      </c>
      <c r="F1049" s="14" t="s">
        <v>3593</v>
      </c>
      <c r="G1049" s="14" t="s">
        <v>121</v>
      </c>
      <c r="H1049" s="14" t="s">
        <v>8087</v>
      </c>
      <c r="I1049" s="14" t="s">
        <v>3854</v>
      </c>
      <c r="J1049" s="14" t="s">
        <v>60</v>
      </c>
      <c r="K1049" s="14" t="s">
        <v>60</v>
      </c>
      <c r="L1049" s="14" t="s">
        <v>60</v>
      </c>
      <c r="M1049" s="14" t="s">
        <v>3855</v>
      </c>
      <c r="N1049" s="14" t="s">
        <v>60</v>
      </c>
      <c r="O1049" s="14" t="s">
        <v>60</v>
      </c>
      <c r="P1049" s="14" t="s">
        <v>8088</v>
      </c>
      <c r="Q1049" s="14" t="s">
        <v>11</v>
      </c>
      <c r="R1049" s="3" t="s">
        <v>4170</v>
      </c>
      <c r="S1049" s="3">
        <f t="shared" si="54"/>
        <v>550</v>
      </c>
      <c r="T1049" s="3">
        <f t="shared" si="55"/>
        <v>17050</v>
      </c>
      <c r="U1049" s="3" t="s">
        <v>60</v>
      </c>
      <c r="V1049" s="14" t="s">
        <v>6</v>
      </c>
      <c r="W1049" s="14" t="s">
        <v>4444</v>
      </c>
      <c r="X1049" s="14" t="s">
        <v>60</v>
      </c>
    </row>
    <row r="1050" spans="1:24" ht="15" x14ac:dyDescent="0.3">
      <c r="A1050" s="3">
        <v>24</v>
      </c>
      <c r="B1050" s="3" t="s">
        <v>8089</v>
      </c>
      <c r="C1050" s="14" t="s">
        <v>3614</v>
      </c>
      <c r="D1050" s="14" t="s">
        <v>3586</v>
      </c>
      <c r="E1050" s="14" t="s">
        <v>8090</v>
      </c>
      <c r="F1050" s="14" t="s">
        <v>3594</v>
      </c>
      <c r="G1050" s="14" t="s">
        <v>3</v>
      </c>
      <c r="H1050" s="14" t="s">
        <v>3856</v>
      </c>
      <c r="I1050" s="14" t="s">
        <v>3857</v>
      </c>
      <c r="J1050" s="14" t="s">
        <v>60</v>
      </c>
      <c r="K1050" s="14" t="s">
        <v>60</v>
      </c>
      <c r="L1050" s="14" t="s">
        <v>60</v>
      </c>
      <c r="M1050" s="14" t="s">
        <v>3858</v>
      </c>
      <c r="N1050" s="14" t="s">
        <v>60</v>
      </c>
      <c r="O1050" s="14" t="s">
        <v>60</v>
      </c>
      <c r="P1050" s="14" t="s">
        <v>8091</v>
      </c>
      <c r="Q1050" s="14" t="s">
        <v>3624</v>
      </c>
      <c r="R1050" s="3" t="s">
        <v>4170</v>
      </c>
      <c r="S1050" s="3">
        <f t="shared" si="54"/>
        <v>770</v>
      </c>
      <c r="T1050" s="3">
        <f t="shared" si="55"/>
        <v>23870</v>
      </c>
      <c r="U1050" s="3" t="s">
        <v>60</v>
      </c>
      <c r="V1050" s="14" t="s">
        <v>6</v>
      </c>
      <c r="W1050" s="14" t="s">
        <v>4444</v>
      </c>
      <c r="X1050" s="14" t="s">
        <v>60</v>
      </c>
    </row>
    <row r="1051" spans="1:24" ht="15" x14ac:dyDescent="0.3">
      <c r="A1051" s="3">
        <v>25</v>
      </c>
      <c r="B1051" s="3" t="s">
        <v>8092</v>
      </c>
      <c r="C1051" s="14" t="s">
        <v>14</v>
      </c>
      <c r="D1051" s="14" t="s">
        <v>3587</v>
      </c>
      <c r="E1051" s="14" t="s">
        <v>8093</v>
      </c>
      <c r="F1051" s="14" t="s">
        <v>3595</v>
      </c>
      <c r="G1051" s="14" t="s">
        <v>3</v>
      </c>
      <c r="H1051" s="14" t="s">
        <v>8094</v>
      </c>
      <c r="I1051" s="14" t="s">
        <v>3859</v>
      </c>
      <c r="J1051" s="14" t="s">
        <v>60</v>
      </c>
      <c r="K1051" s="14" t="s">
        <v>60</v>
      </c>
      <c r="L1051" s="14" t="s">
        <v>60</v>
      </c>
      <c r="M1051" s="14" t="s">
        <v>3860</v>
      </c>
      <c r="N1051" s="14" t="s">
        <v>60</v>
      </c>
      <c r="O1051" s="14" t="s">
        <v>60</v>
      </c>
      <c r="P1051" s="14" t="s">
        <v>3622</v>
      </c>
      <c r="Q1051" s="14" t="s">
        <v>3623</v>
      </c>
      <c r="R1051" s="3" t="s">
        <v>4170</v>
      </c>
      <c r="S1051" s="3">
        <f t="shared" si="54"/>
        <v>640</v>
      </c>
      <c r="T1051" s="3">
        <f t="shared" si="55"/>
        <v>19840</v>
      </c>
      <c r="U1051" s="3" t="s">
        <v>60</v>
      </c>
      <c r="V1051" s="14" t="s">
        <v>6</v>
      </c>
      <c r="W1051" s="14" t="s">
        <v>4444</v>
      </c>
      <c r="X1051" s="14" t="s">
        <v>60</v>
      </c>
    </row>
    <row r="1052" spans="1:24" ht="15" x14ac:dyDescent="0.3">
      <c r="A1052" s="3">
        <v>26</v>
      </c>
      <c r="B1052" s="3" t="s">
        <v>8095</v>
      </c>
      <c r="C1052" s="14" t="s">
        <v>0</v>
      </c>
      <c r="D1052" s="14" t="s">
        <v>3588</v>
      </c>
      <c r="E1052" s="14" t="s">
        <v>8096</v>
      </c>
      <c r="F1052" s="14" t="s">
        <v>3596</v>
      </c>
      <c r="G1052" s="14" t="s">
        <v>3</v>
      </c>
      <c r="H1052" s="14" t="s">
        <v>8097</v>
      </c>
      <c r="I1052" s="14" t="s">
        <v>3861</v>
      </c>
      <c r="J1052" s="14" t="s">
        <v>60</v>
      </c>
      <c r="K1052" s="14" t="s">
        <v>60</v>
      </c>
      <c r="L1052" s="14" t="s">
        <v>60</v>
      </c>
      <c r="M1052" s="14" t="s">
        <v>3862</v>
      </c>
      <c r="N1052" s="14" t="s">
        <v>60</v>
      </c>
      <c r="O1052" s="14" t="s">
        <v>60</v>
      </c>
      <c r="P1052" s="14" t="s">
        <v>3626</v>
      </c>
      <c r="Q1052" s="14" t="s">
        <v>3627</v>
      </c>
      <c r="R1052" s="3" t="s">
        <v>4300</v>
      </c>
      <c r="S1052" s="3">
        <f t="shared" si="54"/>
        <v>550</v>
      </c>
      <c r="T1052" s="3">
        <f t="shared" si="55"/>
        <v>15950</v>
      </c>
      <c r="U1052" s="3" t="s">
        <v>60</v>
      </c>
      <c r="V1052" s="14" t="s">
        <v>6</v>
      </c>
      <c r="W1052" s="14" t="s">
        <v>4444</v>
      </c>
      <c r="X1052" s="14" t="s">
        <v>60</v>
      </c>
    </row>
    <row r="1053" spans="1:24" ht="15" x14ac:dyDescent="0.3">
      <c r="A1053" s="3">
        <v>27</v>
      </c>
      <c r="B1053" s="3" t="s">
        <v>8098</v>
      </c>
      <c r="C1053" s="14" t="s">
        <v>0</v>
      </c>
      <c r="D1053" s="14" t="s">
        <v>3589</v>
      </c>
      <c r="E1053" s="14" t="s">
        <v>8099</v>
      </c>
      <c r="F1053" s="14" t="s">
        <v>3597</v>
      </c>
      <c r="G1053" s="14" t="s">
        <v>3</v>
      </c>
      <c r="H1053" s="14" t="s">
        <v>8100</v>
      </c>
      <c r="I1053" s="14" t="s">
        <v>3863</v>
      </c>
      <c r="J1053" s="14" t="s">
        <v>60</v>
      </c>
      <c r="K1053" s="14" t="s">
        <v>60</v>
      </c>
      <c r="L1053" s="14" t="s">
        <v>60</v>
      </c>
      <c r="M1053" s="14" t="s">
        <v>3864</v>
      </c>
      <c r="N1053" s="14" t="s">
        <v>60</v>
      </c>
      <c r="O1053" s="14" t="s">
        <v>60</v>
      </c>
      <c r="P1053" s="14" t="s">
        <v>8101</v>
      </c>
      <c r="Q1053" s="14" t="s">
        <v>11</v>
      </c>
      <c r="R1053" s="3" t="s">
        <v>4300</v>
      </c>
      <c r="S1053" s="3">
        <f t="shared" si="54"/>
        <v>550</v>
      </c>
      <c r="T1053" s="3">
        <f t="shared" si="55"/>
        <v>15950</v>
      </c>
      <c r="U1053" s="3" t="s">
        <v>60</v>
      </c>
      <c r="V1053" s="14" t="s">
        <v>6</v>
      </c>
      <c r="W1053" s="14" t="s">
        <v>4444</v>
      </c>
      <c r="X1053" s="14" t="s">
        <v>60</v>
      </c>
    </row>
    <row r="1054" spans="1:24" ht="15" x14ac:dyDescent="0.3">
      <c r="A1054" s="3">
        <v>28</v>
      </c>
      <c r="B1054" s="3" t="s">
        <v>8102</v>
      </c>
      <c r="C1054" s="14" t="s">
        <v>0</v>
      </c>
      <c r="D1054" s="14" t="s">
        <v>3590</v>
      </c>
      <c r="E1054" s="14" t="s">
        <v>8103</v>
      </c>
      <c r="F1054" s="14" t="s">
        <v>3598</v>
      </c>
      <c r="G1054" s="14" t="s">
        <v>3</v>
      </c>
      <c r="H1054" s="14" t="s">
        <v>8104</v>
      </c>
      <c r="I1054" s="14" t="s">
        <v>3865</v>
      </c>
      <c r="J1054" s="14" t="s">
        <v>60</v>
      </c>
      <c r="K1054" s="14" t="s">
        <v>60</v>
      </c>
      <c r="L1054" s="14" t="s">
        <v>60</v>
      </c>
      <c r="M1054" s="14" t="s">
        <v>3866</v>
      </c>
      <c r="N1054" s="14" t="s">
        <v>60</v>
      </c>
      <c r="O1054" s="14" t="s">
        <v>60</v>
      </c>
      <c r="P1054" s="14" t="s">
        <v>8105</v>
      </c>
      <c r="Q1054" s="14" t="s">
        <v>11</v>
      </c>
      <c r="R1054" s="3" t="s">
        <v>4300</v>
      </c>
      <c r="S1054" s="3">
        <f t="shared" si="54"/>
        <v>550</v>
      </c>
      <c r="T1054" s="3">
        <f t="shared" si="55"/>
        <v>15950</v>
      </c>
      <c r="U1054" s="3" t="s">
        <v>60</v>
      </c>
      <c r="V1054" s="14" t="s">
        <v>6</v>
      </c>
      <c r="W1054" s="14" t="s">
        <v>4454</v>
      </c>
      <c r="X1054" s="14" t="s">
        <v>60</v>
      </c>
    </row>
    <row r="1055" spans="1:24" ht="15" x14ac:dyDescent="0.3">
      <c r="A1055" s="3">
        <v>29</v>
      </c>
      <c r="B1055" s="3" t="s">
        <v>8106</v>
      </c>
      <c r="C1055" s="14" t="s">
        <v>0</v>
      </c>
      <c r="D1055" s="14" t="s">
        <v>3625</v>
      </c>
      <c r="E1055" s="14" t="s">
        <v>8107</v>
      </c>
      <c r="F1055" s="14" t="s">
        <v>3599</v>
      </c>
      <c r="G1055" s="14" t="s">
        <v>3</v>
      </c>
      <c r="H1055" s="14" t="s">
        <v>8108</v>
      </c>
      <c r="I1055" s="14" t="s">
        <v>3867</v>
      </c>
      <c r="J1055" s="14" t="s">
        <v>60</v>
      </c>
      <c r="K1055" s="14" t="s">
        <v>60</v>
      </c>
      <c r="L1055" s="14" t="s">
        <v>60</v>
      </c>
      <c r="M1055" s="14" t="s">
        <v>3868</v>
      </c>
      <c r="N1055" s="14" t="s">
        <v>60</v>
      </c>
      <c r="O1055" s="14" t="s">
        <v>60</v>
      </c>
      <c r="P1055" s="14" t="s">
        <v>8109</v>
      </c>
      <c r="Q1055" s="14" t="s">
        <v>11</v>
      </c>
      <c r="R1055" s="3" t="s">
        <v>4300</v>
      </c>
      <c r="S1055" s="3">
        <f t="shared" si="54"/>
        <v>550</v>
      </c>
      <c r="T1055" s="3">
        <f t="shared" si="55"/>
        <v>15950</v>
      </c>
      <c r="U1055" s="3" t="s">
        <v>60</v>
      </c>
      <c r="V1055" s="14" t="s">
        <v>6</v>
      </c>
      <c r="W1055" s="14" t="s">
        <v>4454</v>
      </c>
      <c r="X1055" s="14" t="s">
        <v>60</v>
      </c>
    </row>
    <row r="1056" spans="1:24" ht="15" x14ac:dyDescent="0.3">
      <c r="A1056" s="3">
        <v>30</v>
      </c>
      <c r="B1056" s="3" t="s">
        <v>8110</v>
      </c>
      <c r="C1056" s="14" t="s">
        <v>0</v>
      </c>
      <c r="D1056" s="14" t="s">
        <v>219</v>
      </c>
      <c r="E1056" s="14" t="s">
        <v>8111</v>
      </c>
      <c r="F1056" s="14" t="s">
        <v>3600</v>
      </c>
      <c r="G1056" s="14" t="s">
        <v>3</v>
      </c>
      <c r="H1056" s="14" t="s">
        <v>8112</v>
      </c>
      <c r="I1056" s="14" t="s">
        <v>3869</v>
      </c>
      <c r="J1056" s="14" t="s">
        <v>60</v>
      </c>
      <c r="K1056" s="14" t="s">
        <v>60</v>
      </c>
      <c r="L1056" s="14" t="s">
        <v>60</v>
      </c>
      <c r="M1056" s="14" t="s">
        <v>3870</v>
      </c>
      <c r="N1056" s="14" t="s">
        <v>60</v>
      </c>
      <c r="O1056" s="14" t="s">
        <v>60</v>
      </c>
      <c r="P1056" s="14" t="s">
        <v>8113</v>
      </c>
      <c r="Q1056" s="14" t="s">
        <v>11</v>
      </c>
      <c r="R1056" s="3" t="s">
        <v>4300</v>
      </c>
      <c r="S1056" s="3">
        <f t="shared" si="54"/>
        <v>550</v>
      </c>
      <c r="T1056" s="3">
        <f t="shared" si="55"/>
        <v>15950</v>
      </c>
      <c r="U1056" s="3" t="s">
        <v>60</v>
      </c>
      <c r="V1056" s="14" t="s">
        <v>6</v>
      </c>
      <c r="W1056" s="14" t="s">
        <v>4454</v>
      </c>
      <c r="X1056" s="14" t="s">
        <v>60</v>
      </c>
    </row>
    <row r="1057" spans="1:24" ht="15" x14ac:dyDescent="0.3">
      <c r="A1057" s="3">
        <v>31</v>
      </c>
      <c r="B1057" s="3" t="s">
        <v>8114</v>
      </c>
      <c r="C1057" s="14" t="s">
        <v>0</v>
      </c>
      <c r="D1057" s="14" t="s">
        <v>670</v>
      </c>
      <c r="E1057" s="14" t="s">
        <v>8115</v>
      </c>
      <c r="F1057" s="14" t="s">
        <v>3918</v>
      </c>
      <c r="G1057" s="14" t="s">
        <v>3</v>
      </c>
      <c r="H1057" s="14" t="s">
        <v>8116</v>
      </c>
      <c r="I1057" s="14" t="s">
        <v>3923</v>
      </c>
      <c r="J1057" s="14" t="s">
        <v>60</v>
      </c>
      <c r="K1057" s="14" t="s">
        <v>60</v>
      </c>
      <c r="L1057" s="14" t="s">
        <v>60</v>
      </c>
      <c r="M1057" s="14" t="s">
        <v>3919</v>
      </c>
      <c r="N1057" s="14" t="s">
        <v>60</v>
      </c>
      <c r="O1057" s="14" t="s">
        <v>3910</v>
      </c>
      <c r="P1057" s="14" t="s">
        <v>8117</v>
      </c>
      <c r="Q1057" s="14" t="s">
        <v>185</v>
      </c>
      <c r="R1057" s="3" t="s">
        <v>4170</v>
      </c>
      <c r="S1057" s="3">
        <f t="shared" si="54"/>
        <v>550</v>
      </c>
      <c r="T1057" s="3">
        <f t="shared" si="55"/>
        <v>17050</v>
      </c>
      <c r="U1057" s="3" t="s">
        <v>60</v>
      </c>
      <c r="V1057" s="14" t="s">
        <v>6</v>
      </c>
      <c r="W1057" s="14" t="s">
        <v>8118</v>
      </c>
      <c r="X1057" s="14" t="s">
        <v>60</v>
      </c>
    </row>
    <row r="1058" spans="1:24" ht="15" x14ac:dyDescent="0.3">
      <c r="A1058" s="3">
        <v>32</v>
      </c>
      <c r="B1058" s="3" t="s">
        <v>8119</v>
      </c>
      <c r="C1058" s="14" t="s">
        <v>0</v>
      </c>
      <c r="D1058" s="14" t="s">
        <v>3920</v>
      </c>
      <c r="E1058" s="14" t="s">
        <v>8120</v>
      </c>
      <c r="F1058" s="14" t="s">
        <v>3921</v>
      </c>
      <c r="G1058" s="14" t="s">
        <v>3</v>
      </c>
      <c r="H1058" s="14" t="s">
        <v>8121</v>
      </c>
      <c r="I1058" s="14" t="s">
        <v>4102</v>
      </c>
      <c r="J1058" s="14" t="s">
        <v>60</v>
      </c>
      <c r="K1058" s="14" t="s">
        <v>60</v>
      </c>
      <c r="L1058" s="14" t="s">
        <v>60</v>
      </c>
      <c r="M1058" s="14" t="s">
        <v>3922</v>
      </c>
      <c r="N1058" s="14" t="s">
        <v>60</v>
      </c>
      <c r="O1058" s="14" t="s">
        <v>3910</v>
      </c>
      <c r="P1058" s="14" t="s">
        <v>8122</v>
      </c>
      <c r="Q1058" s="14" t="s">
        <v>11</v>
      </c>
      <c r="R1058" s="3" t="s">
        <v>4300</v>
      </c>
      <c r="S1058" s="3">
        <f t="shared" si="54"/>
        <v>550</v>
      </c>
      <c r="T1058" s="3">
        <f t="shared" si="55"/>
        <v>15950</v>
      </c>
      <c r="U1058" s="3" t="s">
        <v>60</v>
      </c>
      <c r="V1058" s="14" t="s">
        <v>6</v>
      </c>
      <c r="W1058" s="14" t="s">
        <v>7300</v>
      </c>
      <c r="X1058" s="14" t="s">
        <v>60</v>
      </c>
    </row>
    <row r="1059" spans="1:24" ht="15" x14ac:dyDescent="0.3">
      <c r="A1059" s="3">
        <v>33</v>
      </c>
      <c r="B1059" s="3" t="s">
        <v>8123</v>
      </c>
      <c r="C1059" s="14" t="s">
        <v>0</v>
      </c>
      <c r="D1059" s="14" t="s">
        <v>3924</v>
      </c>
      <c r="E1059" s="14" t="s">
        <v>5008</v>
      </c>
      <c r="F1059" s="14" t="s">
        <v>2459</v>
      </c>
      <c r="G1059" s="14" t="s">
        <v>3</v>
      </c>
      <c r="H1059" s="14" t="s">
        <v>8124</v>
      </c>
      <c r="I1059" s="14" t="s">
        <v>3926</v>
      </c>
      <c r="J1059" s="14" t="s">
        <v>60</v>
      </c>
      <c r="K1059" s="14" t="s">
        <v>60</v>
      </c>
      <c r="L1059" s="14" t="s">
        <v>60</v>
      </c>
      <c r="M1059" s="14" t="s">
        <v>3925</v>
      </c>
      <c r="N1059" s="14" t="s">
        <v>60</v>
      </c>
      <c r="O1059" s="14" t="s">
        <v>3910</v>
      </c>
      <c r="P1059" s="14" t="s">
        <v>3927</v>
      </c>
      <c r="Q1059" s="14" t="s">
        <v>2484</v>
      </c>
      <c r="R1059" s="3" t="s">
        <v>4170</v>
      </c>
      <c r="S1059" s="3">
        <f t="shared" si="54"/>
        <v>550</v>
      </c>
      <c r="T1059" s="3">
        <f t="shared" si="55"/>
        <v>17050</v>
      </c>
      <c r="U1059" s="3" t="s">
        <v>60</v>
      </c>
      <c r="V1059" s="14" t="s">
        <v>6</v>
      </c>
      <c r="W1059" s="14" t="s">
        <v>7946</v>
      </c>
      <c r="X1059" s="14" t="s">
        <v>60</v>
      </c>
    </row>
    <row r="1060" spans="1:24" ht="15" x14ac:dyDescent="0.3">
      <c r="A1060" s="3">
        <v>34</v>
      </c>
      <c r="B1060" s="3" t="s">
        <v>8125</v>
      </c>
      <c r="C1060" s="14" t="s">
        <v>91</v>
      </c>
      <c r="D1060" s="14" t="s">
        <v>2444</v>
      </c>
      <c r="E1060" s="14" t="s">
        <v>8126</v>
      </c>
      <c r="F1060" s="14" t="s">
        <v>2445</v>
      </c>
      <c r="G1060" s="14" t="s">
        <v>3</v>
      </c>
      <c r="H1060" s="14" t="s">
        <v>2446</v>
      </c>
      <c r="I1060" s="14" t="s">
        <v>2447</v>
      </c>
      <c r="J1060" s="14" t="s">
        <v>60</v>
      </c>
      <c r="K1060" s="14" t="s">
        <v>60</v>
      </c>
      <c r="L1060" s="14" t="s">
        <v>60</v>
      </c>
      <c r="M1060" s="14" t="s">
        <v>2448</v>
      </c>
      <c r="N1060" s="14" t="s">
        <v>60</v>
      </c>
      <c r="O1060" s="14" t="s">
        <v>60</v>
      </c>
      <c r="P1060" s="14" t="s">
        <v>8127</v>
      </c>
      <c r="Q1060" s="14" t="s">
        <v>11</v>
      </c>
      <c r="R1060" s="3" t="s">
        <v>4170</v>
      </c>
      <c r="S1060" s="3">
        <f t="shared" si="54"/>
        <v>770</v>
      </c>
      <c r="T1060" s="3">
        <f t="shared" si="55"/>
        <v>23870</v>
      </c>
      <c r="U1060" s="3" t="s">
        <v>60</v>
      </c>
      <c r="V1060" s="14" t="s">
        <v>6</v>
      </c>
      <c r="W1060" s="14" t="s">
        <v>7850</v>
      </c>
      <c r="X1060" s="14" t="s">
        <v>60</v>
      </c>
    </row>
    <row r="1061" spans="1:24" ht="15.6" x14ac:dyDescent="0.3">
      <c r="A1061" s="3">
        <v>35</v>
      </c>
      <c r="B1061" s="25" t="s">
        <v>8128</v>
      </c>
      <c r="C1061" s="14" t="s">
        <v>0</v>
      </c>
      <c r="D1061" s="14" t="s">
        <v>8129</v>
      </c>
      <c r="E1061" s="31">
        <v>28126</v>
      </c>
      <c r="F1061" s="14" t="s">
        <v>8130</v>
      </c>
      <c r="G1061" s="14" t="s">
        <v>3</v>
      </c>
      <c r="H1061" s="14" t="s">
        <v>8131</v>
      </c>
      <c r="I1061" s="14" t="s">
        <v>8132</v>
      </c>
      <c r="J1061" s="14" t="s">
        <v>60</v>
      </c>
      <c r="K1061" s="14" t="s">
        <v>60</v>
      </c>
      <c r="L1061" s="14" t="s">
        <v>60</v>
      </c>
      <c r="M1061" s="14" t="s">
        <v>8133</v>
      </c>
      <c r="N1061" s="14" t="s">
        <v>60</v>
      </c>
      <c r="O1061" s="14" t="s">
        <v>60</v>
      </c>
      <c r="P1061" s="14" t="s">
        <v>8134</v>
      </c>
      <c r="Q1061" s="14" t="s">
        <v>11</v>
      </c>
      <c r="R1061" s="3" t="s">
        <v>4316</v>
      </c>
      <c r="S1061" s="3">
        <f t="shared" si="54"/>
        <v>550</v>
      </c>
      <c r="T1061" s="3">
        <f t="shared" si="55"/>
        <v>13750</v>
      </c>
      <c r="U1061" s="3" t="s">
        <v>60</v>
      </c>
      <c r="V1061" s="14" t="s">
        <v>6</v>
      </c>
      <c r="W1061" s="14" t="s">
        <v>8135</v>
      </c>
      <c r="X1061" s="14" t="s">
        <v>60</v>
      </c>
    </row>
    <row r="1062" spans="1:24" ht="15.6" x14ac:dyDescent="0.3">
      <c r="A1062" s="3">
        <v>36</v>
      </c>
      <c r="B1062" s="25" t="s">
        <v>8136</v>
      </c>
      <c r="C1062" s="14" t="s">
        <v>0</v>
      </c>
      <c r="D1062" s="14" t="s">
        <v>8137</v>
      </c>
      <c r="E1062" s="31">
        <v>36526</v>
      </c>
      <c r="F1062" s="14" t="s">
        <v>8138</v>
      </c>
      <c r="G1062" s="14" t="s">
        <v>3</v>
      </c>
      <c r="H1062" s="14" t="s">
        <v>8139</v>
      </c>
      <c r="I1062" s="14" t="s">
        <v>8140</v>
      </c>
      <c r="J1062" s="14" t="s">
        <v>60</v>
      </c>
      <c r="K1062" s="14" t="s">
        <v>60</v>
      </c>
      <c r="L1062" s="14" t="s">
        <v>60</v>
      </c>
      <c r="M1062" s="14" t="s">
        <v>8141</v>
      </c>
      <c r="N1062" s="14" t="s">
        <v>60</v>
      </c>
      <c r="O1062" s="14" t="s">
        <v>60</v>
      </c>
      <c r="P1062" s="14" t="s">
        <v>8142</v>
      </c>
      <c r="Q1062" s="14" t="s">
        <v>8143</v>
      </c>
      <c r="R1062" s="3" t="s">
        <v>4316</v>
      </c>
      <c r="S1062" s="3">
        <f t="shared" si="54"/>
        <v>550</v>
      </c>
      <c r="T1062" s="3">
        <f t="shared" si="55"/>
        <v>13750</v>
      </c>
      <c r="U1062" s="3" t="s">
        <v>8144</v>
      </c>
      <c r="V1062" s="14" t="s">
        <v>6</v>
      </c>
      <c r="W1062" s="14" t="s">
        <v>8135</v>
      </c>
      <c r="X1062" s="14" t="s">
        <v>60</v>
      </c>
    </row>
    <row r="1063" spans="1:24" ht="15.6" x14ac:dyDescent="0.3">
      <c r="A1063" s="26" t="s">
        <v>60</v>
      </c>
      <c r="B1063" s="26" t="s">
        <v>60</v>
      </c>
      <c r="C1063" s="27" t="s">
        <v>60</v>
      </c>
      <c r="D1063" s="27" t="s">
        <v>60</v>
      </c>
      <c r="E1063" s="27" t="s">
        <v>60</v>
      </c>
      <c r="F1063" s="27" t="s">
        <v>60</v>
      </c>
      <c r="G1063" s="27" t="s">
        <v>60</v>
      </c>
      <c r="H1063" s="27" t="s">
        <v>60</v>
      </c>
      <c r="I1063" s="27" t="s">
        <v>60</v>
      </c>
      <c r="J1063" s="27" t="s">
        <v>60</v>
      </c>
      <c r="K1063" s="27" t="s">
        <v>60</v>
      </c>
      <c r="L1063" s="27" t="s">
        <v>60</v>
      </c>
      <c r="M1063" s="27" t="s">
        <v>60</v>
      </c>
      <c r="N1063" s="27" t="s">
        <v>60</v>
      </c>
      <c r="O1063" s="27" t="s">
        <v>60</v>
      </c>
      <c r="P1063" s="27" t="s">
        <v>60</v>
      </c>
      <c r="Q1063" s="27" t="s">
        <v>60</v>
      </c>
      <c r="R1063" s="35" t="s">
        <v>2009</v>
      </c>
      <c r="S1063" s="35" t="s">
        <v>60</v>
      </c>
      <c r="T1063" s="26">
        <f>SUM(T1026:T1062)</f>
        <v>626340</v>
      </c>
      <c r="U1063" s="26" t="s">
        <v>8145</v>
      </c>
      <c r="V1063" s="27" t="s">
        <v>60</v>
      </c>
      <c r="W1063" s="27" t="s">
        <v>60</v>
      </c>
      <c r="X1063" s="27" t="s">
        <v>60</v>
      </c>
    </row>
    <row r="1064" spans="1:24" ht="15.6" x14ac:dyDescent="0.3">
      <c r="A1064" s="34" t="s">
        <v>8146</v>
      </c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</row>
    <row r="1065" spans="1:24" ht="109.2" x14ac:dyDescent="0.3">
      <c r="A1065" s="23" t="s">
        <v>42</v>
      </c>
      <c r="B1065" s="23" t="s">
        <v>43</v>
      </c>
      <c r="C1065" s="24" t="s">
        <v>44</v>
      </c>
      <c r="D1065" s="24" t="s">
        <v>4154</v>
      </c>
      <c r="E1065" s="24" t="s">
        <v>4155</v>
      </c>
      <c r="F1065" s="24" t="s">
        <v>4156</v>
      </c>
      <c r="G1065" s="24" t="s">
        <v>45</v>
      </c>
      <c r="H1065" s="24" t="s">
        <v>4157</v>
      </c>
      <c r="I1065" s="24" t="s">
        <v>46</v>
      </c>
      <c r="J1065" s="24" t="s">
        <v>4158</v>
      </c>
      <c r="K1065" s="24" t="s">
        <v>4159</v>
      </c>
      <c r="L1065" s="24" t="s">
        <v>4160</v>
      </c>
      <c r="M1065" s="24" t="s">
        <v>4161</v>
      </c>
      <c r="N1065" s="24" t="s">
        <v>47</v>
      </c>
      <c r="O1065" s="24" t="s">
        <v>48</v>
      </c>
      <c r="P1065" s="24" t="s">
        <v>49</v>
      </c>
      <c r="Q1065" s="24" t="s">
        <v>50</v>
      </c>
      <c r="R1065" s="23" t="s">
        <v>4162</v>
      </c>
      <c r="S1065" s="23" t="s">
        <v>4163</v>
      </c>
      <c r="T1065" s="23" t="s">
        <v>4164</v>
      </c>
      <c r="U1065" s="23" t="s">
        <v>4165</v>
      </c>
      <c r="V1065" s="24" t="s">
        <v>51</v>
      </c>
      <c r="W1065" s="24" t="s">
        <v>52</v>
      </c>
      <c r="X1065" s="24" t="s">
        <v>53</v>
      </c>
    </row>
    <row r="1066" spans="1:24" ht="15" x14ac:dyDescent="0.3">
      <c r="A1066" s="3">
        <v>1</v>
      </c>
      <c r="B1066" s="3" t="s">
        <v>8147</v>
      </c>
      <c r="C1066" s="14" t="s">
        <v>26</v>
      </c>
      <c r="D1066" s="14" t="s">
        <v>2614</v>
      </c>
      <c r="E1066" s="14" t="s">
        <v>4778</v>
      </c>
      <c r="F1066" s="14" t="s">
        <v>1528</v>
      </c>
      <c r="G1066" s="14" t="s">
        <v>3</v>
      </c>
      <c r="H1066" s="14" t="s">
        <v>8148</v>
      </c>
      <c r="I1066" s="14" t="s">
        <v>2615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2616</v>
      </c>
      <c r="P1066" s="14" t="s">
        <v>8149</v>
      </c>
      <c r="Q1066" s="14" t="s">
        <v>11</v>
      </c>
      <c r="R1066" s="3" t="s">
        <v>4170</v>
      </c>
      <c r="S1066" s="3">
        <f t="shared" ref="S1066:S1099" si="56">IF(RIGHT(C1066,3)="MAZ",550,IF(RIGHT(C1066,4)="MATE",570,IF(RIGHT(C1066,7)="SKD-III",640,IF(RIGHT(C1066,6)="SKD-II",770,IF(RIGHT(C1066,5)="SKD-I",900,IF(RIGHT(C1066,5)="CPDVR",770,""))))))</f>
        <v>770</v>
      </c>
      <c r="T1066" s="3">
        <f t="shared" ref="T1066:T1088" si="57">R1066*S1066</f>
        <v>23870</v>
      </c>
      <c r="U1066" s="3" t="s">
        <v>60</v>
      </c>
      <c r="V1066" s="14" t="s">
        <v>6</v>
      </c>
      <c r="W1066" s="14" t="s">
        <v>4980</v>
      </c>
      <c r="X1066" s="14" t="s">
        <v>60</v>
      </c>
    </row>
    <row r="1067" spans="1:24" ht="15" x14ac:dyDescent="0.3">
      <c r="A1067" s="3">
        <v>2</v>
      </c>
      <c r="B1067" s="3" t="s">
        <v>8150</v>
      </c>
      <c r="C1067" s="14" t="s">
        <v>91</v>
      </c>
      <c r="D1067" s="14" t="s">
        <v>259</v>
      </c>
      <c r="E1067" s="14" t="s">
        <v>8151</v>
      </c>
      <c r="F1067" s="14" t="s">
        <v>2638</v>
      </c>
      <c r="G1067" s="14" t="s">
        <v>3</v>
      </c>
      <c r="H1067" s="14" t="s">
        <v>8152</v>
      </c>
      <c r="I1067" s="14" t="s">
        <v>2639</v>
      </c>
      <c r="J1067" s="14" t="s">
        <v>60</v>
      </c>
      <c r="K1067" s="14" t="s">
        <v>60</v>
      </c>
      <c r="L1067" s="14" t="s">
        <v>60</v>
      </c>
      <c r="M1067" s="14" t="s">
        <v>2640</v>
      </c>
      <c r="N1067" s="14" t="s">
        <v>60</v>
      </c>
      <c r="O1067" s="14" t="s">
        <v>261</v>
      </c>
      <c r="P1067" s="14" t="s">
        <v>8153</v>
      </c>
      <c r="Q1067" s="14" t="s">
        <v>11</v>
      </c>
      <c r="R1067" s="3" t="s">
        <v>4381</v>
      </c>
      <c r="S1067" s="3">
        <f t="shared" si="56"/>
        <v>770</v>
      </c>
      <c r="T1067" s="3">
        <f t="shared" si="57"/>
        <v>21560</v>
      </c>
      <c r="U1067" s="3" t="s">
        <v>60</v>
      </c>
      <c r="V1067" s="14" t="s">
        <v>4301</v>
      </c>
      <c r="W1067" s="14" t="s">
        <v>8154</v>
      </c>
      <c r="X1067" s="14" t="s">
        <v>60</v>
      </c>
    </row>
    <row r="1068" spans="1:24" ht="15" x14ac:dyDescent="0.3">
      <c r="A1068" s="3">
        <v>3</v>
      </c>
      <c r="B1068" s="3" t="s">
        <v>8155</v>
      </c>
      <c r="C1068" s="14" t="s">
        <v>0</v>
      </c>
      <c r="D1068" s="14" t="s">
        <v>2641</v>
      </c>
      <c r="E1068" s="14" t="s">
        <v>8156</v>
      </c>
      <c r="F1068" s="14" t="s">
        <v>2642</v>
      </c>
      <c r="G1068" s="14" t="s">
        <v>3</v>
      </c>
      <c r="H1068" s="14" t="s">
        <v>8157</v>
      </c>
      <c r="I1068" s="14" t="s">
        <v>2643</v>
      </c>
      <c r="J1068" s="14" t="s">
        <v>60</v>
      </c>
      <c r="K1068" s="14" t="s">
        <v>60</v>
      </c>
      <c r="L1068" s="14" t="s">
        <v>60</v>
      </c>
      <c r="M1068" s="14" t="s">
        <v>2644</v>
      </c>
      <c r="N1068" s="14" t="s">
        <v>60</v>
      </c>
      <c r="O1068" s="14" t="s">
        <v>261</v>
      </c>
      <c r="P1068" s="14" t="s">
        <v>8158</v>
      </c>
      <c r="Q1068" s="14" t="s">
        <v>11</v>
      </c>
      <c r="R1068" s="3" t="s">
        <v>5870</v>
      </c>
      <c r="S1068" s="3">
        <f t="shared" si="56"/>
        <v>550</v>
      </c>
      <c r="T1068" s="3">
        <f t="shared" si="57"/>
        <v>13200</v>
      </c>
      <c r="U1068" s="3" t="s">
        <v>60</v>
      </c>
      <c r="V1068" s="14" t="s">
        <v>4301</v>
      </c>
      <c r="W1068" s="14" t="s">
        <v>6984</v>
      </c>
      <c r="X1068" s="14" t="s">
        <v>60</v>
      </c>
    </row>
    <row r="1069" spans="1:24" ht="15" x14ac:dyDescent="0.3">
      <c r="A1069" s="3">
        <v>4</v>
      </c>
      <c r="B1069" s="3" t="s">
        <v>8159</v>
      </c>
      <c r="C1069" s="14" t="s">
        <v>0</v>
      </c>
      <c r="D1069" s="14" t="s">
        <v>2645</v>
      </c>
      <c r="E1069" s="14" t="s">
        <v>8160</v>
      </c>
      <c r="F1069" s="14" t="s">
        <v>2646</v>
      </c>
      <c r="G1069" s="14" t="s">
        <v>3</v>
      </c>
      <c r="H1069" s="14" t="s">
        <v>8161</v>
      </c>
      <c r="I1069" s="14" t="s">
        <v>2647</v>
      </c>
      <c r="J1069" s="14" t="s">
        <v>60</v>
      </c>
      <c r="K1069" s="14" t="s">
        <v>60</v>
      </c>
      <c r="L1069" s="14" t="s">
        <v>60</v>
      </c>
      <c r="M1069" s="14" t="s">
        <v>2648</v>
      </c>
      <c r="N1069" s="14" t="s">
        <v>60</v>
      </c>
      <c r="O1069" s="14" t="s">
        <v>261</v>
      </c>
      <c r="P1069" s="14" t="s">
        <v>8162</v>
      </c>
      <c r="Q1069" s="14" t="s">
        <v>11</v>
      </c>
      <c r="R1069" s="3" t="s">
        <v>5870</v>
      </c>
      <c r="S1069" s="3">
        <f t="shared" si="56"/>
        <v>550</v>
      </c>
      <c r="T1069" s="3">
        <f t="shared" si="57"/>
        <v>13200</v>
      </c>
      <c r="U1069" s="3" t="s">
        <v>60</v>
      </c>
      <c r="V1069" s="14" t="s">
        <v>4301</v>
      </c>
      <c r="W1069" s="14" t="s">
        <v>6984</v>
      </c>
      <c r="X1069" s="14" t="s">
        <v>60</v>
      </c>
    </row>
    <row r="1070" spans="1:24" ht="15" x14ac:dyDescent="0.3">
      <c r="A1070" s="3">
        <v>5</v>
      </c>
      <c r="B1070" s="3" t="s">
        <v>8163</v>
      </c>
      <c r="C1070" s="14" t="s">
        <v>0</v>
      </c>
      <c r="D1070" s="14" t="s">
        <v>2649</v>
      </c>
      <c r="E1070" s="14" t="s">
        <v>8164</v>
      </c>
      <c r="F1070" s="14" t="s">
        <v>1465</v>
      </c>
      <c r="G1070" s="14" t="s">
        <v>3</v>
      </c>
      <c r="H1070" s="14" t="s">
        <v>8165</v>
      </c>
      <c r="I1070" s="14" t="s">
        <v>2650</v>
      </c>
      <c r="J1070" s="14" t="s">
        <v>60</v>
      </c>
      <c r="K1070" s="14" t="s">
        <v>60</v>
      </c>
      <c r="L1070" s="14" t="s">
        <v>60</v>
      </c>
      <c r="M1070" s="14" t="s">
        <v>2651</v>
      </c>
      <c r="N1070" s="14" t="s">
        <v>60</v>
      </c>
      <c r="O1070" s="14" t="s">
        <v>261</v>
      </c>
      <c r="P1070" s="14" t="s">
        <v>8166</v>
      </c>
      <c r="Q1070" s="14" t="s">
        <v>11</v>
      </c>
      <c r="R1070" s="3" t="s">
        <v>4170</v>
      </c>
      <c r="S1070" s="3">
        <f t="shared" si="56"/>
        <v>550</v>
      </c>
      <c r="T1070" s="3">
        <f t="shared" si="57"/>
        <v>17050</v>
      </c>
      <c r="U1070" s="3" t="s">
        <v>60</v>
      </c>
      <c r="V1070" s="14" t="s">
        <v>4301</v>
      </c>
      <c r="W1070" s="14" t="s">
        <v>6984</v>
      </c>
      <c r="X1070" s="14" t="s">
        <v>60</v>
      </c>
    </row>
    <row r="1071" spans="1:24" ht="15" x14ac:dyDescent="0.3">
      <c r="A1071" s="3">
        <v>6</v>
      </c>
      <c r="B1071" s="3" t="s">
        <v>8167</v>
      </c>
      <c r="C1071" s="14" t="s">
        <v>710</v>
      </c>
      <c r="D1071" s="14" t="s">
        <v>2652</v>
      </c>
      <c r="E1071" s="14" t="s">
        <v>8168</v>
      </c>
      <c r="F1071" s="14" t="s">
        <v>2653</v>
      </c>
      <c r="G1071" s="14" t="s">
        <v>3</v>
      </c>
      <c r="H1071" s="14" t="s">
        <v>8169</v>
      </c>
      <c r="I1071" s="14" t="s">
        <v>2654</v>
      </c>
      <c r="J1071" s="14" t="s">
        <v>1183</v>
      </c>
      <c r="K1071" s="14" t="s">
        <v>1152</v>
      </c>
      <c r="L1071" s="14" t="s">
        <v>60</v>
      </c>
      <c r="M1071" s="14" t="s">
        <v>2655</v>
      </c>
      <c r="N1071" s="14" t="s">
        <v>60</v>
      </c>
      <c r="O1071" s="14" t="s">
        <v>193</v>
      </c>
      <c r="P1071" s="14" t="s">
        <v>8170</v>
      </c>
      <c r="Q1071" s="14" t="s">
        <v>11</v>
      </c>
      <c r="R1071" s="3" t="s">
        <v>4381</v>
      </c>
      <c r="S1071" s="3">
        <f t="shared" si="56"/>
        <v>900</v>
      </c>
      <c r="T1071" s="3">
        <f t="shared" si="57"/>
        <v>25200</v>
      </c>
      <c r="U1071" s="3" t="s">
        <v>60</v>
      </c>
      <c r="V1071" s="14" t="s">
        <v>6</v>
      </c>
      <c r="W1071" s="14" t="s">
        <v>6349</v>
      </c>
      <c r="X1071" s="14" t="s">
        <v>60</v>
      </c>
    </row>
    <row r="1072" spans="1:24" ht="15" x14ac:dyDescent="0.3">
      <c r="A1072" s="3">
        <v>7</v>
      </c>
      <c r="B1072" s="3" t="s">
        <v>8171</v>
      </c>
      <c r="C1072" s="14" t="s">
        <v>91</v>
      </c>
      <c r="D1072" s="14" t="s">
        <v>2656</v>
      </c>
      <c r="E1072" s="14" t="s">
        <v>8172</v>
      </c>
      <c r="F1072" s="14" t="s">
        <v>2657</v>
      </c>
      <c r="G1072" s="14" t="s">
        <v>3</v>
      </c>
      <c r="H1072" s="14" t="s">
        <v>2658</v>
      </c>
      <c r="I1072" s="14" t="s">
        <v>2659</v>
      </c>
      <c r="J1072" s="14" t="s">
        <v>60</v>
      </c>
      <c r="K1072" s="14" t="s">
        <v>60</v>
      </c>
      <c r="L1072" s="14" t="s">
        <v>60</v>
      </c>
      <c r="M1072" s="14" t="s">
        <v>2660</v>
      </c>
      <c r="N1072" s="14" t="s">
        <v>60</v>
      </c>
      <c r="O1072" s="14" t="s">
        <v>60</v>
      </c>
      <c r="P1072" s="14" t="s">
        <v>8173</v>
      </c>
      <c r="Q1072" s="14" t="s">
        <v>11</v>
      </c>
      <c r="R1072" s="3" t="s">
        <v>68</v>
      </c>
      <c r="S1072" s="3">
        <f t="shared" si="56"/>
        <v>770</v>
      </c>
      <c r="T1072" s="3">
        <f t="shared" si="57"/>
        <v>0</v>
      </c>
      <c r="U1072" s="3" t="s">
        <v>60</v>
      </c>
      <c r="V1072" s="14" t="s">
        <v>6</v>
      </c>
      <c r="W1072" s="14" t="s">
        <v>8174</v>
      </c>
      <c r="X1072" s="14" t="s">
        <v>8175</v>
      </c>
    </row>
    <row r="1073" spans="1:24" ht="15" x14ac:dyDescent="0.3">
      <c r="A1073" s="3">
        <v>8</v>
      </c>
      <c r="B1073" s="3" t="s">
        <v>8176</v>
      </c>
      <c r="C1073" s="14" t="s">
        <v>710</v>
      </c>
      <c r="D1073" s="14" t="s">
        <v>2661</v>
      </c>
      <c r="E1073" s="14" t="s">
        <v>8177</v>
      </c>
      <c r="F1073" s="14" t="s">
        <v>2662</v>
      </c>
      <c r="G1073" s="14" t="s">
        <v>3</v>
      </c>
      <c r="H1073" s="14" t="s">
        <v>8178</v>
      </c>
      <c r="I1073" s="14" t="s">
        <v>2663</v>
      </c>
      <c r="J1073" s="14" t="s">
        <v>60</v>
      </c>
      <c r="K1073" s="14" t="s">
        <v>60</v>
      </c>
      <c r="L1073" s="14" t="s">
        <v>60</v>
      </c>
      <c r="M1073" s="14" t="s">
        <v>60</v>
      </c>
      <c r="N1073" s="14" t="s">
        <v>60</v>
      </c>
      <c r="O1073" s="14" t="s">
        <v>60</v>
      </c>
      <c r="P1073" s="14" t="s">
        <v>8179</v>
      </c>
      <c r="Q1073" s="14" t="s">
        <v>2664</v>
      </c>
      <c r="R1073" s="3" t="s">
        <v>4170</v>
      </c>
      <c r="S1073" s="3">
        <f t="shared" si="56"/>
        <v>900</v>
      </c>
      <c r="T1073" s="3">
        <f t="shared" si="57"/>
        <v>27900</v>
      </c>
      <c r="U1073" s="3" t="s">
        <v>60</v>
      </c>
      <c r="V1073" s="14" t="s">
        <v>4208</v>
      </c>
      <c r="W1073" s="14" t="s">
        <v>4577</v>
      </c>
      <c r="X1073" s="14" t="s">
        <v>60</v>
      </c>
    </row>
    <row r="1074" spans="1:24" ht="15" x14ac:dyDescent="0.3">
      <c r="A1074" s="3">
        <v>9</v>
      </c>
      <c r="B1074" s="3" t="s">
        <v>8180</v>
      </c>
      <c r="C1074" s="14" t="s">
        <v>0</v>
      </c>
      <c r="D1074" s="14" t="s">
        <v>2665</v>
      </c>
      <c r="E1074" s="14" t="s">
        <v>8181</v>
      </c>
      <c r="F1074" s="14" t="s">
        <v>2638</v>
      </c>
      <c r="G1074" s="14" t="s">
        <v>121</v>
      </c>
      <c r="H1074" s="14" t="s">
        <v>8182</v>
      </c>
      <c r="I1074" s="14" t="s">
        <v>2666</v>
      </c>
      <c r="J1074" s="14" t="s">
        <v>60</v>
      </c>
      <c r="K1074" s="14" t="s">
        <v>60</v>
      </c>
      <c r="L1074" s="14" t="s">
        <v>60</v>
      </c>
      <c r="M1074" s="14" t="s">
        <v>60</v>
      </c>
      <c r="N1074" s="14" t="s">
        <v>60</v>
      </c>
      <c r="O1074" s="14" t="s">
        <v>60</v>
      </c>
      <c r="P1074" s="14" t="s">
        <v>8183</v>
      </c>
      <c r="Q1074" s="14" t="s">
        <v>11</v>
      </c>
      <c r="R1074" s="3" t="s">
        <v>4170</v>
      </c>
      <c r="S1074" s="3">
        <f t="shared" si="56"/>
        <v>550</v>
      </c>
      <c r="T1074" s="3">
        <f t="shared" si="57"/>
        <v>17050</v>
      </c>
      <c r="U1074" s="3" t="s">
        <v>60</v>
      </c>
      <c r="V1074" s="14" t="s">
        <v>6</v>
      </c>
      <c r="W1074" s="14" t="s">
        <v>8184</v>
      </c>
      <c r="X1074" s="14" t="s">
        <v>60</v>
      </c>
    </row>
    <row r="1075" spans="1:24" ht="15" x14ac:dyDescent="0.3">
      <c r="A1075" s="3">
        <v>10</v>
      </c>
      <c r="B1075" s="3" t="s">
        <v>8185</v>
      </c>
      <c r="C1075" s="14" t="s">
        <v>0</v>
      </c>
      <c r="D1075" s="14" t="s">
        <v>2667</v>
      </c>
      <c r="E1075" s="14" t="s">
        <v>4216</v>
      </c>
      <c r="F1075" s="14" t="s">
        <v>2668</v>
      </c>
      <c r="G1075" s="14" t="s">
        <v>3</v>
      </c>
      <c r="H1075" s="14" t="s">
        <v>8186</v>
      </c>
      <c r="I1075" s="14" t="s">
        <v>2669</v>
      </c>
      <c r="J1075" s="14" t="s">
        <v>60</v>
      </c>
      <c r="K1075" s="14" t="s">
        <v>60</v>
      </c>
      <c r="L1075" s="14" t="s">
        <v>60</v>
      </c>
      <c r="M1075" s="14" t="s">
        <v>2670</v>
      </c>
      <c r="N1075" s="14" t="s">
        <v>60</v>
      </c>
      <c r="O1075" s="14" t="s">
        <v>60</v>
      </c>
      <c r="P1075" s="14" t="s">
        <v>8187</v>
      </c>
      <c r="Q1075" s="14" t="s">
        <v>11</v>
      </c>
      <c r="R1075" s="3" t="s">
        <v>4170</v>
      </c>
      <c r="S1075" s="3">
        <f t="shared" si="56"/>
        <v>550</v>
      </c>
      <c r="T1075" s="3">
        <f t="shared" si="57"/>
        <v>17050</v>
      </c>
      <c r="U1075" s="3" t="s">
        <v>60</v>
      </c>
      <c r="V1075" s="14" t="s">
        <v>6</v>
      </c>
      <c r="W1075" s="14" t="s">
        <v>5040</v>
      </c>
      <c r="X1075" s="14" t="s">
        <v>60</v>
      </c>
    </row>
    <row r="1076" spans="1:24" ht="15" x14ac:dyDescent="0.3">
      <c r="A1076" s="3">
        <v>11</v>
      </c>
      <c r="B1076" s="3" t="s">
        <v>8188</v>
      </c>
      <c r="C1076" s="14" t="s">
        <v>0</v>
      </c>
      <c r="D1076" s="14" t="s">
        <v>2671</v>
      </c>
      <c r="E1076" s="14" t="s">
        <v>5154</v>
      </c>
      <c r="F1076" s="14" t="s">
        <v>1295</v>
      </c>
      <c r="G1076" s="14" t="s">
        <v>3</v>
      </c>
      <c r="H1076" s="14" t="s">
        <v>8189</v>
      </c>
      <c r="I1076" s="14" t="s">
        <v>2672</v>
      </c>
      <c r="J1076" s="14" t="s">
        <v>60</v>
      </c>
      <c r="K1076" s="14" t="s">
        <v>60</v>
      </c>
      <c r="L1076" s="14" t="s">
        <v>60</v>
      </c>
      <c r="M1076" s="14" t="s">
        <v>2673</v>
      </c>
      <c r="N1076" s="14" t="s">
        <v>60</v>
      </c>
      <c r="O1076" s="14" t="s">
        <v>60</v>
      </c>
      <c r="P1076" s="14" t="s">
        <v>8190</v>
      </c>
      <c r="Q1076" s="14" t="s">
        <v>11</v>
      </c>
      <c r="R1076" s="3" t="s">
        <v>4170</v>
      </c>
      <c r="S1076" s="3">
        <f t="shared" si="56"/>
        <v>550</v>
      </c>
      <c r="T1076" s="3">
        <f t="shared" si="57"/>
        <v>17050</v>
      </c>
      <c r="U1076" s="3" t="s">
        <v>60</v>
      </c>
      <c r="V1076" s="14" t="s">
        <v>6</v>
      </c>
      <c r="W1076" s="14" t="s">
        <v>5040</v>
      </c>
      <c r="X1076" s="14" t="s">
        <v>60</v>
      </c>
    </row>
    <row r="1077" spans="1:24" ht="15" x14ac:dyDescent="0.3">
      <c r="A1077" s="3">
        <v>12</v>
      </c>
      <c r="B1077" s="3" t="s">
        <v>8191</v>
      </c>
      <c r="C1077" s="14" t="s">
        <v>0</v>
      </c>
      <c r="D1077" s="14" t="s">
        <v>2674</v>
      </c>
      <c r="E1077" s="14" t="s">
        <v>4990</v>
      </c>
      <c r="F1077" s="14" t="s">
        <v>2675</v>
      </c>
      <c r="G1077" s="14" t="s">
        <v>3</v>
      </c>
      <c r="H1077" s="14" t="s">
        <v>8192</v>
      </c>
      <c r="I1077" s="14" t="s">
        <v>2676</v>
      </c>
      <c r="J1077" s="14" t="s">
        <v>60</v>
      </c>
      <c r="K1077" s="14" t="s">
        <v>60</v>
      </c>
      <c r="L1077" s="14" t="s">
        <v>60</v>
      </c>
      <c r="M1077" s="14" t="s">
        <v>2677</v>
      </c>
      <c r="N1077" s="14" t="s">
        <v>60</v>
      </c>
      <c r="O1077" s="14" t="s">
        <v>60</v>
      </c>
      <c r="P1077" s="14" t="s">
        <v>8193</v>
      </c>
      <c r="Q1077" s="14" t="s">
        <v>11</v>
      </c>
      <c r="R1077" s="3" t="s">
        <v>4170</v>
      </c>
      <c r="S1077" s="3">
        <f t="shared" si="56"/>
        <v>550</v>
      </c>
      <c r="T1077" s="3">
        <f t="shared" si="57"/>
        <v>17050</v>
      </c>
      <c r="U1077" s="3" t="s">
        <v>60</v>
      </c>
      <c r="V1077" s="14" t="s">
        <v>6</v>
      </c>
      <c r="W1077" s="14" t="s">
        <v>5040</v>
      </c>
      <c r="X1077" s="14" t="s">
        <v>60</v>
      </c>
    </row>
    <row r="1078" spans="1:24" ht="15" x14ac:dyDescent="0.3">
      <c r="A1078" s="3">
        <v>13</v>
      </c>
      <c r="B1078" s="3" t="s">
        <v>8194</v>
      </c>
      <c r="C1078" s="14" t="s">
        <v>0</v>
      </c>
      <c r="D1078" s="14" t="s">
        <v>2678</v>
      </c>
      <c r="E1078" s="14" t="s">
        <v>4200</v>
      </c>
      <c r="F1078" s="14" t="s">
        <v>2679</v>
      </c>
      <c r="G1078" s="14" t="s">
        <v>3</v>
      </c>
      <c r="H1078" s="14" t="s">
        <v>8195</v>
      </c>
      <c r="I1078" s="14" t="s">
        <v>2680</v>
      </c>
      <c r="J1078" s="14" t="s">
        <v>60</v>
      </c>
      <c r="K1078" s="14" t="s">
        <v>60</v>
      </c>
      <c r="L1078" s="14" t="s">
        <v>60</v>
      </c>
      <c r="M1078" s="14" t="s">
        <v>2681</v>
      </c>
      <c r="N1078" s="14" t="s">
        <v>60</v>
      </c>
      <c r="O1078" s="14" t="s">
        <v>60</v>
      </c>
      <c r="P1078" s="14" t="s">
        <v>8196</v>
      </c>
      <c r="Q1078" s="14" t="s">
        <v>11</v>
      </c>
      <c r="R1078" s="3" t="s">
        <v>4170</v>
      </c>
      <c r="S1078" s="3">
        <f t="shared" si="56"/>
        <v>550</v>
      </c>
      <c r="T1078" s="3">
        <f t="shared" si="57"/>
        <v>17050</v>
      </c>
      <c r="U1078" s="3" t="s">
        <v>60</v>
      </c>
      <c r="V1078" s="14" t="s">
        <v>6</v>
      </c>
      <c r="W1078" s="14" t="s">
        <v>5040</v>
      </c>
      <c r="X1078" s="14" t="s">
        <v>60</v>
      </c>
    </row>
    <row r="1079" spans="1:24" ht="15" x14ac:dyDescent="0.3">
      <c r="A1079" s="3">
        <v>14</v>
      </c>
      <c r="B1079" s="3" t="s">
        <v>8197</v>
      </c>
      <c r="C1079" s="14" t="s">
        <v>14</v>
      </c>
      <c r="D1079" s="14" t="s">
        <v>2682</v>
      </c>
      <c r="E1079" s="14" t="s">
        <v>8198</v>
      </c>
      <c r="F1079" s="14" t="s">
        <v>2683</v>
      </c>
      <c r="G1079" s="14" t="s">
        <v>3</v>
      </c>
      <c r="H1079" s="14" t="s">
        <v>8199</v>
      </c>
      <c r="I1079" s="14" t="s">
        <v>2684</v>
      </c>
      <c r="J1079" s="14" t="s">
        <v>60</v>
      </c>
      <c r="K1079" s="14" t="s">
        <v>60</v>
      </c>
      <c r="L1079" s="14" t="s">
        <v>60</v>
      </c>
      <c r="M1079" s="14" t="s">
        <v>2685</v>
      </c>
      <c r="N1079" s="14" t="s">
        <v>60</v>
      </c>
      <c r="O1079" s="14" t="s">
        <v>60</v>
      </c>
      <c r="P1079" s="14" t="s">
        <v>8200</v>
      </c>
      <c r="Q1079" s="14" t="s">
        <v>11</v>
      </c>
      <c r="R1079" s="3" t="s">
        <v>4170</v>
      </c>
      <c r="S1079" s="3">
        <f t="shared" si="56"/>
        <v>640</v>
      </c>
      <c r="T1079" s="3">
        <f t="shared" si="57"/>
        <v>19840</v>
      </c>
      <c r="U1079" s="3" t="s">
        <v>60</v>
      </c>
      <c r="V1079" s="14" t="s">
        <v>6</v>
      </c>
      <c r="W1079" s="14" t="s">
        <v>5040</v>
      </c>
      <c r="X1079" s="14" t="s">
        <v>60</v>
      </c>
    </row>
    <row r="1080" spans="1:24" ht="15" x14ac:dyDescent="0.3">
      <c r="A1080" s="3">
        <v>15</v>
      </c>
      <c r="B1080" s="3" t="s">
        <v>8201</v>
      </c>
      <c r="C1080" s="14" t="s">
        <v>0</v>
      </c>
      <c r="D1080" s="14" t="s">
        <v>2686</v>
      </c>
      <c r="E1080" s="14" t="s">
        <v>4430</v>
      </c>
      <c r="F1080" s="14" t="s">
        <v>2687</v>
      </c>
      <c r="G1080" s="14" t="s">
        <v>3</v>
      </c>
      <c r="H1080" s="14" t="s">
        <v>8202</v>
      </c>
      <c r="I1080" s="14" t="s">
        <v>2688</v>
      </c>
      <c r="J1080" s="14" t="s">
        <v>60</v>
      </c>
      <c r="K1080" s="14" t="s">
        <v>60</v>
      </c>
      <c r="L1080" s="14" t="s">
        <v>60</v>
      </c>
      <c r="M1080" s="14" t="s">
        <v>2689</v>
      </c>
      <c r="N1080" s="14" t="s">
        <v>60</v>
      </c>
      <c r="O1080" s="14" t="s">
        <v>60</v>
      </c>
      <c r="P1080" s="14" t="s">
        <v>8203</v>
      </c>
      <c r="Q1080" s="14" t="s">
        <v>11</v>
      </c>
      <c r="R1080" s="3" t="s">
        <v>4170</v>
      </c>
      <c r="S1080" s="3">
        <f t="shared" si="56"/>
        <v>550</v>
      </c>
      <c r="T1080" s="3">
        <f t="shared" si="57"/>
        <v>17050</v>
      </c>
      <c r="U1080" s="3" t="s">
        <v>60</v>
      </c>
      <c r="V1080" s="14" t="s">
        <v>6</v>
      </c>
      <c r="W1080" s="14" t="s">
        <v>5040</v>
      </c>
      <c r="X1080" s="14" t="s">
        <v>60</v>
      </c>
    </row>
    <row r="1081" spans="1:24" ht="15" x14ac:dyDescent="0.3">
      <c r="A1081" s="3">
        <v>16</v>
      </c>
      <c r="B1081" s="3" t="s">
        <v>8204</v>
      </c>
      <c r="C1081" s="14" t="s">
        <v>710</v>
      </c>
      <c r="D1081" s="14" t="s">
        <v>2690</v>
      </c>
      <c r="E1081" s="14" t="s">
        <v>8205</v>
      </c>
      <c r="F1081" s="14" t="s">
        <v>2691</v>
      </c>
      <c r="G1081" s="14" t="s">
        <v>3</v>
      </c>
      <c r="H1081" s="14" t="s">
        <v>8206</v>
      </c>
      <c r="I1081" s="14" t="s">
        <v>60</v>
      </c>
      <c r="J1081" s="14" t="s">
        <v>60</v>
      </c>
      <c r="K1081" s="14" t="s">
        <v>60</v>
      </c>
      <c r="L1081" s="14" t="s">
        <v>60</v>
      </c>
      <c r="M1081" s="14" t="s">
        <v>8207</v>
      </c>
      <c r="N1081" s="14" t="s">
        <v>60</v>
      </c>
      <c r="O1081" s="14" t="s">
        <v>60</v>
      </c>
      <c r="P1081" s="14" t="s">
        <v>8208</v>
      </c>
      <c r="Q1081" s="14" t="s">
        <v>11</v>
      </c>
      <c r="R1081" s="3" t="s">
        <v>4170</v>
      </c>
      <c r="S1081" s="3">
        <f t="shared" si="56"/>
        <v>900</v>
      </c>
      <c r="T1081" s="3">
        <f t="shared" si="57"/>
        <v>27900</v>
      </c>
      <c r="U1081" s="3" t="s">
        <v>60</v>
      </c>
      <c r="V1081" s="14" t="s">
        <v>6</v>
      </c>
      <c r="W1081" s="14" t="s">
        <v>8033</v>
      </c>
      <c r="X1081" s="14" t="s">
        <v>60</v>
      </c>
    </row>
    <row r="1082" spans="1:24" ht="15" x14ac:dyDescent="0.3">
      <c r="A1082" s="3">
        <v>17</v>
      </c>
      <c r="B1082" s="3" t="s">
        <v>8209</v>
      </c>
      <c r="C1082" s="14" t="s">
        <v>91</v>
      </c>
      <c r="D1082" s="14" t="s">
        <v>1639</v>
      </c>
      <c r="E1082" s="14" t="s">
        <v>8210</v>
      </c>
      <c r="F1082" s="14" t="s">
        <v>2692</v>
      </c>
      <c r="G1082" s="14" t="s">
        <v>3</v>
      </c>
      <c r="H1082" s="14" t="s">
        <v>8211</v>
      </c>
      <c r="I1082" s="14" t="s">
        <v>2693</v>
      </c>
      <c r="J1082" s="14" t="s">
        <v>60</v>
      </c>
      <c r="K1082" s="14" t="s">
        <v>60</v>
      </c>
      <c r="L1082" s="14" t="s">
        <v>60</v>
      </c>
      <c r="M1082" s="14" t="s">
        <v>2694</v>
      </c>
      <c r="N1082" s="14" t="s">
        <v>60</v>
      </c>
      <c r="O1082" s="14" t="s">
        <v>60</v>
      </c>
      <c r="P1082" s="14" t="s">
        <v>8212</v>
      </c>
      <c r="Q1082" s="14" t="s">
        <v>2695</v>
      </c>
      <c r="R1082" s="3" t="s">
        <v>4170</v>
      </c>
      <c r="S1082" s="3">
        <f t="shared" si="56"/>
        <v>770</v>
      </c>
      <c r="T1082" s="3">
        <f t="shared" si="57"/>
        <v>23870</v>
      </c>
      <c r="U1082" s="3" t="s">
        <v>60</v>
      </c>
      <c r="V1082" s="14" t="s">
        <v>6</v>
      </c>
      <c r="W1082" s="14" t="s">
        <v>8213</v>
      </c>
      <c r="X1082" s="14" t="s">
        <v>60</v>
      </c>
    </row>
    <row r="1083" spans="1:24" ht="15" x14ac:dyDescent="0.3">
      <c r="A1083" s="3">
        <v>18</v>
      </c>
      <c r="B1083" s="3" t="s">
        <v>8214</v>
      </c>
      <c r="C1083" s="14" t="s">
        <v>710</v>
      </c>
      <c r="D1083" s="14" t="s">
        <v>2696</v>
      </c>
      <c r="E1083" s="14" t="s">
        <v>8215</v>
      </c>
      <c r="F1083" s="14" t="s">
        <v>2697</v>
      </c>
      <c r="G1083" s="14" t="s">
        <v>3</v>
      </c>
      <c r="H1083" s="14" t="s">
        <v>8216</v>
      </c>
      <c r="I1083" s="14" t="s">
        <v>2698</v>
      </c>
      <c r="J1083" s="14" t="s">
        <v>60</v>
      </c>
      <c r="K1083" s="14" t="s">
        <v>60</v>
      </c>
      <c r="L1083" s="14" t="s">
        <v>60</v>
      </c>
      <c r="M1083" s="14" t="s">
        <v>2699</v>
      </c>
      <c r="N1083" s="14" t="s">
        <v>60</v>
      </c>
      <c r="O1083" s="14" t="s">
        <v>60</v>
      </c>
      <c r="P1083" s="14" t="s">
        <v>8217</v>
      </c>
      <c r="Q1083" s="14" t="s">
        <v>1120</v>
      </c>
      <c r="R1083" s="3" t="s">
        <v>4170</v>
      </c>
      <c r="S1083" s="3">
        <f t="shared" si="56"/>
        <v>900</v>
      </c>
      <c r="T1083" s="3">
        <f t="shared" si="57"/>
        <v>27900</v>
      </c>
      <c r="U1083" s="3" t="s">
        <v>60</v>
      </c>
      <c r="V1083" s="14" t="s">
        <v>6</v>
      </c>
      <c r="W1083" s="14" t="s">
        <v>8213</v>
      </c>
      <c r="X1083" s="14" t="s">
        <v>60</v>
      </c>
    </row>
    <row r="1084" spans="1:24" ht="15" x14ac:dyDescent="0.3">
      <c r="A1084" s="3">
        <v>19</v>
      </c>
      <c r="B1084" s="3" t="s">
        <v>8218</v>
      </c>
      <c r="C1084" s="14" t="s">
        <v>26</v>
      </c>
      <c r="D1084" s="14" t="s">
        <v>762</v>
      </c>
      <c r="E1084" s="14" t="s">
        <v>8219</v>
      </c>
      <c r="F1084" s="14" t="s">
        <v>763</v>
      </c>
      <c r="G1084" s="14" t="s">
        <v>3</v>
      </c>
      <c r="H1084" s="14" t="s">
        <v>8220</v>
      </c>
      <c r="I1084" s="14" t="s">
        <v>764</v>
      </c>
      <c r="J1084" s="14" t="s">
        <v>60</v>
      </c>
      <c r="K1084" s="14" t="s">
        <v>60</v>
      </c>
      <c r="L1084" s="14" t="s">
        <v>60</v>
      </c>
      <c r="M1084" s="14" t="s">
        <v>765</v>
      </c>
      <c r="N1084" s="14" t="s">
        <v>60</v>
      </c>
      <c r="O1084" s="14" t="s">
        <v>86</v>
      </c>
      <c r="P1084" s="14" t="s">
        <v>8221</v>
      </c>
      <c r="Q1084" s="14" t="s">
        <v>180</v>
      </c>
      <c r="R1084" s="3" t="s">
        <v>4862</v>
      </c>
      <c r="S1084" s="3">
        <f t="shared" si="56"/>
        <v>770</v>
      </c>
      <c r="T1084" s="3">
        <f t="shared" si="57"/>
        <v>8470</v>
      </c>
      <c r="U1084" s="3" t="s">
        <v>60</v>
      </c>
      <c r="V1084" s="14" t="s">
        <v>6</v>
      </c>
      <c r="W1084" s="14" t="s">
        <v>5980</v>
      </c>
      <c r="X1084" s="14" t="s">
        <v>60</v>
      </c>
    </row>
    <row r="1085" spans="1:24" ht="15" x14ac:dyDescent="0.3">
      <c r="A1085" s="3">
        <v>20</v>
      </c>
      <c r="B1085" s="3" t="s">
        <v>8222</v>
      </c>
      <c r="C1085" s="14" t="s">
        <v>0</v>
      </c>
      <c r="D1085" s="14" t="s">
        <v>623</v>
      </c>
      <c r="E1085" s="14" t="s">
        <v>4430</v>
      </c>
      <c r="F1085" s="14" t="s">
        <v>624</v>
      </c>
      <c r="G1085" s="14" t="s">
        <v>3</v>
      </c>
      <c r="H1085" s="14" t="s">
        <v>8223</v>
      </c>
      <c r="I1085" s="14" t="s">
        <v>625</v>
      </c>
      <c r="J1085" s="14" t="s">
        <v>60</v>
      </c>
      <c r="K1085" s="14" t="s">
        <v>60</v>
      </c>
      <c r="L1085" s="14" t="s">
        <v>60</v>
      </c>
      <c r="M1085" s="14" t="s">
        <v>626</v>
      </c>
      <c r="N1085" s="14" t="s">
        <v>60</v>
      </c>
      <c r="O1085" s="14" t="s">
        <v>60</v>
      </c>
      <c r="P1085" s="14" t="s">
        <v>8224</v>
      </c>
      <c r="Q1085" s="14" t="s">
        <v>240</v>
      </c>
      <c r="R1085" s="3" t="s">
        <v>4170</v>
      </c>
      <c r="S1085" s="3">
        <f t="shared" si="56"/>
        <v>550</v>
      </c>
      <c r="T1085" s="3">
        <f t="shared" si="57"/>
        <v>17050</v>
      </c>
      <c r="U1085" s="3" t="s">
        <v>8225</v>
      </c>
      <c r="V1085" s="14" t="s">
        <v>6</v>
      </c>
      <c r="W1085" s="14" t="s">
        <v>8226</v>
      </c>
      <c r="X1085" s="14" t="s">
        <v>60</v>
      </c>
    </row>
    <row r="1086" spans="1:24" ht="15" x14ac:dyDescent="0.3">
      <c r="A1086" s="3">
        <v>21</v>
      </c>
      <c r="B1086" s="3" t="s">
        <v>8227</v>
      </c>
      <c r="C1086" s="14" t="s">
        <v>0</v>
      </c>
      <c r="D1086" s="14" t="s">
        <v>695</v>
      </c>
      <c r="E1086" s="14" t="s">
        <v>8228</v>
      </c>
      <c r="F1086" s="14" t="s">
        <v>696</v>
      </c>
      <c r="G1086" s="14" t="s">
        <v>3</v>
      </c>
      <c r="H1086" s="14" t="s">
        <v>8229</v>
      </c>
      <c r="I1086" s="14" t="s">
        <v>697</v>
      </c>
      <c r="J1086" s="14" t="s">
        <v>60</v>
      </c>
      <c r="K1086" s="14" t="s">
        <v>60</v>
      </c>
      <c r="L1086" s="14" t="s">
        <v>60</v>
      </c>
      <c r="M1086" s="14" t="s">
        <v>698</v>
      </c>
      <c r="N1086" s="14" t="s">
        <v>60</v>
      </c>
      <c r="O1086" s="14" t="s">
        <v>169</v>
      </c>
      <c r="P1086" s="14" t="s">
        <v>8230</v>
      </c>
      <c r="Q1086" s="14" t="s">
        <v>174</v>
      </c>
      <c r="R1086" s="3" t="s">
        <v>4170</v>
      </c>
      <c r="S1086" s="3">
        <f t="shared" si="56"/>
        <v>550</v>
      </c>
      <c r="T1086" s="3">
        <f t="shared" si="57"/>
        <v>17050</v>
      </c>
      <c r="U1086" s="3" t="s">
        <v>60</v>
      </c>
      <c r="V1086" s="14" t="s">
        <v>6</v>
      </c>
      <c r="W1086" s="14" t="s">
        <v>8231</v>
      </c>
      <c r="X1086" s="14" t="s">
        <v>60</v>
      </c>
    </row>
    <row r="1087" spans="1:24" ht="15" x14ac:dyDescent="0.3">
      <c r="A1087" s="3">
        <v>22</v>
      </c>
      <c r="B1087" s="3" t="s">
        <v>8232</v>
      </c>
      <c r="C1087" s="14" t="s">
        <v>91</v>
      </c>
      <c r="D1087" s="14" t="s">
        <v>2806</v>
      </c>
      <c r="E1087" s="14" t="s">
        <v>8233</v>
      </c>
      <c r="F1087" s="14" t="s">
        <v>2807</v>
      </c>
      <c r="G1087" s="14" t="s">
        <v>3</v>
      </c>
      <c r="H1087" s="14" t="s">
        <v>8234</v>
      </c>
      <c r="I1087" s="14" t="s">
        <v>2808</v>
      </c>
      <c r="J1087" s="14" t="s">
        <v>60</v>
      </c>
      <c r="K1087" s="14" t="s">
        <v>60</v>
      </c>
      <c r="L1087" s="14" t="s">
        <v>60</v>
      </c>
      <c r="M1087" s="14" t="s">
        <v>60</v>
      </c>
      <c r="N1087" s="14" t="s">
        <v>60</v>
      </c>
      <c r="O1087" s="14" t="s">
        <v>60</v>
      </c>
      <c r="P1087" s="14" t="s">
        <v>8235</v>
      </c>
      <c r="Q1087" s="14" t="s">
        <v>11</v>
      </c>
      <c r="R1087" s="3" t="s">
        <v>4170</v>
      </c>
      <c r="S1087" s="3">
        <f t="shared" si="56"/>
        <v>770</v>
      </c>
      <c r="T1087" s="3">
        <f t="shared" si="57"/>
        <v>23870</v>
      </c>
      <c r="U1087" s="3" t="s">
        <v>60</v>
      </c>
      <c r="V1087" s="14" t="s">
        <v>6</v>
      </c>
      <c r="W1087" s="14" t="s">
        <v>8236</v>
      </c>
      <c r="X1087" s="14" t="s">
        <v>60</v>
      </c>
    </row>
    <row r="1088" spans="1:24" ht="15" x14ac:dyDescent="0.3">
      <c r="A1088" s="3">
        <v>23</v>
      </c>
      <c r="B1088" s="3" t="s">
        <v>8237</v>
      </c>
      <c r="C1088" s="14" t="s">
        <v>0</v>
      </c>
      <c r="D1088" s="14" t="s">
        <v>3448</v>
      </c>
      <c r="E1088" s="14" t="s">
        <v>8238</v>
      </c>
      <c r="F1088" s="14" t="s">
        <v>3450</v>
      </c>
      <c r="G1088" s="14" t="s">
        <v>3</v>
      </c>
      <c r="H1088" s="14" t="s">
        <v>8239</v>
      </c>
      <c r="I1088" s="14" t="s">
        <v>3871</v>
      </c>
      <c r="J1088" s="14" t="s">
        <v>60</v>
      </c>
      <c r="K1088" s="14" t="s">
        <v>60</v>
      </c>
      <c r="L1088" s="14" t="s">
        <v>60</v>
      </c>
      <c r="M1088" s="14" t="s">
        <v>3872</v>
      </c>
      <c r="N1088" s="14" t="s">
        <v>60</v>
      </c>
      <c r="O1088" s="14" t="s">
        <v>60</v>
      </c>
      <c r="P1088" s="14" t="s">
        <v>8240</v>
      </c>
      <c r="Q1088" s="14" t="s">
        <v>2791</v>
      </c>
      <c r="R1088" s="3" t="s">
        <v>68</v>
      </c>
      <c r="S1088" s="3">
        <f t="shared" si="56"/>
        <v>550</v>
      </c>
      <c r="T1088" s="3">
        <f t="shared" si="57"/>
        <v>0</v>
      </c>
      <c r="U1088" s="3" t="s">
        <v>60</v>
      </c>
      <c r="V1088" s="14" t="s">
        <v>6</v>
      </c>
      <c r="W1088" s="14" t="s">
        <v>6096</v>
      </c>
      <c r="X1088" s="14" t="s">
        <v>60</v>
      </c>
    </row>
    <row r="1089" spans="1:24" ht="15.6" x14ac:dyDescent="0.3">
      <c r="A1089" s="10">
        <v>31</v>
      </c>
      <c r="B1089" s="10">
        <v>8485</v>
      </c>
      <c r="C1089" s="7" t="s">
        <v>0</v>
      </c>
      <c r="D1089" s="5" t="s">
        <v>3449</v>
      </c>
      <c r="E1089" s="21">
        <v>37880</v>
      </c>
      <c r="F1089" s="19" t="s">
        <v>3451</v>
      </c>
      <c r="G1089" s="5" t="s">
        <v>3</v>
      </c>
      <c r="H1089" s="5" t="s">
        <v>3873</v>
      </c>
      <c r="I1089" s="14" t="s">
        <v>3874</v>
      </c>
      <c r="J1089" s="1"/>
      <c r="K1089" s="1"/>
      <c r="L1089" s="1"/>
      <c r="M1089" s="5" t="s">
        <v>3875</v>
      </c>
      <c r="N1089" s="2"/>
      <c r="O1089" s="22"/>
      <c r="P1089" s="7">
        <v>35311721181</v>
      </c>
      <c r="Q1089" s="19" t="s">
        <v>174</v>
      </c>
      <c r="R1089" s="3">
        <v>31</v>
      </c>
      <c r="S1089" s="3">
        <f t="shared" si="56"/>
        <v>550</v>
      </c>
      <c r="T1089" s="3">
        <f>S1089*R1089</f>
        <v>17050</v>
      </c>
      <c r="U1089" s="7"/>
      <c r="V1089" s="14" t="s">
        <v>6</v>
      </c>
      <c r="W1089" s="11">
        <v>46209</v>
      </c>
      <c r="X1089" s="11"/>
    </row>
    <row r="1090" spans="1:24" ht="15" x14ac:dyDescent="0.3">
      <c r="A1090" s="3">
        <v>25</v>
      </c>
      <c r="B1090" s="3" t="s">
        <v>8241</v>
      </c>
      <c r="C1090" s="14" t="s">
        <v>26</v>
      </c>
      <c r="D1090" s="14" t="s">
        <v>2617</v>
      </c>
      <c r="E1090" s="14" t="s">
        <v>8242</v>
      </c>
      <c r="F1090" s="14" t="s">
        <v>2618</v>
      </c>
      <c r="G1090" s="14" t="s">
        <v>3</v>
      </c>
      <c r="H1090" s="14" t="s">
        <v>8243</v>
      </c>
      <c r="I1090" s="14" t="s">
        <v>2619</v>
      </c>
      <c r="J1090" s="14" t="s">
        <v>60</v>
      </c>
      <c r="K1090" s="14" t="s">
        <v>60</v>
      </c>
      <c r="L1090" s="14" t="s">
        <v>60</v>
      </c>
      <c r="M1090" s="14" t="s">
        <v>2620</v>
      </c>
      <c r="N1090" s="14" t="s">
        <v>60</v>
      </c>
      <c r="O1090" s="14" t="s">
        <v>370</v>
      </c>
      <c r="P1090" s="14" t="s">
        <v>8244</v>
      </c>
      <c r="Q1090" s="14" t="s">
        <v>2621</v>
      </c>
      <c r="R1090" s="3" t="s">
        <v>4170</v>
      </c>
      <c r="S1090" s="3">
        <f t="shared" si="56"/>
        <v>770</v>
      </c>
      <c r="T1090" s="3">
        <f t="shared" ref="T1090:T1099" si="58">R1090*S1090</f>
        <v>23870</v>
      </c>
      <c r="U1090" s="3" t="s">
        <v>60</v>
      </c>
      <c r="V1090" s="14" t="s">
        <v>6</v>
      </c>
      <c r="W1090" s="14" t="s">
        <v>5090</v>
      </c>
      <c r="X1090" s="14" t="s">
        <v>60</v>
      </c>
    </row>
    <row r="1091" spans="1:24" ht="15" x14ac:dyDescent="0.3">
      <c r="A1091" s="3">
        <v>26</v>
      </c>
      <c r="B1091" s="3" t="s">
        <v>8245</v>
      </c>
      <c r="C1091" s="14" t="s">
        <v>69</v>
      </c>
      <c r="D1091" s="14" t="s">
        <v>2622</v>
      </c>
      <c r="E1091" s="14" t="s">
        <v>8246</v>
      </c>
      <c r="F1091" s="14" t="s">
        <v>2623</v>
      </c>
      <c r="G1091" s="14" t="s">
        <v>3</v>
      </c>
      <c r="H1091" s="14" t="s">
        <v>8247</v>
      </c>
      <c r="I1091" s="14" t="s">
        <v>2624</v>
      </c>
      <c r="J1091" s="14" t="s">
        <v>60</v>
      </c>
      <c r="K1091" s="14" t="s">
        <v>60</v>
      </c>
      <c r="L1091" s="14" t="s">
        <v>60</v>
      </c>
      <c r="M1091" s="14" t="s">
        <v>2625</v>
      </c>
      <c r="N1091" s="14" t="s">
        <v>60</v>
      </c>
      <c r="O1091" s="14" t="s">
        <v>184</v>
      </c>
      <c r="P1091" s="14" t="s">
        <v>8248</v>
      </c>
      <c r="Q1091" s="14" t="s">
        <v>11</v>
      </c>
      <c r="R1091" s="3" t="s">
        <v>4170</v>
      </c>
      <c r="S1091" s="3">
        <f t="shared" si="56"/>
        <v>570</v>
      </c>
      <c r="T1091" s="3">
        <f t="shared" si="58"/>
        <v>17670</v>
      </c>
      <c r="U1091" s="3" t="s">
        <v>60</v>
      </c>
      <c r="V1091" s="14" t="s">
        <v>6</v>
      </c>
      <c r="W1091" s="14" t="s">
        <v>4287</v>
      </c>
      <c r="X1091" s="14" t="s">
        <v>60</v>
      </c>
    </row>
    <row r="1092" spans="1:24" ht="15" x14ac:dyDescent="0.3">
      <c r="A1092" s="3">
        <v>27</v>
      </c>
      <c r="B1092" s="3" t="s">
        <v>8249</v>
      </c>
      <c r="C1092" s="14" t="s">
        <v>26</v>
      </c>
      <c r="D1092" s="14" t="s">
        <v>2626</v>
      </c>
      <c r="E1092" s="14" t="s">
        <v>4216</v>
      </c>
      <c r="F1092" s="14" t="s">
        <v>2627</v>
      </c>
      <c r="G1092" s="14" t="s">
        <v>3</v>
      </c>
      <c r="H1092" s="14" t="s">
        <v>8250</v>
      </c>
      <c r="I1092" s="14" t="s">
        <v>2628</v>
      </c>
      <c r="J1092" s="14" t="s">
        <v>60</v>
      </c>
      <c r="K1092" s="14" t="s">
        <v>60</v>
      </c>
      <c r="L1092" s="14" t="s">
        <v>60</v>
      </c>
      <c r="M1092" s="14" t="s">
        <v>2629</v>
      </c>
      <c r="N1092" s="14" t="s">
        <v>60</v>
      </c>
      <c r="O1092" s="14" t="s">
        <v>485</v>
      </c>
      <c r="P1092" s="14" t="s">
        <v>8251</v>
      </c>
      <c r="Q1092" s="14" t="s">
        <v>11</v>
      </c>
      <c r="R1092" s="3" t="s">
        <v>4170</v>
      </c>
      <c r="S1092" s="3">
        <f t="shared" si="56"/>
        <v>770</v>
      </c>
      <c r="T1092" s="3">
        <f t="shared" si="58"/>
        <v>23870</v>
      </c>
      <c r="U1092" s="3" t="s">
        <v>60</v>
      </c>
      <c r="V1092" s="14" t="s">
        <v>6</v>
      </c>
      <c r="W1092" s="14" t="s">
        <v>8252</v>
      </c>
      <c r="X1092" s="14" t="s">
        <v>60</v>
      </c>
    </row>
    <row r="1093" spans="1:24" ht="15" x14ac:dyDescent="0.3">
      <c r="A1093" s="3">
        <v>28</v>
      </c>
      <c r="B1093" s="3" t="s">
        <v>8253</v>
      </c>
      <c r="C1093" s="14" t="s">
        <v>14</v>
      </c>
      <c r="D1093" s="14" t="s">
        <v>2630</v>
      </c>
      <c r="E1093" s="14" t="s">
        <v>8254</v>
      </c>
      <c r="F1093" s="14" t="s">
        <v>2631</v>
      </c>
      <c r="G1093" s="14" t="s">
        <v>3</v>
      </c>
      <c r="H1093" s="14" t="s">
        <v>8255</v>
      </c>
      <c r="I1093" s="14" t="s">
        <v>2632</v>
      </c>
      <c r="J1093" s="14" t="s">
        <v>60</v>
      </c>
      <c r="K1093" s="14" t="s">
        <v>60</v>
      </c>
      <c r="L1093" s="14" t="s">
        <v>60</v>
      </c>
      <c r="M1093" s="14" t="s">
        <v>2633</v>
      </c>
      <c r="N1093" s="14" t="s">
        <v>60</v>
      </c>
      <c r="O1093" s="14" t="s">
        <v>261</v>
      </c>
      <c r="P1093" s="14" t="s">
        <v>8256</v>
      </c>
      <c r="Q1093" s="14" t="s">
        <v>11</v>
      </c>
      <c r="R1093" s="3" t="s">
        <v>4170</v>
      </c>
      <c r="S1093" s="3">
        <f t="shared" si="56"/>
        <v>640</v>
      </c>
      <c r="T1093" s="3">
        <f t="shared" si="58"/>
        <v>19840</v>
      </c>
      <c r="U1093" s="3" t="s">
        <v>60</v>
      </c>
      <c r="V1093" s="14" t="s">
        <v>6</v>
      </c>
      <c r="W1093" s="14" t="s">
        <v>4202</v>
      </c>
      <c r="X1093" s="14" t="s">
        <v>60</v>
      </c>
    </row>
    <row r="1094" spans="1:24" ht="15" x14ac:dyDescent="0.3">
      <c r="A1094" s="3">
        <v>29</v>
      </c>
      <c r="B1094" s="3" t="s">
        <v>8257</v>
      </c>
      <c r="C1094" s="14" t="s">
        <v>14</v>
      </c>
      <c r="D1094" s="14" t="s">
        <v>2634</v>
      </c>
      <c r="E1094" s="14" t="s">
        <v>8258</v>
      </c>
      <c r="F1094" s="14" t="s">
        <v>2635</v>
      </c>
      <c r="G1094" s="14" t="s">
        <v>3</v>
      </c>
      <c r="H1094" s="14" t="s">
        <v>8259</v>
      </c>
      <c r="I1094" s="14" t="s">
        <v>2636</v>
      </c>
      <c r="J1094" s="14" t="s">
        <v>60</v>
      </c>
      <c r="K1094" s="14" t="s">
        <v>60</v>
      </c>
      <c r="L1094" s="14" t="s">
        <v>60</v>
      </c>
      <c r="M1094" s="14" t="s">
        <v>2637</v>
      </c>
      <c r="N1094" s="14" t="s">
        <v>60</v>
      </c>
      <c r="O1094" s="14" t="s">
        <v>261</v>
      </c>
      <c r="P1094" s="14" t="s">
        <v>8260</v>
      </c>
      <c r="Q1094" s="14" t="s">
        <v>185</v>
      </c>
      <c r="R1094" s="3" t="s">
        <v>4170</v>
      </c>
      <c r="S1094" s="3">
        <f t="shared" si="56"/>
        <v>640</v>
      </c>
      <c r="T1094" s="3">
        <f t="shared" si="58"/>
        <v>19840</v>
      </c>
      <c r="U1094" s="3" t="s">
        <v>60</v>
      </c>
      <c r="V1094" s="14" t="s">
        <v>6</v>
      </c>
      <c r="W1094" s="14" t="s">
        <v>4202</v>
      </c>
      <c r="X1094" s="14" t="s">
        <v>60</v>
      </c>
    </row>
    <row r="1095" spans="1:24" ht="15" x14ac:dyDescent="0.3">
      <c r="A1095" s="3">
        <v>30</v>
      </c>
      <c r="B1095" s="3" t="s">
        <v>8261</v>
      </c>
      <c r="C1095" s="14" t="s">
        <v>0</v>
      </c>
      <c r="D1095" s="14" t="s">
        <v>2740</v>
      </c>
      <c r="E1095" s="14" t="s">
        <v>4778</v>
      </c>
      <c r="F1095" s="14" t="s">
        <v>2741</v>
      </c>
      <c r="G1095" s="14" t="s">
        <v>3</v>
      </c>
      <c r="H1095" s="14" t="s">
        <v>8262</v>
      </c>
      <c r="I1095" s="14" t="s">
        <v>2742</v>
      </c>
      <c r="J1095" s="14" t="s">
        <v>60</v>
      </c>
      <c r="K1095" s="14" t="s">
        <v>60</v>
      </c>
      <c r="L1095" s="14" t="s">
        <v>60</v>
      </c>
      <c r="M1095" s="14" t="s">
        <v>2743</v>
      </c>
      <c r="N1095" s="14" t="s">
        <v>60</v>
      </c>
      <c r="O1095" s="14" t="s">
        <v>60</v>
      </c>
      <c r="P1095" s="14" t="s">
        <v>8263</v>
      </c>
      <c r="Q1095" s="14" t="s">
        <v>11</v>
      </c>
      <c r="R1095" s="3" t="s">
        <v>4170</v>
      </c>
      <c r="S1095" s="3">
        <f t="shared" si="56"/>
        <v>550</v>
      </c>
      <c r="T1095" s="3">
        <f t="shared" si="58"/>
        <v>17050</v>
      </c>
      <c r="U1095" s="3" t="s">
        <v>60</v>
      </c>
      <c r="V1095" s="14" t="s">
        <v>6</v>
      </c>
      <c r="W1095" s="14" t="s">
        <v>8213</v>
      </c>
      <c r="X1095" s="14" t="s">
        <v>60</v>
      </c>
    </row>
    <row r="1096" spans="1:24" ht="15.6" x14ac:dyDescent="0.3">
      <c r="A1096" s="3">
        <v>31</v>
      </c>
      <c r="B1096" s="25" t="s">
        <v>8264</v>
      </c>
      <c r="C1096" s="14" t="s">
        <v>0</v>
      </c>
      <c r="D1096" s="14" t="s">
        <v>8265</v>
      </c>
      <c r="E1096" s="14" t="s">
        <v>4746</v>
      </c>
      <c r="F1096" s="14" t="s">
        <v>8266</v>
      </c>
      <c r="G1096" s="14" t="s">
        <v>3</v>
      </c>
      <c r="H1096" s="14" t="s">
        <v>8267</v>
      </c>
      <c r="I1096" s="14" t="s">
        <v>8268</v>
      </c>
      <c r="J1096" s="14" t="s">
        <v>60</v>
      </c>
      <c r="K1096" s="14" t="s">
        <v>60</v>
      </c>
      <c r="L1096" s="14" t="s">
        <v>60</v>
      </c>
      <c r="M1096" s="14" t="s">
        <v>60</v>
      </c>
      <c r="N1096" s="14" t="s">
        <v>60</v>
      </c>
      <c r="O1096" s="14" t="s">
        <v>60</v>
      </c>
      <c r="P1096" s="14" t="s">
        <v>8269</v>
      </c>
      <c r="Q1096" s="14" t="s">
        <v>1120</v>
      </c>
      <c r="R1096" s="3" t="s">
        <v>5222</v>
      </c>
      <c r="S1096" s="3">
        <f t="shared" si="56"/>
        <v>550</v>
      </c>
      <c r="T1096" s="3">
        <f t="shared" si="58"/>
        <v>14300</v>
      </c>
      <c r="U1096" s="3" t="s">
        <v>60</v>
      </c>
      <c r="V1096" s="14" t="s">
        <v>6</v>
      </c>
      <c r="W1096" s="14" t="s">
        <v>7980</v>
      </c>
      <c r="X1096" s="14" t="s">
        <v>60</v>
      </c>
    </row>
    <row r="1097" spans="1:24" ht="15.6" x14ac:dyDescent="0.3">
      <c r="A1097" s="3">
        <v>32</v>
      </c>
      <c r="B1097" s="25" t="s">
        <v>8270</v>
      </c>
      <c r="C1097" s="14" t="s">
        <v>0</v>
      </c>
      <c r="D1097" s="14" t="s">
        <v>8271</v>
      </c>
      <c r="E1097" s="14" t="s">
        <v>8272</v>
      </c>
      <c r="F1097" s="14" t="s">
        <v>8273</v>
      </c>
      <c r="G1097" s="14" t="s">
        <v>3</v>
      </c>
      <c r="H1097" s="14" t="s">
        <v>8274</v>
      </c>
      <c r="I1097" s="14" t="s">
        <v>8275</v>
      </c>
      <c r="J1097" s="14" t="s">
        <v>60</v>
      </c>
      <c r="K1097" s="14" t="s">
        <v>60</v>
      </c>
      <c r="L1097" s="14" t="s">
        <v>60</v>
      </c>
      <c r="M1097" s="14" t="s">
        <v>60</v>
      </c>
      <c r="N1097" s="14" t="s">
        <v>60</v>
      </c>
      <c r="O1097" s="14" t="s">
        <v>60</v>
      </c>
      <c r="P1097" s="14" t="s">
        <v>8276</v>
      </c>
      <c r="Q1097" s="14" t="s">
        <v>11</v>
      </c>
      <c r="R1097" s="3" t="s">
        <v>4516</v>
      </c>
      <c r="S1097" s="3">
        <f t="shared" si="56"/>
        <v>550</v>
      </c>
      <c r="T1097" s="3">
        <f t="shared" si="58"/>
        <v>12650</v>
      </c>
      <c r="U1097" s="3" t="s">
        <v>60</v>
      </c>
      <c r="V1097" s="14" t="s">
        <v>6</v>
      </c>
      <c r="W1097" s="14" t="s">
        <v>4203</v>
      </c>
      <c r="X1097" s="14" t="s">
        <v>60</v>
      </c>
    </row>
    <row r="1098" spans="1:24" ht="15.6" x14ac:dyDescent="0.3">
      <c r="A1098" s="3">
        <v>33</v>
      </c>
      <c r="B1098" s="25" t="s">
        <v>8277</v>
      </c>
      <c r="C1098" s="14" t="s">
        <v>0</v>
      </c>
      <c r="D1098" s="14" t="s">
        <v>8278</v>
      </c>
      <c r="E1098" s="14" t="s">
        <v>4990</v>
      </c>
      <c r="F1098" s="14" t="s">
        <v>8279</v>
      </c>
      <c r="G1098" s="14" t="s">
        <v>3</v>
      </c>
      <c r="H1098" s="14" t="s">
        <v>8280</v>
      </c>
      <c r="I1098" s="14" t="s">
        <v>8281</v>
      </c>
      <c r="J1098" s="14" t="s">
        <v>60</v>
      </c>
      <c r="K1098" s="14" t="s">
        <v>60</v>
      </c>
      <c r="L1098" s="14" t="s">
        <v>60</v>
      </c>
      <c r="M1098" s="14" t="s">
        <v>8282</v>
      </c>
      <c r="N1098" s="14" t="s">
        <v>60</v>
      </c>
      <c r="O1098" s="14" t="s">
        <v>60</v>
      </c>
      <c r="P1098" s="14" t="s">
        <v>8283</v>
      </c>
      <c r="Q1098" s="14" t="s">
        <v>11</v>
      </c>
      <c r="R1098" s="3" t="s">
        <v>4241</v>
      </c>
      <c r="S1098" s="3">
        <f t="shared" si="56"/>
        <v>550</v>
      </c>
      <c r="T1098" s="3">
        <f t="shared" si="58"/>
        <v>10450</v>
      </c>
      <c r="U1098" s="3" t="s">
        <v>60</v>
      </c>
      <c r="V1098" s="14" t="s">
        <v>6</v>
      </c>
      <c r="W1098" s="14" t="s">
        <v>8284</v>
      </c>
      <c r="X1098" s="14" t="s">
        <v>60</v>
      </c>
    </row>
    <row r="1099" spans="1:24" ht="15.6" x14ac:dyDescent="0.3">
      <c r="A1099" s="3">
        <v>34</v>
      </c>
      <c r="B1099" s="25" t="s">
        <v>8285</v>
      </c>
      <c r="C1099" s="14" t="s">
        <v>0</v>
      </c>
      <c r="D1099" s="14" t="s">
        <v>8286</v>
      </c>
      <c r="E1099" s="14" t="s">
        <v>4293</v>
      </c>
      <c r="F1099" s="14" t="s">
        <v>8287</v>
      </c>
      <c r="G1099" s="14" t="s">
        <v>3</v>
      </c>
      <c r="H1099" s="14" t="s">
        <v>8288</v>
      </c>
      <c r="I1099" s="14" t="s">
        <v>8289</v>
      </c>
      <c r="J1099" s="14" t="s">
        <v>60</v>
      </c>
      <c r="K1099" s="14" t="s">
        <v>60</v>
      </c>
      <c r="L1099" s="14" t="s">
        <v>60</v>
      </c>
      <c r="M1099" s="14" t="s">
        <v>8290</v>
      </c>
      <c r="N1099" s="14" t="s">
        <v>60</v>
      </c>
      <c r="O1099" s="14" t="s">
        <v>60</v>
      </c>
      <c r="P1099" s="14" t="s">
        <v>8291</v>
      </c>
      <c r="Q1099" s="14" t="s">
        <v>11</v>
      </c>
      <c r="R1099" s="3" t="s">
        <v>4533</v>
      </c>
      <c r="S1099" s="3">
        <f t="shared" si="56"/>
        <v>550</v>
      </c>
      <c r="T1099" s="3">
        <f t="shared" si="58"/>
        <v>7700</v>
      </c>
      <c r="U1099" s="3" t="s">
        <v>8292</v>
      </c>
      <c r="V1099" s="14" t="s">
        <v>6</v>
      </c>
      <c r="W1099" s="14" t="s">
        <v>4870</v>
      </c>
      <c r="X1099" s="14" t="s">
        <v>60</v>
      </c>
    </row>
    <row r="1100" spans="1:24" ht="15.6" x14ac:dyDescent="0.3">
      <c r="A1100" s="26" t="s">
        <v>60</v>
      </c>
      <c r="B1100" s="26" t="s">
        <v>60</v>
      </c>
      <c r="C1100" s="27" t="s">
        <v>60</v>
      </c>
      <c r="D1100" s="27" t="s">
        <v>60</v>
      </c>
      <c r="E1100" s="27" t="s">
        <v>60</v>
      </c>
      <c r="F1100" s="27" t="s">
        <v>60</v>
      </c>
      <c r="G1100" s="27" t="s">
        <v>60</v>
      </c>
      <c r="H1100" s="27" t="s">
        <v>60</v>
      </c>
      <c r="I1100" s="27" t="s">
        <v>60</v>
      </c>
      <c r="J1100" s="27" t="s">
        <v>60</v>
      </c>
      <c r="K1100" s="27" t="s">
        <v>60</v>
      </c>
      <c r="L1100" s="27" t="s">
        <v>60</v>
      </c>
      <c r="M1100" s="27" t="s">
        <v>60</v>
      </c>
      <c r="N1100" s="27" t="s">
        <v>60</v>
      </c>
      <c r="O1100" s="27" t="s">
        <v>60</v>
      </c>
      <c r="P1100" s="27" t="s">
        <v>60</v>
      </c>
      <c r="Q1100" s="27" t="s">
        <v>60</v>
      </c>
      <c r="R1100" s="35" t="s">
        <v>2009</v>
      </c>
      <c r="S1100" s="35" t="s">
        <v>60</v>
      </c>
      <c r="T1100" s="26">
        <f>SUM(T1065:T1099)</f>
        <v>594520</v>
      </c>
      <c r="U1100" s="26" t="s">
        <v>8293</v>
      </c>
      <c r="V1100" s="27" t="s">
        <v>60</v>
      </c>
      <c r="W1100" s="27" t="s">
        <v>60</v>
      </c>
      <c r="X1100" s="27" t="s">
        <v>60</v>
      </c>
    </row>
    <row r="1101" spans="1:24" ht="15.6" x14ac:dyDescent="0.3">
      <c r="A1101" s="34" t="s">
        <v>8294</v>
      </c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</row>
    <row r="1102" spans="1:24" ht="109.2" x14ac:dyDescent="0.3">
      <c r="A1102" s="23" t="s">
        <v>42</v>
      </c>
      <c r="B1102" s="23" t="s">
        <v>43</v>
      </c>
      <c r="C1102" s="24" t="s">
        <v>44</v>
      </c>
      <c r="D1102" s="24" t="s">
        <v>4154</v>
      </c>
      <c r="E1102" s="24" t="s">
        <v>4155</v>
      </c>
      <c r="F1102" s="24" t="s">
        <v>4156</v>
      </c>
      <c r="G1102" s="24" t="s">
        <v>45</v>
      </c>
      <c r="H1102" s="24" t="s">
        <v>4157</v>
      </c>
      <c r="I1102" s="24" t="s">
        <v>46</v>
      </c>
      <c r="J1102" s="24" t="s">
        <v>4158</v>
      </c>
      <c r="K1102" s="24" t="s">
        <v>4159</v>
      </c>
      <c r="L1102" s="24" t="s">
        <v>4160</v>
      </c>
      <c r="M1102" s="24" t="s">
        <v>4161</v>
      </c>
      <c r="N1102" s="24" t="s">
        <v>47</v>
      </c>
      <c r="O1102" s="24" t="s">
        <v>48</v>
      </c>
      <c r="P1102" s="24" t="s">
        <v>49</v>
      </c>
      <c r="Q1102" s="24" t="s">
        <v>50</v>
      </c>
      <c r="R1102" s="23" t="s">
        <v>4162</v>
      </c>
      <c r="S1102" s="23" t="s">
        <v>4163</v>
      </c>
      <c r="T1102" s="23" t="s">
        <v>4164</v>
      </c>
      <c r="U1102" s="23" t="s">
        <v>4165</v>
      </c>
      <c r="V1102" s="24" t="s">
        <v>51</v>
      </c>
      <c r="W1102" s="24" t="s">
        <v>52</v>
      </c>
      <c r="X1102" s="24" t="s">
        <v>53</v>
      </c>
    </row>
    <row r="1103" spans="1:24" ht="15" x14ac:dyDescent="0.3">
      <c r="A1103" s="3">
        <v>1</v>
      </c>
      <c r="B1103" s="3" t="s">
        <v>8295</v>
      </c>
      <c r="C1103" s="14" t="s">
        <v>69</v>
      </c>
      <c r="D1103" s="14" t="s">
        <v>2708</v>
      </c>
      <c r="E1103" s="14" t="s">
        <v>4319</v>
      </c>
      <c r="F1103" s="14" t="s">
        <v>2709</v>
      </c>
      <c r="G1103" s="14" t="s">
        <v>3</v>
      </c>
      <c r="H1103" s="14" t="s">
        <v>8296</v>
      </c>
      <c r="I1103" s="14" t="s">
        <v>2710</v>
      </c>
      <c r="J1103" s="14" t="s">
        <v>60</v>
      </c>
      <c r="K1103" s="14" t="s">
        <v>60</v>
      </c>
      <c r="L1103" s="14" t="s">
        <v>60</v>
      </c>
      <c r="M1103" s="14" t="s">
        <v>2711</v>
      </c>
      <c r="N1103" s="14" t="s">
        <v>60</v>
      </c>
      <c r="O1103" s="14" t="s">
        <v>60</v>
      </c>
      <c r="P1103" s="14" t="s">
        <v>8297</v>
      </c>
      <c r="Q1103" s="14" t="s">
        <v>11</v>
      </c>
      <c r="R1103" s="3" t="s">
        <v>4170</v>
      </c>
      <c r="S1103" s="3">
        <f t="shared" ref="S1103:S1137" si="59">IF(RIGHT(C1103,3)="MAZ",550,IF(RIGHT(C1103,4)="MATE",570,IF(RIGHT(C1103,7)="SKD-III",640,IF(RIGHT(C1103,6)="SKD-II",770,IF(RIGHT(C1103,5)="SKD-I",900,IF(RIGHT(C1103,5)="CPDVR",770,""))))))</f>
        <v>570</v>
      </c>
      <c r="T1103" s="3">
        <f t="shared" ref="T1103:T1137" si="60">R1103*S1103</f>
        <v>17670</v>
      </c>
      <c r="U1103" s="3" t="s">
        <v>60</v>
      </c>
      <c r="V1103" s="14" t="s">
        <v>6</v>
      </c>
      <c r="W1103" s="14" t="s">
        <v>4287</v>
      </c>
      <c r="X1103" s="14" t="s">
        <v>60</v>
      </c>
    </row>
    <row r="1104" spans="1:24" ht="15" x14ac:dyDescent="0.3">
      <c r="A1104" s="3">
        <v>2</v>
      </c>
      <c r="B1104" s="3" t="s">
        <v>8298</v>
      </c>
      <c r="C1104" s="14" t="s">
        <v>0</v>
      </c>
      <c r="D1104" s="14" t="s">
        <v>2744</v>
      </c>
      <c r="E1104" s="14" t="s">
        <v>4319</v>
      </c>
      <c r="F1104" s="14" t="s">
        <v>2745</v>
      </c>
      <c r="G1104" s="14" t="s">
        <v>3</v>
      </c>
      <c r="H1104" s="14" t="s">
        <v>8299</v>
      </c>
      <c r="I1104" s="14" t="s">
        <v>2746</v>
      </c>
      <c r="J1104" s="14" t="s">
        <v>60</v>
      </c>
      <c r="K1104" s="14" t="s">
        <v>60</v>
      </c>
      <c r="L1104" s="14" t="s">
        <v>60</v>
      </c>
      <c r="M1104" s="14" t="s">
        <v>2747</v>
      </c>
      <c r="N1104" s="14" t="s">
        <v>60</v>
      </c>
      <c r="O1104" s="14" t="s">
        <v>60</v>
      </c>
      <c r="P1104" s="14" t="s">
        <v>8300</v>
      </c>
      <c r="Q1104" s="14" t="s">
        <v>11</v>
      </c>
      <c r="R1104" s="3" t="s">
        <v>4170</v>
      </c>
      <c r="S1104" s="3">
        <f t="shared" si="59"/>
        <v>550</v>
      </c>
      <c r="T1104" s="3">
        <f t="shared" si="60"/>
        <v>17050</v>
      </c>
      <c r="U1104" s="3" t="s">
        <v>60</v>
      </c>
      <c r="V1104" s="14" t="s">
        <v>6</v>
      </c>
      <c r="W1104" s="14" t="s">
        <v>4287</v>
      </c>
      <c r="X1104" s="14" t="s">
        <v>60</v>
      </c>
    </row>
    <row r="1105" spans="1:24" ht="15" x14ac:dyDescent="0.3">
      <c r="A1105" s="3">
        <v>3</v>
      </c>
      <c r="B1105" s="3" t="s">
        <v>8301</v>
      </c>
      <c r="C1105" s="14" t="s">
        <v>0</v>
      </c>
      <c r="D1105" s="14" t="s">
        <v>2748</v>
      </c>
      <c r="E1105" s="14" t="s">
        <v>4367</v>
      </c>
      <c r="F1105" s="14" t="s">
        <v>2749</v>
      </c>
      <c r="G1105" s="14" t="s">
        <v>3</v>
      </c>
      <c r="H1105" s="14" t="s">
        <v>8302</v>
      </c>
      <c r="I1105" s="14" t="s">
        <v>2750</v>
      </c>
      <c r="J1105" s="14" t="s">
        <v>60</v>
      </c>
      <c r="K1105" s="14" t="s">
        <v>60</v>
      </c>
      <c r="L1105" s="14" t="s">
        <v>60</v>
      </c>
      <c r="M1105" s="14" t="s">
        <v>2751</v>
      </c>
      <c r="N1105" s="14" t="s">
        <v>60</v>
      </c>
      <c r="O1105" s="14" t="s">
        <v>60</v>
      </c>
      <c r="P1105" s="14" t="s">
        <v>8303</v>
      </c>
      <c r="Q1105" s="14" t="s">
        <v>11</v>
      </c>
      <c r="R1105" s="3" t="s">
        <v>4381</v>
      </c>
      <c r="S1105" s="3">
        <f t="shared" si="59"/>
        <v>550</v>
      </c>
      <c r="T1105" s="3">
        <f t="shared" si="60"/>
        <v>15400</v>
      </c>
      <c r="U1105" s="3" t="s">
        <v>60</v>
      </c>
      <c r="V1105" s="14" t="s">
        <v>6</v>
      </c>
      <c r="W1105" s="14" t="s">
        <v>4287</v>
      </c>
      <c r="X1105" s="14" t="s">
        <v>60</v>
      </c>
    </row>
    <row r="1106" spans="1:24" ht="15" x14ac:dyDescent="0.3">
      <c r="A1106" s="3">
        <v>4</v>
      </c>
      <c r="B1106" s="3" t="s">
        <v>8304</v>
      </c>
      <c r="C1106" s="14" t="s">
        <v>0</v>
      </c>
      <c r="D1106" s="14" t="s">
        <v>2752</v>
      </c>
      <c r="E1106" s="14" t="s">
        <v>4200</v>
      </c>
      <c r="F1106" s="14" t="s">
        <v>2753</v>
      </c>
      <c r="G1106" s="14" t="s">
        <v>3</v>
      </c>
      <c r="H1106" s="14" t="s">
        <v>8305</v>
      </c>
      <c r="I1106" s="14" t="s">
        <v>2754</v>
      </c>
      <c r="J1106" s="14" t="s">
        <v>60</v>
      </c>
      <c r="K1106" s="14" t="s">
        <v>60</v>
      </c>
      <c r="L1106" s="14" t="s">
        <v>60</v>
      </c>
      <c r="M1106" s="14" t="s">
        <v>2755</v>
      </c>
      <c r="N1106" s="14" t="s">
        <v>60</v>
      </c>
      <c r="O1106" s="14" t="s">
        <v>60</v>
      </c>
      <c r="P1106" s="14" t="s">
        <v>8306</v>
      </c>
      <c r="Q1106" s="14" t="s">
        <v>11</v>
      </c>
      <c r="R1106" s="3" t="s">
        <v>4170</v>
      </c>
      <c r="S1106" s="3">
        <f t="shared" si="59"/>
        <v>550</v>
      </c>
      <c r="T1106" s="3">
        <f t="shared" si="60"/>
        <v>17050</v>
      </c>
      <c r="U1106" s="3" t="s">
        <v>60</v>
      </c>
      <c r="V1106" s="14" t="s">
        <v>6</v>
      </c>
      <c r="W1106" s="14" t="s">
        <v>6018</v>
      </c>
      <c r="X1106" s="14" t="s">
        <v>60</v>
      </c>
    </row>
    <row r="1107" spans="1:24" ht="15" x14ac:dyDescent="0.3">
      <c r="A1107" s="3">
        <v>5</v>
      </c>
      <c r="B1107" s="3" t="s">
        <v>8307</v>
      </c>
      <c r="C1107" s="14" t="s">
        <v>0</v>
      </c>
      <c r="D1107" s="14" t="s">
        <v>513</v>
      </c>
      <c r="E1107" s="14" t="s">
        <v>8308</v>
      </c>
      <c r="F1107" s="14" t="s">
        <v>2756</v>
      </c>
      <c r="G1107" s="14" t="s">
        <v>3</v>
      </c>
      <c r="H1107" s="14" t="s">
        <v>8309</v>
      </c>
      <c r="I1107" s="14" t="s">
        <v>2757</v>
      </c>
      <c r="J1107" s="14" t="s">
        <v>60</v>
      </c>
      <c r="K1107" s="14" t="s">
        <v>60</v>
      </c>
      <c r="L1107" s="14" t="s">
        <v>60</v>
      </c>
      <c r="M1107" s="14" t="s">
        <v>2758</v>
      </c>
      <c r="N1107" s="14" t="s">
        <v>60</v>
      </c>
      <c r="O1107" s="14" t="s">
        <v>60</v>
      </c>
      <c r="P1107" s="14" t="s">
        <v>8310</v>
      </c>
      <c r="Q1107" s="14" t="s">
        <v>11</v>
      </c>
      <c r="R1107" s="3" t="s">
        <v>4170</v>
      </c>
      <c r="S1107" s="3">
        <f t="shared" si="59"/>
        <v>550</v>
      </c>
      <c r="T1107" s="3">
        <f t="shared" si="60"/>
        <v>17050</v>
      </c>
      <c r="U1107" s="3" t="s">
        <v>60</v>
      </c>
      <c r="V1107" s="14" t="s">
        <v>6</v>
      </c>
      <c r="W1107" s="14" t="s">
        <v>4287</v>
      </c>
      <c r="X1107" s="14" t="s">
        <v>60</v>
      </c>
    </row>
    <row r="1108" spans="1:24" ht="15" x14ac:dyDescent="0.3">
      <c r="A1108" s="3">
        <v>6</v>
      </c>
      <c r="B1108" s="3" t="s">
        <v>8311</v>
      </c>
      <c r="C1108" s="14" t="s">
        <v>0</v>
      </c>
      <c r="D1108" s="14" t="s">
        <v>2759</v>
      </c>
      <c r="E1108" s="14" t="s">
        <v>8312</v>
      </c>
      <c r="F1108" s="14" t="s">
        <v>2760</v>
      </c>
      <c r="G1108" s="14" t="s">
        <v>3</v>
      </c>
      <c r="H1108" s="14" t="s">
        <v>8313</v>
      </c>
      <c r="I1108" s="14" t="s">
        <v>2761</v>
      </c>
      <c r="J1108" s="14" t="s">
        <v>60</v>
      </c>
      <c r="K1108" s="14" t="s">
        <v>60</v>
      </c>
      <c r="L1108" s="14" t="s">
        <v>60</v>
      </c>
      <c r="M1108" s="14" t="s">
        <v>2762</v>
      </c>
      <c r="N1108" s="14" t="s">
        <v>60</v>
      </c>
      <c r="O1108" s="14" t="s">
        <v>60</v>
      </c>
      <c r="P1108" s="14" t="s">
        <v>8314</v>
      </c>
      <c r="Q1108" s="14" t="s">
        <v>11</v>
      </c>
      <c r="R1108" s="3" t="s">
        <v>4170</v>
      </c>
      <c r="S1108" s="3">
        <f t="shared" si="59"/>
        <v>550</v>
      </c>
      <c r="T1108" s="3">
        <f t="shared" si="60"/>
        <v>17050</v>
      </c>
      <c r="U1108" s="3" t="s">
        <v>60</v>
      </c>
      <c r="V1108" s="14" t="s">
        <v>6</v>
      </c>
      <c r="W1108" s="14" t="s">
        <v>6033</v>
      </c>
      <c r="X1108" s="14" t="s">
        <v>60</v>
      </c>
    </row>
    <row r="1109" spans="1:24" ht="15" x14ac:dyDescent="0.3">
      <c r="A1109" s="3">
        <v>7</v>
      </c>
      <c r="B1109" s="3" t="s">
        <v>8315</v>
      </c>
      <c r="C1109" s="14" t="s">
        <v>0</v>
      </c>
      <c r="D1109" s="14" t="s">
        <v>2763</v>
      </c>
      <c r="E1109" s="14" t="s">
        <v>4440</v>
      </c>
      <c r="F1109" s="14" t="s">
        <v>2764</v>
      </c>
      <c r="G1109" s="14" t="s">
        <v>3</v>
      </c>
      <c r="H1109" s="14" t="s">
        <v>8316</v>
      </c>
      <c r="I1109" s="14" t="s">
        <v>2765</v>
      </c>
      <c r="J1109" s="14" t="s">
        <v>60</v>
      </c>
      <c r="K1109" s="14" t="s">
        <v>60</v>
      </c>
      <c r="L1109" s="14" t="s">
        <v>60</v>
      </c>
      <c r="M1109" s="14" t="s">
        <v>2766</v>
      </c>
      <c r="N1109" s="14" t="s">
        <v>60</v>
      </c>
      <c r="O1109" s="14" t="s">
        <v>60</v>
      </c>
      <c r="P1109" s="14" t="s">
        <v>8317</v>
      </c>
      <c r="Q1109" s="14" t="s">
        <v>11</v>
      </c>
      <c r="R1109" s="3" t="s">
        <v>4170</v>
      </c>
      <c r="S1109" s="3">
        <f t="shared" si="59"/>
        <v>550</v>
      </c>
      <c r="T1109" s="3">
        <f t="shared" si="60"/>
        <v>17050</v>
      </c>
      <c r="U1109" s="3" t="s">
        <v>60</v>
      </c>
      <c r="V1109" s="14" t="s">
        <v>6</v>
      </c>
      <c r="W1109" s="14" t="s">
        <v>8213</v>
      </c>
      <c r="X1109" s="14" t="s">
        <v>60</v>
      </c>
    </row>
    <row r="1110" spans="1:24" ht="15" x14ac:dyDescent="0.3">
      <c r="A1110" s="3">
        <v>8</v>
      </c>
      <c r="B1110" s="3" t="s">
        <v>8318</v>
      </c>
      <c r="C1110" s="14" t="s">
        <v>0</v>
      </c>
      <c r="D1110" s="14" t="s">
        <v>2767</v>
      </c>
      <c r="E1110" s="14" t="s">
        <v>4216</v>
      </c>
      <c r="F1110" s="14" t="s">
        <v>1618</v>
      </c>
      <c r="G1110" s="14" t="s">
        <v>3</v>
      </c>
      <c r="H1110" s="14" t="s">
        <v>8319</v>
      </c>
      <c r="I1110" s="14" t="s">
        <v>2768</v>
      </c>
      <c r="J1110" s="14" t="s">
        <v>60</v>
      </c>
      <c r="K1110" s="14" t="s">
        <v>60</v>
      </c>
      <c r="L1110" s="14" t="s">
        <v>60</v>
      </c>
      <c r="M1110" s="14" t="s">
        <v>2769</v>
      </c>
      <c r="N1110" s="14" t="s">
        <v>60</v>
      </c>
      <c r="O1110" s="14" t="s">
        <v>60</v>
      </c>
      <c r="P1110" s="14" t="s">
        <v>8320</v>
      </c>
      <c r="Q1110" s="14" t="s">
        <v>11</v>
      </c>
      <c r="R1110" s="3" t="s">
        <v>4170</v>
      </c>
      <c r="S1110" s="3">
        <f t="shared" si="59"/>
        <v>550</v>
      </c>
      <c r="T1110" s="3">
        <f t="shared" si="60"/>
        <v>17050</v>
      </c>
      <c r="U1110" s="3" t="s">
        <v>60</v>
      </c>
      <c r="V1110" s="14" t="s">
        <v>6</v>
      </c>
      <c r="W1110" s="14" t="s">
        <v>6038</v>
      </c>
      <c r="X1110" s="14" t="s">
        <v>60</v>
      </c>
    </row>
    <row r="1111" spans="1:24" ht="15" x14ac:dyDescent="0.3">
      <c r="A1111" s="3">
        <v>9</v>
      </c>
      <c r="B1111" s="3" t="s">
        <v>8321</v>
      </c>
      <c r="C1111" s="14" t="s">
        <v>2079</v>
      </c>
      <c r="D1111" s="14" t="s">
        <v>2770</v>
      </c>
      <c r="E1111" s="14" t="s">
        <v>4367</v>
      </c>
      <c r="F1111" s="14" t="s">
        <v>2771</v>
      </c>
      <c r="G1111" s="14" t="s">
        <v>3</v>
      </c>
      <c r="H1111" s="14" t="s">
        <v>2772</v>
      </c>
      <c r="I1111" s="14" t="s">
        <v>2773</v>
      </c>
      <c r="J1111" s="14" t="s">
        <v>60</v>
      </c>
      <c r="K1111" s="14" t="s">
        <v>60</v>
      </c>
      <c r="L1111" s="14" t="s">
        <v>60</v>
      </c>
      <c r="M1111" s="14" t="s">
        <v>2774</v>
      </c>
      <c r="N1111" s="14" t="s">
        <v>60</v>
      </c>
      <c r="O1111" s="14" t="s">
        <v>60</v>
      </c>
      <c r="P1111" s="14" t="s">
        <v>8322</v>
      </c>
      <c r="Q1111" s="14" t="s">
        <v>11</v>
      </c>
      <c r="R1111" s="3" t="s">
        <v>4170</v>
      </c>
      <c r="S1111" s="3">
        <f t="shared" si="59"/>
        <v>640</v>
      </c>
      <c r="T1111" s="3">
        <f t="shared" si="60"/>
        <v>19840</v>
      </c>
      <c r="U1111" s="3" t="s">
        <v>60</v>
      </c>
      <c r="V1111" s="14" t="s">
        <v>6</v>
      </c>
      <c r="W1111" s="14" t="s">
        <v>4287</v>
      </c>
      <c r="X1111" s="14" t="s">
        <v>60</v>
      </c>
    </row>
    <row r="1112" spans="1:24" ht="15" x14ac:dyDescent="0.3">
      <c r="A1112" s="3">
        <v>10</v>
      </c>
      <c r="B1112" s="3" t="s">
        <v>8323</v>
      </c>
      <c r="C1112" s="14" t="s">
        <v>0</v>
      </c>
      <c r="D1112" s="14" t="s">
        <v>2775</v>
      </c>
      <c r="E1112" s="14" t="s">
        <v>4778</v>
      </c>
      <c r="F1112" s="14" t="s">
        <v>2428</v>
      </c>
      <c r="G1112" s="14" t="s">
        <v>3</v>
      </c>
      <c r="H1112" s="14" t="s">
        <v>2776</v>
      </c>
      <c r="I1112" s="14" t="s">
        <v>2777</v>
      </c>
      <c r="J1112" s="14" t="s">
        <v>60</v>
      </c>
      <c r="K1112" s="14" t="s">
        <v>60</v>
      </c>
      <c r="L1112" s="14" t="s">
        <v>60</v>
      </c>
      <c r="M1112" s="14" t="s">
        <v>2778</v>
      </c>
      <c r="N1112" s="14" t="s">
        <v>60</v>
      </c>
      <c r="O1112" s="14" t="s">
        <v>60</v>
      </c>
      <c r="P1112" s="14" t="s">
        <v>8324</v>
      </c>
      <c r="Q1112" s="14" t="s">
        <v>11</v>
      </c>
      <c r="R1112" s="3" t="s">
        <v>4381</v>
      </c>
      <c r="S1112" s="3">
        <f t="shared" si="59"/>
        <v>550</v>
      </c>
      <c r="T1112" s="3">
        <f t="shared" si="60"/>
        <v>15400</v>
      </c>
      <c r="U1112" s="3" t="s">
        <v>60</v>
      </c>
      <c r="V1112" s="14" t="s">
        <v>6</v>
      </c>
      <c r="W1112" s="14" t="s">
        <v>5291</v>
      </c>
      <c r="X1112" s="14" t="s">
        <v>60</v>
      </c>
    </row>
    <row r="1113" spans="1:24" ht="15" x14ac:dyDescent="0.3">
      <c r="A1113" s="3">
        <v>11</v>
      </c>
      <c r="B1113" s="3" t="s">
        <v>8325</v>
      </c>
      <c r="C1113" s="14" t="s">
        <v>91</v>
      </c>
      <c r="D1113" s="14" t="s">
        <v>2780</v>
      </c>
      <c r="E1113" s="14" t="s">
        <v>8326</v>
      </c>
      <c r="F1113" s="14" t="s">
        <v>2781</v>
      </c>
      <c r="G1113" s="14" t="s">
        <v>3</v>
      </c>
      <c r="H1113" s="14" t="s">
        <v>8327</v>
      </c>
      <c r="I1113" s="14" t="s">
        <v>2782</v>
      </c>
      <c r="J1113" s="14" t="s">
        <v>60</v>
      </c>
      <c r="K1113" s="14" t="s">
        <v>60</v>
      </c>
      <c r="L1113" s="14" t="s">
        <v>60</v>
      </c>
      <c r="M1113" s="14" t="s">
        <v>60</v>
      </c>
      <c r="N1113" s="14" t="s">
        <v>60</v>
      </c>
      <c r="O1113" s="14" t="s">
        <v>60</v>
      </c>
      <c r="P1113" s="14" t="s">
        <v>8328</v>
      </c>
      <c r="Q1113" s="14" t="s">
        <v>11</v>
      </c>
      <c r="R1113" s="3" t="s">
        <v>4170</v>
      </c>
      <c r="S1113" s="3">
        <f t="shared" si="59"/>
        <v>770</v>
      </c>
      <c r="T1113" s="3">
        <f t="shared" si="60"/>
        <v>23870</v>
      </c>
      <c r="U1113" s="3" t="s">
        <v>60</v>
      </c>
      <c r="V1113" s="14" t="s">
        <v>6</v>
      </c>
      <c r="W1113" s="14" t="s">
        <v>4287</v>
      </c>
      <c r="X1113" s="14" t="s">
        <v>60</v>
      </c>
    </row>
    <row r="1114" spans="1:24" ht="15" x14ac:dyDescent="0.3">
      <c r="A1114" s="3">
        <v>12</v>
      </c>
      <c r="B1114" s="3" t="s">
        <v>8329</v>
      </c>
      <c r="C1114" s="14" t="s">
        <v>14</v>
      </c>
      <c r="D1114" s="14" t="s">
        <v>2783</v>
      </c>
      <c r="E1114" s="14" t="s">
        <v>4658</v>
      </c>
      <c r="F1114" s="14" t="s">
        <v>2346</v>
      </c>
      <c r="G1114" s="14" t="s">
        <v>3</v>
      </c>
      <c r="H1114" s="14" t="s">
        <v>8330</v>
      </c>
      <c r="I1114" s="14" t="s">
        <v>2784</v>
      </c>
      <c r="J1114" s="14" t="s">
        <v>60</v>
      </c>
      <c r="K1114" s="14" t="s">
        <v>60</v>
      </c>
      <c r="L1114" s="14" t="s">
        <v>60</v>
      </c>
      <c r="M1114" s="14" t="s">
        <v>2785</v>
      </c>
      <c r="N1114" s="14" t="s">
        <v>60</v>
      </c>
      <c r="O1114" s="14" t="s">
        <v>60</v>
      </c>
      <c r="P1114" s="14" t="s">
        <v>8331</v>
      </c>
      <c r="Q1114" s="14" t="s">
        <v>11</v>
      </c>
      <c r="R1114" s="3" t="s">
        <v>4170</v>
      </c>
      <c r="S1114" s="3">
        <f t="shared" si="59"/>
        <v>640</v>
      </c>
      <c r="T1114" s="3">
        <f t="shared" si="60"/>
        <v>19840</v>
      </c>
      <c r="U1114" s="3" t="s">
        <v>60</v>
      </c>
      <c r="V1114" s="14" t="s">
        <v>6</v>
      </c>
      <c r="W1114" s="14" t="s">
        <v>6053</v>
      </c>
      <c r="X1114" s="14" t="s">
        <v>60</v>
      </c>
    </row>
    <row r="1115" spans="1:24" ht="15" x14ac:dyDescent="0.3">
      <c r="A1115" s="3">
        <v>13</v>
      </c>
      <c r="B1115" s="3" t="s">
        <v>8332</v>
      </c>
      <c r="C1115" s="14" t="s">
        <v>8333</v>
      </c>
      <c r="D1115" s="14" t="s">
        <v>2786</v>
      </c>
      <c r="E1115" s="14" t="s">
        <v>8334</v>
      </c>
      <c r="F1115" s="14" t="s">
        <v>2787</v>
      </c>
      <c r="G1115" s="14" t="s">
        <v>3</v>
      </c>
      <c r="H1115" s="14" t="s">
        <v>2788</v>
      </c>
      <c r="I1115" s="14" t="s">
        <v>2789</v>
      </c>
      <c r="J1115" s="14" t="s">
        <v>60</v>
      </c>
      <c r="K1115" s="14" t="s">
        <v>60</v>
      </c>
      <c r="L1115" s="14" t="s">
        <v>60</v>
      </c>
      <c r="M1115" s="14" t="s">
        <v>2790</v>
      </c>
      <c r="N1115" s="14" t="s">
        <v>60</v>
      </c>
      <c r="O1115" s="14" t="s">
        <v>60</v>
      </c>
      <c r="P1115" s="14" t="s">
        <v>8335</v>
      </c>
      <c r="Q1115" s="14" t="s">
        <v>2791</v>
      </c>
      <c r="R1115" s="3" t="s">
        <v>4170</v>
      </c>
      <c r="S1115" s="3">
        <f t="shared" si="59"/>
        <v>900</v>
      </c>
      <c r="T1115" s="3">
        <f t="shared" si="60"/>
        <v>27900</v>
      </c>
      <c r="U1115" s="3" t="s">
        <v>60</v>
      </c>
      <c r="V1115" s="14" t="s">
        <v>6</v>
      </c>
      <c r="W1115" s="14" t="s">
        <v>6053</v>
      </c>
      <c r="X1115" s="14" t="s">
        <v>60</v>
      </c>
    </row>
    <row r="1116" spans="1:24" ht="15" x14ac:dyDescent="0.3">
      <c r="A1116" s="3">
        <v>14</v>
      </c>
      <c r="B1116" s="3" t="s">
        <v>8336</v>
      </c>
      <c r="C1116" s="14" t="s">
        <v>0</v>
      </c>
      <c r="D1116" s="14" t="s">
        <v>2792</v>
      </c>
      <c r="E1116" s="14" t="s">
        <v>8337</v>
      </c>
      <c r="F1116" s="14" t="s">
        <v>2627</v>
      </c>
      <c r="G1116" s="14" t="s">
        <v>3</v>
      </c>
      <c r="H1116" s="14" t="s">
        <v>8338</v>
      </c>
      <c r="I1116" s="14" t="s">
        <v>2793</v>
      </c>
      <c r="J1116" s="14" t="s">
        <v>60</v>
      </c>
      <c r="K1116" s="14" t="s">
        <v>60</v>
      </c>
      <c r="L1116" s="14" t="s">
        <v>60</v>
      </c>
      <c r="M1116" s="14" t="s">
        <v>2794</v>
      </c>
      <c r="N1116" s="14" t="s">
        <v>60</v>
      </c>
      <c r="O1116" s="14" t="s">
        <v>60</v>
      </c>
      <c r="P1116" s="14" t="s">
        <v>8339</v>
      </c>
      <c r="Q1116" s="14" t="s">
        <v>11</v>
      </c>
      <c r="R1116" s="3" t="s">
        <v>4170</v>
      </c>
      <c r="S1116" s="3">
        <f t="shared" si="59"/>
        <v>550</v>
      </c>
      <c r="T1116" s="3">
        <f t="shared" si="60"/>
        <v>17050</v>
      </c>
      <c r="U1116" s="3" t="s">
        <v>60</v>
      </c>
      <c r="V1116" s="14" t="s">
        <v>6</v>
      </c>
      <c r="W1116" s="14" t="s">
        <v>4251</v>
      </c>
      <c r="X1116" s="14" t="s">
        <v>60</v>
      </c>
    </row>
    <row r="1117" spans="1:24" ht="15" x14ac:dyDescent="0.3">
      <c r="A1117" s="3">
        <v>15</v>
      </c>
      <c r="B1117" s="3" t="s">
        <v>8340</v>
      </c>
      <c r="C1117" s="14" t="s">
        <v>0</v>
      </c>
      <c r="D1117" s="14" t="s">
        <v>2795</v>
      </c>
      <c r="E1117" s="14" t="s">
        <v>4293</v>
      </c>
      <c r="F1117" s="14" t="s">
        <v>2796</v>
      </c>
      <c r="G1117" s="14" t="s">
        <v>3</v>
      </c>
      <c r="H1117" s="14" t="s">
        <v>8341</v>
      </c>
      <c r="I1117" s="14" t="s">
        <v>2797</v>
      </c>
      <c r="J1117" s="14" t="s">
        <v>60</v>
      </c>
      <c r="K1117" s="14" t="s">
        <v>60</v>
      </c>
      <c r="L1117" s="14" t="s">
        <v>60</v>
      </c>
      <c r="M1117" s="14" t="s">
        <v>2798</v>
      </c>
      <c r="N1117" s="14" t="s">
        <v>60</v>
      </c>
      <c r="O1117" s="14" t="s">
        <v>60</v>
      </c>
      <c r="P1117" s="14" t="s">
        <v>8342</v>
      </c>
      <c r="Q1117" s="14" t="s">
        <v>11</v>
      </c>
      <c r="R1117" s="3" t="s">
        <v>4170</v>
      </c>
      <c r="S1117" s="3">
        <f t="shared" si="59"/>
        <v>550</v>
      </c>
      <c r="T1117" s="3">
        <f t="shared" si="60"/>
        <v>17050</v>
      </c>
      <c r="U1117" s="3" t="s">
        <v>60</v>
      </c>
      <c r="V1117" s="14" t="s">
        <v>6</v>
      </c>
      <c r="W1117" s="14" t="s">
        <v>4985</v>
      </c>
      <c r="X1117" s="14" t="s">
        <v>60</v>
      </c>
    </row>
    <row r="1118" spans="1:24" ht="15" x14ac:dyDescent="0.3">
      <c r="A1118" s="3">
        <v>16</v>
      </c>
      <c r="B1118" s="3" t="s">
        <v>8343</v>
      </c>
      <c r="C1118" s="14" t="s">
        <v>26</v>
      </c>
      <c r="D1118" s="14" t="s">
        <v>2799</v>
      </c>
      <c r="E1118" s="14" t="s">
        <v>8344</v>
      </c>
      <c r="F1118" s="14" t="s">
        <v>2800</v>
      </c>
      <c r="G1118" s="14" t="s">
        <v>3</v>
      </c>
      <c r="H1118" s="14" t="s">
        <v>8345</v>
      </c>
      <c r="I1118" s="14" t="s">
        <v>2801</v>
      </c>
      <c r="J1118" s="14" t="s">
        <v>60</v>
      </c>
      <c r="K1118" s="14" t="s">
        <v>60</v>
      </c>
      <c r="L1118" s="14" t="s">
        <v>60</v>
      </c>
      <c r="M1118" s="14" t="s">
        <v>2802</v>
      </c>
      <c r="N1118" s="14" t="s">
        <v>60</v>
      </c>
      <c r="O1118" s="14" t="s">
        <v>60</v>
      </c>
      <c r="P1118" s="14" t="s">
        <v>8346</v>
      </c>
      <c r="Q1118" s="14" t="s">
        <v>11</v>
      </c>
      <c r="R1118" s="3" t="s">
        <v>4170</v>
      </c>
      <c r="S1118" s="3">
        <f t="shared" si="59"/>
        <v>770</v>
      </c>
      <c r="T1118" s="3">
        <f t="shared" si="60"/>
        <v>23870</v>
      </c>
      <c r="U1118" s="3" t="s">
        <v>60</v>
      </c>
      <c r="V1118" s="14" t="s">
        <v>6</v>
      </c>
      <c r="W1118" s="14" t="s">
        <v>4731</v>
      </c>
      <c r="X1118" s="14" t="s">
        <v>60</v>
      </c>
    </row>
    <row r="1119" spans="1:24" ht="15" x14ac:dyDescent="0.3">
      <c r="A1119" s="3">
        <v>17</v>
      </c>
      <c r="B1119" s="3" t="s">
        <v>8347</v>
      </c>
      <c r="C1119" s="14" t="s">
        <v>0</v>
      </c>
      <c r="D1119" s="14" t="s">
        <v>2803</v>
      </c>
      <c r="E1119" s="14" t="s">
        <v>8348</v>
      </c>
      <c r="F1119" s="14" t="s">
        <v>2779</v>
      </c>
      <c r="G1119" s="14" t="s">
        <v>121</v>
      </c>
      <c r="H1119" s="14" t="s">
        <v>2804</v>
      </c>
      <c r="I1119" s="14" t="s">
        <v>8349</v>
      </c>
      <c r="J1119" s="14" t="s">
        <v>60</v>
      </c>
      <c r="K1119" s="14" t="s">
        <v>60</v>
      </c>
      <c r="L1119" s="14" t="s">
        <v>60</v>
      </c>
      <c r="M1119" s="14" t="s">
        <v>2805</v>
      </c>
      <c r="N1119" s="14" t="s">
        <v>60</v>
      </c>
      <c r="O1119" s="14" t="s">
        <v>60</v>
      </c>
      <c r="P1119" s="14" t="s">
        <v>8350</v>
      </c>
      <c r="Q1119" s="14" t="s">
        <v>11</v>
      </c>
      <c r="R1119" s="3" t="s">
        <v>5658</v>
      </c>
      <c r="S1119" s="3">
        <f t="shared" si="59"/>
        <v>550</v>
      </c>
      <c r="T1119" s="3">
        <f t="shared" si="60"/>
        <v>5500</v>
      </c>
      <c r="U1119" s="3" t="s">
        <v>60</v>
      </c>
      <c r="V1119" s="14" t="s">
        <v>6</v>
      </c>
      <c r="W1119" s="14" t="s">
        <v>6067</v>
      </c>
      <c r="X1119" s="31">
        <v>46284</v>
      </c>
    </row>
    <row r="1120" spans="1:24" ht="15" x14ac:dyDescent="0.3">
      <c r="A1120" s="3">
        <v>18</v>
      </c>
      <c r="B1120" s="3" t="s">
        <v>8351</v>
      </c>
      <c r="C1120" s="14" t="s">
        <v>0</v>
      </c>
      <c r="D1120" s="14" t="s">
        <v>2814</v>
      </c>
      <c r="E1120" s="14" t="s">
        <v>8352</v>
      </c>
      <c r="F1120" s="14" t="s">
        <v>2638</v>
      </c>
      <c r="G1120" s="14" t="s">
        <v>3</v>
      </c>
      <c r="H1120" s="14" t="s">
        <v>8353</v>
      </c>
      <c r="I1120" s="14" t="s">
        <v>2815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8354</v>
      </c>
      <c r="Q1120" s="14" t="s">
        <v>11</v>
      </c>
      <c r="R1120" s="3" t="s">
        <v>4170</v>
      </c>
      <c r="S1120" s="3">
        <f t="shared" si="59"/>
        <v>550</v>
      </c>
      <c r="T1120" s="3">
        <f t="shared" si="60"/>
        <v>17050</v>
      </c>
      <c r="U1120" s="3" t="s">
        <v>60</v>
      </c>
      <c r="V1120" s="14" t="s">
        <v>6</v>
      </c>
      <c r="W1120" s="14" t="s">
        <v>8184</v>
      </c>
      <c r="X1120" s="14" t="s">
        <v>60</v>
      </c>
    </row>
    <row r="1121" spans="1:24" ht="15" x14ac:dyDescent="0.3">
      <c r="A1121" s="3">
        <v>19</v>
      </c>
      <c r="B1121" s="3" t="s">
        <v>8355</v>
      </c>
      <c r="C1121" s="14" t="s">
        <v>0</v>
      </c>
      <c r="D1121" s="14" t="s">
        <v>2816</v>
      </c>
      <c r="E1121" s="14" t="s">
        <v>8356</v>
      </c>
      <c r="F1121" s="14" t="s">
        <v>2638</v>
      </c>
      <c r="G1121" s="14" t="s">
        <v>3</v>
      </c>
      <c r="H1121" s="14" t="s">
        <v>8353</v>
      </c>
      <c r="I1121" s="14" t="s">
        <v>2817</v>
      </c>
      <c r="J1121" s="14" t="s">
        <v>60</v>
      </c>
      <c r="K1121" s="14" t="s">
        <v>60</v>
      </c>
      <c r="L1121" s="14" t="s">
        <v>60</v>
      </c>
      <c r="M1121" s="14" t="s">
        <v>60</v>
      </c>
      <c r="N1121" s="14" t="s">
        <v>60</v>
      </c>
      <c r="O1121" s="14" t="s">
        <v>60</v>
      </c>
      <c r="P1121" s="14" t="s">
        <v>8357</v>
      </c>
      <c r="Q1121" s="14" t="s">
        <v>11</v>
      </c>
      <c r="R1121" s="3" t="s">
        <v>4170</v>
      </c>
      <c r="S1121" s="3">
        <f t="shared" si="59"/>
        <v>550</v>
      </c>
      <c r="T1121" s="3">
        <f t="shared" si="60"/>
        <v>17050</v>
      </c>
      <c r="U1121" s="3" t="s">
        <v>60</v>
      </c>
      <c r="V1121" s="14" t="s">
        <v>6</v>
      </c>
      <c r="W1121" s="14" t="s">
        <v>8184</v>
      </c>
      <c r="X1121" s="14" t="s">
        <v>60</v>
      </c>
    </row>
    <row r="1122" spans="1:24" ht="15" x14ac:dyDescent="0.3">
      <c r="A1122" s="3">
        <v>20</v>
      </c>
      <c r="B1122" s="3" t="s">
        <v>8358</v>
      </c>
      <c r="C1122" s="14" t="s">
        <v>8359</v>
      </c>
      <c r="D1122" s="14" t="s">
        <v>2818</v>
      </c>
      <c r="E1122" s="14" t="s">
        <v>4928</v>
      </c>
      <c r="F1122" s="14" t="s">
        <v>2819</v>
      </c>
      <c r="G1122" s="14" t="s">
        <v>3</v>
      </c>
      <c r="H1122" s="14" t="s">
        <v>2820</v>
      </c>
      <c r="I1122" s="14" t="s">
        <v>2821</v>
      </c>
      <c r="J1122" s="14" t="s">
        <v>60</v>
      </c>
      <c r="K1122" s="14" t="s">
        <v>60</v>
      </c>
      <c r="L1122" s="14" t="s">
        <v>60</v>
      </c>
      <c r="M1122" s="14" t="s">
        <v>2822</v>
      </c>
      <c r="N1122" s="14" t="s">
        <v>60</v>
      </c>
      <c r="O1122" s="14" t="s">
        <v>60</v>
      </c>
      <c r="P1122" s="14" t="s">
        <v>8360</v>
      </c>
      <c r="Q1122" s="14" t="s">
        <v>11</v>
      </c>
      <c r="R1122" s="3" t="s">
        <v>4862</v>
      </c>
      <c r="S1122" s="3">
        <f t="shared" si="59"/>
        <v>770</v>
      </c>
      <c r="T1122" s="3">
        <f t="shared" si="60"/>
        <v>8470</v>
      </c>
      <c r="U1122" s="3" t="s">
        <v>8361</v>
      </c>
      <c r="V1122" s="14" t="s">
        <v>6</v>
      </c>
      <c r="W1122" s="14" t="s">
        <v>8362</v>
      </c>
      <c r="X1122" s="31" t="s">
        <v>7851</v>
      </c>
    </row>
    <row r="1123" spans="1:24" ht="15" x14ac:dyDescent="0.3">
      <c r="A1123" s="3">
        <v>21</v>
      </c>
      <c r="B1123" s="3" t="s">
        <v>8363</v>
      </c>
      <c r="C1123" s="14" t="s">
        <v>0</v>
      </c>
      <c r="D1123" s="14" t="s">
        <v>2823</v>
      </c>
      <c r="E1123" s="14" t="s">
        <v>8364</v>
      </c>
      <c r="F1123" s="14" t="s">
        <v>2824</v>
      </c>
      <c r="G1123" s="14" t="s">
        <v>3</v>
      </c>
      <c r="H1123" s="14" t="s">
        <v>8365</v>
      </c>
      <c r="I1123" s="14" t="s">
        <v>2825</v>
      </c>
      <c r="J1123" s="14" t="s">
        <v>60</v>
      </c>
      <c r="K1123" s="14" t="s">
        <v>60</v>
      </c>
      <c r="L1123" s="14" t="s">
        <v>60</v>
      </c>
      <c r="M1123" s="14" t="s">
        <v>60</v>
      </c>
      <c r="N1123" s="14" t="s">
        <v>60</v>
      </c>
      <c r="O1123" s="14" t="s">
        <v>60</v>
      </c>
      <c r="P1123" s="14" t="s">
        <v>8366</v>
      </c>
      <c r="Q1123" s="14" t="s">
        <v>11</v>
      </c>
      <c r="R1123" s="3" t="s">
        <v>4170</v>
      </c>
      <c r="S1123" s="3">
        <f t="shared" si="59"/>
        <v>550</v>
      </c>
      <c r="T1123" s="3">
        <f t="shared" si="60"/>
        <v>17050</v>
      </c>
      <c r="U1123" s="3" t="s">
        <v>60</v>
      </c>
      <c r="V1123" s="14" t="s">
        <v>6</v>
      </c>
      <c r="W1123" s="14" t="s">
        <v>8362</v>
      </c>
      <c r="X1123" s="14" t="s">
        <v>60</v>
      </c>
    </row>
    <row r="1124" spans="1:24" ht="15" x14ac:dyDescent="0.3">
      <c r="A1124" s="3">
        <v>22</v>
      </c>
      <c r="B1124" s="3" t="s">
        <v>8367</v>
      </c>
      <c r="C1124" s="14" t="s">
        <v>26</v>
      </c>
      <c r="D1124" s="14" t="s">
        <v>2826</v>
      </c>
      <c r="E1124" s="14" t="s">
        <v>4200</v>
      </c>
      <c r="F1124" s="14" t="s">
        <v>2827</v>
      </c>
      <c r="G1124" s="14" t="s">
        <v>3</v>
      </c>
      <c r="H1124" s="14" t="s">
        <v>8368</v>
      </c>
      <c r="I1124" s="14" t="s">
        <v>2828</v>
      </c>
      <c r="J1124" s="14" t="s">
        <v>60</v>
      </c>
      <c r="K1124" s="14" t="s">
        <v>60</v>
      </c>
      <c r="L1124" s="14" t="s">
        <v>60</v>
      </c>
      <c r="M1124" s="14" t="s">
        <v>2829</v>
      </c>
      <c r="N1124" s="14" t="s">
        <v>60</v>
      </c>
      <c r="O1124" s="14" t="s">
        <v>60</v>
      </c>
      <c r="P1124" s="14" t="s">
        <v>8369</v>
      </c>
      <c r="Q1124" s="14" t="s">
        <v>11</v>
      </c>
      <c r="R1124" s="3" t="s">
        <v>4170</v>
      </c>
      <c r="S1124" s="3">
        <f t="shared" si="59"/>
        <v>770</v>
      </c>
      <c r="T1124" s="3">
        <f t="shared" si="60"/>
        <v>23870</v>
      </c>
      <c r="U1124" s="3" t="s">
        <v>60</v>
      </c>
      <c r="V1124" s="14" t="s">
        <v>6</v>
      </c>
      <c r="W1124" s="14" t="s">
        <v>8362</v>
      </c>
      <c r="X1124" s="14" t="s">
        <v>60</v>
      </c>
    </row>
    <row r="1125" spans="1:24" ht="15" x14ac:dyDescent="0.3">
      <c r="A1125" s="3">
        <v>23</v>
      </c>
      <c r="B1125" s="3" t="s">
        <v>8370</v>
      </c>
      <c r="C1125" s="14" t="s">
        <v>0</v>
      </c>
      <c r="D1125" s="14" t="s">
        <v>2830</v>
      </c>
      <c r="E1125" s="14" t="s">
        <v>4778</v>
      </c>
      <c r="F1125" s="14" t="s">
        <v>1237</v>
      </c>
      <c r="G1125" s="14" t="s">
        <v>3</v>
      </c>
      <c r="H1125" s="14" t="s">
        <v>8371</v>
      </c>
      <c r="I1125" s="14" t="s">
        <v>2831</v>
      </c>
      <c r="J1125" s="14" t="s">
        <v>60</v>
      </c>
      <c r="K1125" s="14" t="s">
        <v>60</v>
      </c>
      <c r="L1125" s="14" t="s">
        <v>60</v>
      </c>
      <c r="M1125" s="14" t="s">
        <v>2832</v>
      </c>
      <c r="N1125" s="14" t="s">
        <v>60</v>
      </c>
      <c r="O1125" s="14" t="s">
        <v>60</v>
      </c>
      <c r="P1125" s="14" t="s">
        <v>8372</v>
      </c>
      <c r="Q1125" s="14" t="s">
        <v>2833</v>
      </c>
      <c r="R1125" s="3" t="s">
        <v>4170</v>
      </c>
      <c r="S1125" s="3">
        <f t="shared" si="59"/>
        <v>550</v>
      </c>
      <c r="T1125" s="3">
        <f t="shared" si="60"/>
        <v>17050</v>
      </c>
      <c r="U1125" s="3" t="s">
        <v>60</v>
      </c>
      <c r="V1125" s="14" t="s">
        <v>6</v>
      </c>
      <c r="W1125" s="14" t="s">
        <v>8373</v>
      </c>
      <c r="X1125" s="14" t="s">
        <v>60</v>
      </c>
    </row>
    <row r="1126" spans="1:24" ht="15" x14ac:dyDescent="0.3">
      <c r="A1126" s="3">
        <v>24</v>
      </c>
      <c r="B1126" s="3" t="s">
        <v>8374</v>
      </c>
      <c r="C1126" s="14" t="s">
        <v>0</v>
      </c>
      <c r="D1126" s="14" t="s">
        <v>2834</v>
      </c>
      <c r="E1126" s="14" t="s">
        <v>6868</v>
      </c>
      <c r="F1126" s="14" t="s">
        <v>2835</v>
      </c>
      <c r="G1126" s="14" t="s">
        <v>3</v>
      </c>
      <c r="H1126" s="14" t="s">
        <v>8375</v>
      </c>
      <c r="I1126" s="14" t="s">
        <v>2836</v>
      </c>
      <c r="J1126" s="14" t="s">
        <v>60</v>
      </c>
      <c r="K1126" s="14" t="s">
        <v>60</v>
      </c>
      <c r="L1126" s="14" t="s">
        <v>60</v>
      </c>
      <c r="M1126" s="14" t="s">
        <v>2837</v>
      </c>
      <c r="N1126" s="14" t="s">
        <v>60</v>
      </c>
      <c r="O1126" s="14" t="s">
        <v>60</v>
      </c>
      <c r="P1126" s="14" t="s">
        <v>8376</v>
      </c>
      <c r="Q1126" s="14" t="s">
        <v>11</v>
      </c>
      <c r="R1126" s="3" t="s">
        <v>4170</v>
      </c>
      <c r="S1126" s="3">
        <f t="shared" si="59"/>
        <v>550</v>
      </c>
      <c r="T1126" s="3">
        <f t="shared" si="60"/>
        <v>17050</v>
      </c>
      <c r="U1126" s="3" t="s">
        <v>60</v>
      </c>
      <c r="V1126" s="14" t="s">
        <v>6</v>
      </c>
      <c r="W1126" s="14" t="s">
        <v>8373</v>
      </c>
      <c r="X1126" s="14" t="s">
        <v>60</v>
      </c>
    </row>
    <row r="1127" spans="1:24" ht="15" x14ac:dyDescent="0.3">
      <c r="A1127" s="3">
        <v>25</v>
      </c>
      <c r="B1127" s="3" t="s">
        <v>8377</v>
      </c>
      <c r="C1127" s="14" t="s">
        <v>14</v>
      </c>
      <c r="D1127" s="14" t="s">
        <v>2809</v>
      </c>
      <c r="E1127" s="14" t="s">
        <v>4308</v>
      </c>
      <c r="F1127" s="14" t="s">
        <v>2810</v>
      </c>
      <c r="G1127" s="14" t="s">
        <v>3</v>
      </c>
      <c r="H1127" s="14" t="s">
        <v>8378</v>
      </c>
      <c r="I1127" s="14" t="s">
        <v>2811</v>
      </c>
      <c r="J1127" s="14" t="s">
        <v>60</v>
      </c>
      <c r="K1127" s="14" t="s">
        <v>60</v>
      </c>
      <c r="L1127" s="14" t="s">
        <v>60</v>
      </c>
      <c r="M1127" s="14" t="s">
        <v>2812</v>
      </c>
      <c r="N1127" s="14" t="s">
        <v>60</v>
      </c>
      <c r="O1127" s="14" t="s">
        <v>60</v>
      </c>
      <c r="P1127" s="14" t="s">
        <v>8379</v>
      </c>
      <c r="Q1127" s="14" t="s">
        <v>2791</v>
      </c>
      <c r="R1127" s="3" t="s">
        <v>4170</v>
      </c>
      <c r="S1127" s="3">
        <f t="shared" si="59"/>
        <v>640</v>
      </c>
      <c r="T1127" s="3">
        <f t="shared" si="60"/>
        <v>19840</v>
      </c>
      <c r="U1127" s="3" t="s">
        <v>60</v>
      </c>
      <c r="V1127" s="14" t="s">
        <v>6</v>
      </c>
      <c r="W1127" s="14" t="s">
        <v>4731</v>
      </c>
      <c r="X1127" s="14" t="s">
        <v>60</v>
      </c>
    </row>
    <row r="1128" spans="1:24" ht="15" x14ac:dyDescent="0.3">
      <c r="A1128" s="3">
        <v>26</v>
      </c>
      <c r="B1128" s="3" t="s">
        <v>8380</v>
      </c>
      <c r="C1128" s="14" t="s">
        <v>26</v>
      </c>
      <c r="D1128" s="14" t="s">
        <v>407</v>
      </c>
      <c r="E1128" s="14" t="s">
        <v>8381</v>
      </c>
      <c r="F1128" s="14" t="s">
        <v>408</v>
      </c>
      <c r="G1128" s="14" t="s">
        <v>3</v>
      </c>
      <c r="H1128" s="14" t="s">
        <v>8382</v>
      </c>
      <c r="I1128" s="14" t="s">
        <v>409</v>
      </c>
      <c r="J1128" s="14" t="s">
        <v>60</v>
      </c>
      <c r="K1128" s="14" t="s">
        <v>60</v>
      </c>
      <c r="L1128" s="14" t="s">
        <v>60</v>
      </c>
      <c r="M1128" s="14" t="s">
        <v>410</v>
      </c>
      <c r="N1128" s="14" t="s">
        <v>60</v>
      </c>
      <c r="O1128" s="14" t="s">
        <v>328</v>
      </c>
      <c r="P1128" s="14" t="s">
        <v>8383</v>
      </c>
      <c r="Q1128" s="14" t="s">
        <v>411</v>
      </c>
      <c r="R1128" s="3" t="s">
        <v>4170</v>
      </c>
      <c r="S1128" s="3">
        <f t="shared" si="59"/>
        <v>770</v>
      </c>
      <c r="T1128" s="3">
        <f t="shared" si="60"/>
        <v>23870</v>
      </c>
      <c r="U1128" s="3" t="s">
        <v>60</v>
      </c>
      <c r="V1128" s="14" t="s">
        <v>6</v>
      </c>
      <c r="W1128" s="14" t="s">
        <v>7511</v>
      </c>
      <c r="X1128" s="14" t="s">
        <v>60</v>
      </c>
    </row>
    <row r="1129" spans="1:24" ht="15" x14ac:dyDescent="0.3">
      <c r="A1129" s="3">
        <v>27</v>
      </c>
      <c r="B1129" s="3" t="s">
        <v>8384</v>
      </c>
      <c r="C1129" s="14" t="s">
        <v>0</v>
      </c>
      <c r="D1129" s="14" t="s">
        <v>2700</v>
      </c>
      <c r="E1129" s="14" t="s">
        <v>4308</v>
      </c>
      <c r="F1129" s="14" t="s">
        <v>2701</v>
      </c>
      <c r="G1129" s="14" t="s">
        <v>3</v>
      </c>
      <c r="H1129" s="14" t="s">
        <v>8385</v>
      </c>
      <c r="I1129" s="14" t="s">
        <v>2702</v>
      </c>
      <c r="J1129" s="14" t="s">
        <v>60</v>
      </c>
      <c r="K1129" s="14" t="s">
        <v>60</v>
      </c>
      <c r="L1129" s="14" t="s">
        <v>60</v>
      </c>
      <c r="M1129" s="14" t="s">
        <v>2703</v>
      </c>
      <c r="N1129" s="14" t="s">
        <v>60</v>
      </c>
      <c r="O1129" s="14" t="s">
        <v>60</v>
      </c>
      <c r="P1129" s="14" t="s">
        <v>8386</v>
      </c>
      <c r="Q1129" s="14" t="s">
        <v>11</v>
      </c>
      <c r="R1129" s="3" t="s">
        <v>4170</v>
      </c>
      <c r="S1129" s="3">
        <f t="shared" si="59"/>
        <v>550</v>
      </c>
      <c r="T1129" s="3">
        <f t="shared" si="60"/>
        <v>17050</v>
      </c>
      <c r="U1129" s="3" t="s">
        <v>60</v>
      </c>
      <c r="V1129" s="14" t="s">
        <v>6</v>
      </c>
      <c r="W1129" s="14" t="s">
        <v>8213</v>
      </c>
      <c r="X1129" s="14" t="s">
        <v>60</v>
      </c>
    </row>
    <row r="1130" spans="1:24" ht="15" x14ac:dyDescent="0.3">
      <c r="A1130" s="3">
        <v>28</v>
      </c>
      <c r="B1130" s="3" t="s">
        <v>8387</v>
      </c>
      <c r="C1130" s="14" t="s">
        <v>0</v>
      </c>
      <c r="D1130" s="14" t="s">
        <v>2704</v>
      </c>
      <c r="E1130" s="14" t="s">
        <v>4562</v>
      </c>
      <c r="F1130" s="14" t="s">
        <v>2705</v>
      </c>
      <c r="G1130" s="14" t="s">
        <v>3</v>
      </c>
      <c r="H1130" s="14" t="s">
        <v>8388</v>
      </c>
      <c r="I1130" s="14" t="s">
        <v>2706</v>
      </c>
      <c r="J1130" s="14" t="s">
        <v>60</v>
      </c>
      <c r="K1130" s="14" t="s">
        <v>60</v>
      </c>
      <c r="L1130" s="14" t="s">
        <v>60</v>
      </c>
      <c r="M1130" s="14" t="s">
        <v>2707</v>
      </c>
      <c r="N1130" s="14" t="s">
        <v>60</v>
      </c>
      <c r="O1130" s="14" t="s">
        <v>60</v>
      </c>
      <c r="P1130" s="14" t="s">
        <v>8389</v>
      </c>
      <c r="Q1130" s="14" t="s">
        <v>11</v>
      </c>
      <c r="R1130" s="3" t="s">
        <v>4170</v>
      </c>
      <c r="S1130" s="3">
        <f t="shared" si="59"/>
        <v>550</v>
      </c>
      <c r="T1130" s="3">
        <f t="shared" si="60"/>
        <v>17050</v>
      </c>
      <c r="U1130" s="3" t="s">
        <v>60</v>
      </c>
      <c r="V1130" s="14" t="s">
        <v>6</v>
      </c>
      <c r="W1130" s="14" t="s">
        <v>8213</v>
      </c>
      <c r="X1130" s="14" t="s">
        <v>60</v>
      </c>
    </row>
    <row r="1131" spans="1:24" ht="15" x14ac:dyDescent="0.3">
      <c r="A1131" s="3">
        <v>29</v>
      </c>
      <c r="B1131" s="3" t="s">
        <v>8390</v>
      </c>
      <c r="C1131" s="14" t="s">
        <v>0</v>
      </c>
      <c r="D1131" s="14" t="s">
        <v>2712</v>
      </c>
      <c r="E1131" s="14" t="s">
        <v>8391</v>
      </c>
      <c r="F1131" s="14" t="s">
        <v>2709</v>
      </c>
      <c r="G1131" s="14" t="s">
        <v>3</v>
      </c>
      <c r="H1131" s="14" t="s">
        <v>8392</v>
      </c>
      <c r="I1131" s="14" t="s">
        <v>2713</v>
      </c>
      <c r="J1131" s="14" t="s">
        <v>60</v>
      </c>
      <c r="K1131" s="14" t="s">
        <v>60</v>
      </c>
      <c r="L1131" s="14" t="s">
        <v>60</v>
      </c>
      <c r="M1131" s="14" t="s">
        <v>2714</v>
      </c>
      <c r="N1131" s="14" t="s">
        <v>60</v>
      </c>
      <c r="O1131" s="14" t="s">
        <v>60</v>
      </c>
      <c r="P1131" s="14" t="s">
        <v>8393</v>
      </c>
      <c r="Q1131" s="14" t="s">
        <v>11</v>
      </c>
      <c r="R1131" s="3" t="s">
        <v>4170</v>
      </c>
      <c r="S1131" s="3">
        <f t="shared" si="59"/>
        <v>550</v>
      </c>
      <c r="T1131" s="3">
        <f t="shared" si="60"/>
        <v>17050</v>
      </c>
      <c r="U1131" s="3" t="s">
        <v>60</v>
      </c>
      <c r="V1131" s="14" t="s">
        <v>6</v>
      </c>
      <c r="W1131" s="14" t="s">
        <v>8213</v>
      </c>
      <c r="X1131" s="14" t="s">
        <v>60</v>
      </c>
    </row>
    <row r="1132" spans="1:24" ht="15" x14ac:dyDescent="0.3">
      <c r="A1132" s="3">
        <v>30</v>
      </c>
      <c r="B1132" s="3" t="s">
        <v>8394</v>
      </c>
      <c r="C1132" s="14" t="s">
        <v>0</v>
      </c>
      <c r="D1132" s="14" t="s">
        <v>2715</v>
      </c>
      <c r="E1132" s="14" t="s">
        <v>4319</v>
      </c>
      <c r="F1132" s="14" t="s">
        <v>2716</v>
      </c>
      <c r="G1132" s="14" t="s">
        <v>3</v>
      </c>
      <c r="H1132" s="14" t="s">
        <v>8395</v>
      </c>
      <c r="I1132" s="14" t="s">
        <v>2717</v>
      </c>
      <c r="J1132" s="14" t="s">
        <v>60</v>
      </c>
      <c r="K1132" s="14" t="s">
        <v>60</v>
      </c>
      <c r="L1132" s="14" t="s">
        <v>60</v>
      </c>
      <c r="M1132" s="14" t="s">
        <v>2718</v>
      </c>
      <c r="N1132" s="14" t="s">
        <v>60</v>
      </c>
      <c r="O1132" s="14" t="s">
        <v>60</v>
      </c>
      <c r="P1132" s="14" t="s">
        <v>8396</v>
      </c>
      <c r="Q1132" s="14" t="s">
        <v>11</v>
      </c>
      <c r="R1132" s="3" t="s">
        <v>4170</v>
      </c>
      <c r="S1132" s="3">
        <f t="shared" si="59"/>
        <v>550</v>
      </c>
      <c r="T1132" s="3">
        <f t="shared" si="60"/>
        <v>17050</v>
      </c>
      <c r="U1132" s="3" t="s">
        <v>60</v>
      </c>
      <c r="V1132" s="14" t="s">
        <v>6</v>
      </c>
      <c r="W1132" s="14" t="s">
        <v>8213</v>
      </c>
      <c r="X1132" s="14" t="s">
        <v>60</v>
      </c>
    </row>
    <row r="1133" spans="1:24" ht="15" x14ac:dyDescent="0.3">
      <c r="A1133" s="3">
        <v>31</v>
      </c>
      <c r="B1133" s="3" t="s">
        <v>8397</v>
      </c>
      <c r="C1133" s="14" t="s">
        <v>0</v>
      </c>
      <c r="D1133" s="14" t="s">
        <v>2719</v>
      </c>
      <c r="E1133" s="14" t="s">
        <v>4367</v>
      </c>
      <c r="F1133" s="14" t="s">
        <v>2720</v>
      </c>
      <c r="G1133" s="14" t="s">
        <v>3</v>
      </c>
      <c r="H1133" s="14" t="s">
        <v>8398</v>
      </c>
      <c r="I1133" s="14" t="s">
        <v>2721</v>
      </c>
      <c r="J1133" s="14" t="s">
        <v>60</v>
      </c>
      <c r="K1133" s="14" t="s">
        <v>60</v>
      </c>
      <c r="L1133" s="14" t="s">
        <v>60</v>
      </c>
      <c r="M1133" s="14" t="s">
        <v>2722</v>
      </c>
      <c r="N1133" s="14" t="s">
        <v>60</v>
      </c>
      <c r="O1133" s="14" t="s">
        <v>60</v>
      </c>
      <c r="P1133" s="14" t="s">
        <v>8399</v>
      </c>
      <c r="Q1133" s="14" t="s">
        <v>2723</v>
      </c>
      <c r="R1133" s="3" t="s">
        <v>5222</v>
      </c>
      <c r="S1133" s="3">
        <f t="shared" si="59"/>
        <v>550</v>
      </c>
      <c r="T1133" s="3">
        <f t="shared" si="60"/>
        <v>14300</v>
      </c>
      <c r="U1133" s="3" t="s">
        <v>60</v>
      </c>
      <c r="V1133" s="14" t="s">
        <v>6</v>
      </c>
      <c r="W1133" s="14" t="s">
        <v>8213</v>
      </c>
      <c r="X1133" s="14" t="s">
        <v>60</v>
      </c>
    </row>
    <row r="1134" spans="1:24" ht="15" x14ac:dyDescent="0.3">
      <c r="A1134" s="3">
        <v>32</v>
      </c>
      <c r="B1134" s="3" t="s">
        <v>8400</v>
      </c>
      <c r="C1134" s="14" t="s">
        <v>0</v>
      </c>
      <c r="D1134" s="14" t="s">
        <v>2724</v>
      </c>
      <c r="E1134" s="14" t="s">
        <v>4746</v>
      </c>
      <c r="F1134" s="14" t="s">
        <v>2725</v>
      </c>
      <c r="G1134" s="14" t="s">
        <v>3</v>
      </c>
      <c r="H1134" s="14" t="s">
        <v>8401</v>
      </c>
      <c r="I1134" s="14" t="s">
        <v>2726</v>
      </c>
      <c r="J1134" s="14" t="s">
        <v>60</v>
      </c>
      <c r="K1134" s="14" t="s">
        <v>60</v>
      </c>
      <c r="L1134" s="14" t="s">
        <v>60</v>
      </c>
      <c r="M1134" s="14" t="s">
        <v>2727</v>
      </c>
      <c r="N1134" s="14" t="s">
        <v>60</v>
      </c>
      <c r="O1134" s="14" t="s">
        <v>60</v>
      </c>
      <c r="P1134" s="14" t="s">
        <v>8402</v>
      </c>
      <c r="Q1134" s="14" t="s">
        <v>11</v>
      </c>
      <c r="R1134" s="3" t="s">
        <v>4170</v>
      </c>
      <c r="S1134" s="3">
        <f t="shared" si="59"/>
        <v>550</v>
      </c>
      <c r="T1134" s="3">
        <f t="shared" si="60"/>
        <v>17050</v>
      </c>
      <c r="U1134" s="3" t="s">
        <v>60</v>
      </c>
      <c r="V1134" s="14" t="s">
        <v>6</v>
      </c>
      <c r="W1134" s="14" t="s">
        <v>8213</v>
      </c>
      <c r="X1134" s="14" t="s">
        <v>60</v>
      </c>
    </row>
    <row r="1135" spans="1:24" ht="15" x14ac:dyDescent="0.3">
      <c r="A1135" s="3">
        <v>33</v>
      </c>
      <c r="B1135" s="3" t="s">
        <v>8403</v>
      </c>
      <c r="C1135" s="14" t="s">
        <v>0</v>
      </c>
      <c r="D1135" s="14" t="s">
        <v>2728</v>
      </c>
      <c r="E1135" s="14" t="s">
        <v>4195</v>
      </c>
      <c r="F1135" s="14" t="s">
        <v>2729</v>
      </c>
      <c r="G1135" s="14" t="s">
        <v>3</v>
      </c>
      <c r="H1135" s="14" t="s">
        <v>8404</v>
      </c>
      <c r="I1135" s="14" t="s">
        <v>2730</v>
      </c>
      <c r="J1135" s="14" t="s">
        <v>60</v>
      </c>
      <c r="K1135" s="14" t="s">
        <v>60</v>
      </c>
      <c r="L1135" s="14" t="s">
        <v>60</v>
      </c>
      <c r="M1135" s="14" t="s">
        <v>2731</v>
      </c>
      <c r="N1135" s="14" t="s">
        <v>60</v>
      </c>
      <c r="O1135" s="14" t="s">
        <v>60</v>
      </c>
      <c r="P1135" s="14" t="s">
        <v>8405</v>
      </c>
      <c r="Q1135" s="14" t="s">
        <v>11</v>
      </c>
      <c r="R1135" s="3" t="s">
        <v>4170</v>
      </c>
      <c r="S1135" s="3">
        <f t="shared" si="59"/>
        <v>550</v>
      </c>
      <c r="T1135" s="3">
        <f t="shared" si="60"/>
        <v>17050</v>
      </c>
      <c r="U1135" s="3" t="s">
        <v>60</v>
      </c>
      <c r="V1135" s="14" t="s">
        <v>6</v>
      </c>
      <c r="W1135" s="14" t="s">
        <v>8213</v>
      </c>
      <c r="X1135" s="14" t="s">
        <v>60</v>
      </c>
    </row>
    <row r="1136" spans="1:24" ht="15" x14ac:dyDescent="0.3">
      <c r="A1136" s="3">
        <v>34</v>
      </c>
      <c r="B1136" s="3" t="s">
        <v>8406</v>
      </c>
      <c r="C1136" s="14" t="s">
        <v>0</v>
      </c>
      <c r="D1136" s="14" t="s">
        <v>2732</v>
      </c>
      <c r="E1136" s="14" t="s">
        <v>5008</v>
      </c>
      <c r="F1136" s="14" t="s">
        <v>2733</v>
      </c>
      <c r="G1136" s="14" t="s">
        <v>3</v>
      </c>
      <c r="H1136" s="14" t="s">
        <v>8407</v>
      </c>
      <c r="I1136" s="14" t="s">
        <v>2734</v>
      </c>
      <c r="J1136" s="14" t="s">
        <v>60</v>
      </c>
      <c r="K1136" s="14" t="s">
        <v>60</v>
      </c>
      <c r="L1136" s="14" t="s">
        <v>60</v>
      </c>
      <c r="M1136" s="14" t="s">
        <v>2735</v>
      </c>
      <c r="N1136" s="14" t="s">
        <v>60</v>
      </c>
      <c r="O1136" s="14" t="s">
        <v>60</v>
      </c>
      <c r="P1136" s="14" t="s">
        <v>8408</v>
      </c>
      <c r="Q1136" s="14" t="s">
        <v>11</v>
      </c>
      <c r="R1136" s="3" t="s">
        <v>4381</v>
      </c>
      <c r="S1136" s="3">
        <f t="shared" si="59"/>
        <v>550</v>
      </c>
      <c r="T1136" s="3">
        <f t="shared" si="60"/>
        <v>15400</v>
      </c>
      <c r="U1136" s="3" t="s">
        <v>60</v>
      </c>
      <c r="V1136" s="14" t="s">
        <v>6</v>
      </c>
      <c r="W1136" s="14" t="s">
        <v>8213</v>
      </c>
      <c r="X1136" s="14" t="s">
        <v>60</v>
      </c>
    </row>
    <row r="1137" spans="1:24" ht="15" x14ac:dyDescent="0.3">
      <c r="A1137" s="3">
        <v>35</v>
      </c>
      <c r="B1137" s="3" t="s">
        <v>8409</v>
      </c>
      <c r="C1137" s="14" t="s">
        <v>0</v>
      </c>
      <c r="D1137" s="14" t="s">
        <v>2736</v>
      </c>
      <c r="E1137" s="14" t="s">
        <v>4308</v>
      </c>
      <c r="F1137" s="14" t="s">
        <v>2737</v>
      </c>
      <c r="G1137" s="14" t="s">
        <v>3</v>
      </c>
      <c r="H1137" s="14" t="s">
        <v>8410</v>
      </c>
      <c r="I1137" s="14" t="s">
        <v>2738</v>
      </c>
      <c r="J1137" s="14" t="s">
        <v>60</v>
      </c>
      <c r="K1137" s="14" t="s">
        <v>60</v>
      </c>
      <c r="L1137" s="14" t="s">
        <v>60</v>
      </c>
      <c r="M1137" s="14" t="s">
        <v>2739</v>
      </c>
      <c r="N1137" s="14" t="s">
        <v>60</v>
      </c>
      <c r="O1137" s="14" t="s">
        <v>60</v>
      </c>
      <c r="P1137" s="14" t="s">
        <v>8411</v>
      </c>
      <c r="Q1137" s="14" t="s">
        <v>11</v>
      </c>
      <c r="R1137" s="3" t="s">
        <v>4170</v>
      </c>
      <c r="S1137" s="3">
        <f t="shared" si="59"/>
        <v>550</v>
      </c>
      <c r="T1137" s="3">
        <f t="shared" si="60"/>
        <v>17050</v>
      </c>
      <c r="U1137" s="3" t="s">
        <v>60</v>
      </c>
      <c r="V1137" s="14" t="s">
        <v>6</v>
      </c>
      <c r="W1137" s="14" t="s">
        <v>8213</v>
      </c>
      <c r="X1137" s="14" t="s">
        <v>60</v>
      </c>
    </row>
    <row r="1138" spans="1:24" ht="15.6" x14ac:dyDescent="0.3">
      <c r="A1138" s="26" t="s">
        <v>60</v>
      </c>
      <c r="B1138" s="26" t="s">
        <v>60</v>
      </c>
      <c r="C1138" s="27" t="s">
        <v>60</v>
      </c>
      <c r="D1138" s="27" t="s">
        <v>60</v>
      </c>
      <c r="E1138" s="27" t="s">
        <v>60</v>
      </c>
      <c r="F1138" s="27" t="s">
        <v>60</v>
      </c>
      <c r="G1138" s="27" t="s">
        <v>60</v>
      </c>
      <c r="H1138" s="27" t="s">
        <v>60</v>
      </c>
      <c r="I1138" s="27" t="s">
        <v>60</v>
      </c>
      <c r="J1138" s="27" t="s">
        <v>60</v>
      </c>
      <c r="K1138" s="27" t="s">
        <v>60</v>
      </c>
      <c r="L1138" s="27" t="s">
        <v>60</v>
      </c>
      <c r="M1138" s="27" t="s">
        <v>60</v>
      </c>
      <c r="N1138" s="27" t="s">
        <v>60</v>
      </c>
      <c r="O1138" s="27" t="s">
        <v>60</v>
      </c>
      <c r="P1138" s="27" t="s">
        <v>60</v>
      </c>
      <c r="Q1138" s="27" t="s">
        <v>60</v>
      </c>
      <c r="R1138" s="35" t="s">
        <v>2009</v>
      </c>
      <c r="S1138" s="35" t="s">
        <v>60</v>
      </c>
      <c r="T1138" s="26">
        <f>SUM(T1102:T1137)</f>
        <v>616040</v>
      </c>
      <c r="U1138" s="26" t="s">
        <v>8412</v>
      </c>
      <c r="V1138" s="27" t="s">
        <v>60</v>
      </c>
      <c r="W1138" s="27" t="s">
        <v>60</v>
      </c>
      <c r="X1138" s="27" t="s">
        <v>60</v>
      </c>
    </row>
    <row r="1139" spans="1:24" x14ac:dyDescent="0.3">
      <c r="T1139">
        <f>T81+T168+T208+T246+T314+T429+T471+T507+T526+T414+T590+T633+T666+T700+T737+T834+T847+T864+T918+T955+T1024+T1063+T1100+T1138</f>
        <v>17438380</v>
      </c>
    </row>
  </sheetData>
  <mergeCells count="48">
    <mergeCell ref="R414:S414"/>
    <mergeCell ref="A1:X1"/>
    <mergeCell ref="R81:S81"/>
    <mergeCell ref="A82:X82"/>
    <mergeCell ref="R168:S168"/>
    <mergeCell ref="A169:X169"/>
    <mergeCell ref="R208:S208"/>
    <mergeCell ref="A209:X209"/>
    <mergeCell ref="R246:S246"/>
    <mergeCell ref="A247:X247"/>
    <mergeCell ref="R314:S314"/>
    <mergeCell ref="A315:X315"/>
    <mergeCell ref="R633:S633"/>
    <mergeCell ref="A415:X415"/>
    <mergeCell ref="R429:S429"/>
    <mergeCell ref="A430:X430"/>
    <mergeCell ref="R471:S471"/>
    <mergeCell ref="A472:X472"/>
    <mergeCell ref="R507:S507"/>
    <mergeCell ref="A508:X508"/>
    <mergeCell ref="R526:S526"/>
    <mergeCell ref="A527:X527"/>
    <mergeCell ref="R590:S590"/>
    <mergeCell ref="A591:X591"/>
    <mergeCell ref="R864:S864"/>
    <mergeCell ref="A634:X634"/>
    <mergeCell ref="R666:S666"/>
    <mergeCell ref="A667:X667"/>
    <mergeCell ref="R700:S700"/>
    <mergeCell ref="A701:X701"/>
    <mergeCell ref="R737:S737"/>
    <mergeCell ref="A738:X738"/>
    <mergeCell ref="R834:S834"/>
    <mergeCell ref="A835:X835"/>
    <mergeCell ref="R847:S847"/>
    <mergeCell ref="A848:X848"/>
    <mergeCell ref="R1138:S1138"/>
    <mergeCell ref="A865:X865"/>
    <mergeCell ref="R918:S918"/>
    <mergeCell ref="A919:X919"/>
    <mergeCell ref="R955:S955"/>
    <mergeCell ref="A956:X956"/>
    <mergeCell ref="R1024:S1024"/>
    <mergeCell ref="A1025:X1025"/>
    <mergeCell ref="R1063:S1063"/>
    <mergeCell ref="A1064:X1064"/>
    <mergeCell ref="R1100:S1100"/>
    <mergeCell ref="A1101:X1101"/>
  </mergeCells>
  <conditionalFormatting sqref="A1089:B1089">
    <cfRule type="duplicateValues" dxfId="53" priority="18"/>
  </conditionalFormatting>
  <conditionalFormatting sqref="B209:B244 B246">
    <cfRule type="duplicateValues" dxfId="52" priority="1"/>
  </conditionalFormatting>
  <conditionalFormatting sqref="D230">
    <cfRule type="duplicateValues" dxfId="51" priority="2"/>
  </conditionalFormatting>
  <conditionalFormatting sqref="D728">
    <cfRule type="duplicateValues" dxfId="50" priority="6"/>
  </conditionalFormatting>
  <conditionalFormatting sqref="D1016">
    <cfRule type="duplicateValues" dxfId="49" priority="10"/>
  </conditionalFormatting>
  <conditionalFormatting sqref="D1089">
    <cfRule type="duplicateValues" dxfId="48" priority="14"/>
  </conditionalFormatting>
  <conditionalFormatting sqref="J1089:M1089">
    <cfRule type="containsBlanks" dxfId="47" priority="16">
      <formula>LEN(TRIM(J1089))=0</formula>
    </cfRule>
  </conditionalFormatting>
  <conditionalFormatting sqref="M230:O230">
    <cfRule type="containsBlanks" dxfId="46" priority="4">
      <formula>LEN(TRIM(M230))=0</formula>
    </cfRule>
  </conditionalFormatting>
  <conditionalFormatting sqref="M728:O728">
    <cfRule type="containsBlanks" dxfId="45" priority="8">
      <formula>LEN(TRIM(M728))=0</formula>
    </cfRule>
  </conditionalFormatting>
  <conditionalFormatting sqref="N1016:P1016">
    <cfRule type="containsBlanks" dxfId="44" priority="13">
      <formula>LEN(TRIM(N1016))=0</formula>
    </cfRule>
  </conditionalFormatting>
  <conditionalFormatting sqref="P230">
    <cfRule type="duplicateValues" dxfId="43" priority="3"/>
    <cfRule type="duplicateValues" dxfId="42" priority="5"/>
  </conditionalFormatting>
  <conditionalFormatting sqref="P728">
    <cfRule type="duplicateValues" dxfId="41" priority="7"/>
    <cfRule type="duplicateValues" dxfId="40" priority="9"/>
  </conditionalFormatting>
  <conditionalFormatting sqref="P1016">
    <cfRule type="duplicateValues" dxfId="39" priority="11"/>
  </conditionalFormatting>
  <conditionalFormatting sqref="P1089">
    <cfRule type="duplicateValues" dxfId="38" priority="15"/>
    <cfRule type="duplicateValues" dxfId="37" priority="17"/>
  </conditionalFormatting>
  <conditionalFormatting sqref="Q1016">
    <cfRule type="duplicateValues" dxfId="36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D810-5533-42B6-8B71-E645DD0D1892}">
  <sheetPr>
    <tabColor rgb="FF00B050"/>
  </sheetPr>
  <dimension ref="A1:X1139"/>
  <sheetViews>
    <sheetView tabSelected="1" topLeftCell="E1094" zoomScale="85" zoomScaleNormal="85" workbookViewId="0">
      <selection activeCell="R1103" sqref="R1103:R1137"/>
    </sheetView>
  </sheetViews>
  <sheetFormatPr defaultRowHeight="14.4" x14ac:dyDescent="0.3"/>
  <cols>
    <col min="1" max="1" width="6.5546875" bestFit="1" customWidth="1"/>
    <col min="2" max="2" width="8.109375" bestFit="1" customWidth="1"/>
    <col min="3" max="3" width="16.5546875" bestFit="1" customWidth="1"/>
    <col min="4" max="4" width="37.88671875" bestFit="1" customWidth="1"/>
    <col min="5" max="5" width="14.88671875" bestFit="1" customWidth="1"/>
    <col min="6" max="6" width="39.33203125" bestFit="1" customWidth="1"/>
    <col min="20" max="20" width="13" bestFit="1" customWidth="1"/>
    <col min="23" max="23" width="14.33203125" customWidth="1"/>
    <col min="24" max="24" width="13.88671875" bestFit="1" customWidth="1"/>
  </cols>
  <sheetData>
    <row r="1" spans="1:24" ht="15.6" x14ac:dyDescent="0.3">
      <c r="A1" s="34" t="s">
        <v>4153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09.2" x14ac:dyDescent="0.3">
      <c r="A2" s="23" t="s">
        <v>42</v>
      </c>
      <c r="B2" s="23" t="s">
        <v>43</v>
      </c>
      <c r="C2" s="24" t="s">
        <v>44</v>
      </c>
      <c r="D2" s="24" t="s">
        <v>4154</v>
      </c>
      <c r="E2" s="24" t="s">
        <v>4155</v>
      </c>
      <c r="F2" s="24" t="s">
        <v>4156</v>
      </c>
      <c r="G2" s="24" t="s">
        <v>45</v>
      </c>
      <c r="H2" s="24" t="s">
        <v>4157</v>
      </c>
      <c r="I2" s="24" t="s">
        <v>46</v>
      </c>
      <c r="J2" s="24" t="s">
        <v>4158</v>
      </c>
      <c r="K2" s="24" t="s">
        <v>4159</v>
      </c>
      <c r="L2" s="24" t="s">
        <v>4160</v>
      </c>
      <c r="M2" s="24" t="s">
        <v>4161</v>
      </c>
      <c r="N2" s="24" t="s">
        <v>47</v>
      </c>
      <c r="O2" s="24" t="s">
        <v>48</v>
      </c>
      <c r="P2" s="24" t="s">
        <v>49</v>
      </c>
      <c r="Q2" s="24" t="s">
        <v>50</v>
      </c>
      <c r="R2" s="23" t="s">
        <v>4162</v>
      </c>
      <c r="S2" s="23" t="s">
        <v>4163</v>
      </c>
      <c r="T2" s="23" t="s">
        <v>4164</v>
      </c>
      <c r="U2" s="23" t="s">
        <v>4165</v>
      </c>
      <c r="V2" s="24" t="s">
        <v>51</v>
      </c>
      <c r="W2" s="24" t="s">
        <v>52</v>
      </c>
      <c r="X2" s="24" t="s">
        <v>53</v>
      </c>
    </row>
    <row r="3" spans="1:24" ht="15" x14ac:dyDescent="0.3">
      <c r="A3" s="3">
        <v>1</v>
      </c>
      <c r="B3" s="3" t="s">
        <v>4166</v>
      </c>
      <c r="C3" s="14" t="s">
        <v>710</v>
      </c>
      <c r="D3" s="14" t="s">
        <v>2888</v>
      </c>
      <c r="E3" s="14" t="s">
        <v>4167</v>
      </c>
      <c r="F3" s="14" t="s">
        <v>2889</v>
      </c>
      <c r="G3" s="14" t="s">
        <v>3</v>
      </c>
      <c r="H3" s="14" t="s">
        <v>4168</v>
      </c>
      <c r="I3" s="14" t="s">
        <v>2890</v>
      </c>
      <c r="J3" s="14" t="s">
        <v>60</v>
      </c>
      <c r="K3" s="14" t="s">
        <v>60</v>
      </c>
      <c r="L3" s="14" t="s">
        <v>60</v>
      </c>
      <c r="M3" s="14" t="s">
        <v>2891</v>
      </c>
      <c r="N3" s="14" t="s">
        <v>60</v>
      </c>
      <c r="O3" s="14" t="s">
        <v>60</v>
      </c>
      <c r="P3" s="14" t="s">
        <v>4169</v>
      </c>
      <c r="Q3" s="14" t="s">
        <v>5</v>
      </c>
      <c r="R3" s="3">
        <v>0</v>
      </c>
      <c r="S3" s="3">
        <f t="shared" ref="S3:S66" si="0">IF(RIGHT(C3,3)="MAZ",550,IF(RIGHT(C3,4)="MATE",570,IF(RIGHT(C3,7)="SKD-III",640,IF(RIGHT(C3,6)="SKD-II",770,IF(RIGHT(C3,5)="SKD-I",900,IF(RIGHT(C3,5)="CPDVR",770,""))))))</f>
        <v>900</v>
      </c>
      <c r="T3" s="3">
        <f t="shared" ref="T3:T66" si="1">R3*S3</f>
        <v>0</v>
      </c>
      <c r="U3" s="3" t="s">
        <v>60</v>
      </c>
      <c r="V3" s="14" t="s">
        <v>6</v>
      </c>
      <c r="W3" s="14" t="s">
        <v>2892</v>
      </c>
      <c r="X3" s="14" t="s">
        <v>60</v>
      </c>
    </row>
    <row r="4" spans="1:24" ht="15" x14ac:dyDescent="0.3">
      <c r="A4" s="3">
        <v>2</v>
      </c>
      <c r="B4" s="3" t="s">
        <v>4171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</v>
      </c>
      <c r="H4" s="14" t="s">
        <v>4172</v>
      </c>
      <c r="I4" s="14" t="s">
        <v>30</v>
      </c>
      <c r="J4" s="14" t="s">
        <v>60</v>
      </c>
      <c r="K4" s="14" t="s">
        <v>60</v>
      </c>
      <c r="L4" s="14" t="s">
        <v>60</v>
      </c>
      <c r="M4" s="14" t="s">
        <v>60</v>
      </c>
      <c r="N4" s="14" t="s">
        <v>60</v>
      </c>
      <c r="O4" s="14" t="s">
        <v>31</v>
      </c>
      <c r="P4" s="14" t="s">
        <v>4173</v>
      </c>
      <c r="Q4" s="14" t="s">
        <v>32</v>
      </c>
      <c r="R4" s="3">
        <v>0</v>
      </c>
      <c r="S4" s="3">
        <f t="shared" si="0"/>
        <v>770</v>
      </c>
      <c r="T4" s="3">
        <f t="shared" si="1"/>
        <v>0</v>
      </c>
      <c r="U4" s="3" t="s">
        <v>60</v>
      </c>
      <c r="V4" s="14" t="s">
        <v>6</v>
      </c>
      <c r="W4" s="14" t="s">
        <v>33</v>
      </c>
      <c r="X4" s="14" t="s">
        <v>60</v>
      </c>
    </row>
    <row r="5" spans="1:24" ht="15" x14ac:dyDescent="0.3">
      <c r="A5" s="3">
        <v>3</v>
      </c>
      <c r="B5" s="3" t="s">
        <v>4174</v>
      </c>
      <c r="C5" s="14" t="s">
        <v>710</v>
      </c>
      <c r="D5" s="14" t="s">
        <v>2938</v>
      </c>
      <c r="E5" s="14" t="s">
        <v>4175</v>
      </c>
      <c r="F5" s="14" t="s">
        <v>2939</v>
      </c>
      <c r="G5" s="14" t="s">
        <v>3</v>
      </c>
      <c r="H5" s="14" t="s">
        <v>4176</v>
      </c>
      <c r="I5" s="14" t="s">
        <v>4177</v>
      </c>
      <c r="J5" s="14" t="s">
        <v>60</v>
      </c>
      <c r="K5" s="14" t="s">
        <v>60</v>
      </c>
      <c r="L5" s="14" t="s">
        <v>60</v>
      </c>
      <c r="M5" s="14" t="s">
        <v>60</v>
      </c>
      <c r="N5" s="14" t="s">
        <v>60</v>
      </c>
      <c r="O5" s="14" t="s">
        <v>4</v>
      </c>
      <c r="P5" s="14" t="s">
        <v>4178</v>
      </c>
      <c r="Q5" s="14" t="s">
        <v>11</v>
      </c>
      <c r="R5" s="3">
        <v>0</v>
      </c>
      <c r="S5" s="3">
        <f t="shared" si="0"/>
        <v>900</v>
      </c>
      <c r="T5" s="3">
        <f t="shared" si="1"/>
        <v>0</v>
      </c>
      <c r="U5" s="3" t="s">
        <v>60</v>
      </c>
      <c r="V5" s="14" t="s">
        <v>6</v>
      </c>
      <c r="W5" s="14" t="s">
        <v>7</v>
      </c>
      <c r="X5" s="14" t="s">
        <v>60</v>
      </c>
    </row>
    <row r="6" spans="1:24" ht="15" x14ac:dyDescent="0.3">
      <c r="A6" s="3">
        <v>4</v>
      </c>
      <c r="B6" s="3" t="s">
        <v>4179</v>
      </c>
      <c r="C6" s="14" t="s">
        <v>0</v>
      </c>
      <c r="D6" s="14" t="s">
        <v>3074</v>
      </c>
      <c r="E6" s="14" t="s">
        <v>4180</v>
      </c>
      <c r="F6" s="14" t="s">
        <v>3075</v>
      </c>
      <c r="G6" s="14" t="s">
        <v>3</v>
      </c>
      <c r="H6" s="14" t="s">
        <v>4181</v>
      </c>
      <c r="I6" s="14" t="s">
        <v>4182</v>
      </c>
      <c r="J6" s="14" t="s">
        <v>60</v>
      </c>
      <c r="K6" s="14" t="s">
        <v>60</v>
      </c>
      <c r="L6" s="14" t="s">
        <v>60</v>
      </c>
      <c r="M6" s="14" t="s">
        <v>3076</v>
      </c>
      <c r="N6" s="14" t="s">
        <v>60</v>
      </c>
      <c r="O6" s="14" t="s">
        <v>60</v>
      </c>
      <c r="P6" s="14" t="s">
        <v>4183</v>
      </c>
      <c r="Q6" s="14" t="s">
        <v>5</v>
      </c>
      <c r="R6" s="3">
        <v>0</v>
      </c>
      <c r="S6" s="3">
        <f t="shared" si="0"/>
        <v>550</v>
      </c>
      <c r="T6" s="3">
        <f t="shared" si="1"/>
        <v>0</v>
      </c>
      <c r="U6" s="3" t="s">
        <v>60</v>
      </c>
      <c r="V6" s="14" t="s">
        <v>6</v>
      </c>
      <c r="W6" s="14" t="s">
        <v>20</v>
      </c>
      <c r="X6" s="14" t="s">
        <v>60</v>
      </c>
    </row>
    <row r="7" spans="1:24" ht="15" x14ac:dyDescent="0.3">
      <c r="A7" s="3">
        <v>5</v>
      </c>
      <c r="B7" s="3" t="s">
        <v>4184</v>
      </c>
      <c r="C7" s="14" t="s">
        <v>0</v>
      </c>
      <c r="D7" s="14" t="s">
        <v>3077</v>
      </c>
      <c r="E7" s="14" t="s">
        <v>4185</v>
      </c>
      <c r="F7" s="14" t="s">
        <v>3078</v>
      </c>
      <c r="G7" s="14" t="s">
        <v>3</v>
      </c>
      <c r="H7" s="14" t="s">
        <v>4186</v>
      </c>
      <c r="I7" s="14" t="s">
        <v>4187</v>
      </c>
      <c r="J7" s="14" t="s">
        <v>60</v>
      </c>
      <c r="K7" s="14" t="s">
        <v>60</v>
      </c>
      <c r="L7" s="14" t="s">
        <v>60</v>
      </c>
      <c r="M7" s="14" t="s">
        <v>3079</v>
      </c>
      <c r="N7" s="14" t="s">
        <v>60</v>
      </c>
      <c r="O7" s="14" t="s">
        <v>60</v>
      </c>
      <c r="P7" s="14" t="s">
        <v>4188</v>
      </c>
      <c r="Q7" s="14" t="s">
        <v>5</v>
      </c>
      <c r="R7" s="3">
        <v>0</v>
      </c>
      <c r="S7" s="3">
        <f t="shared" si="0"/>
        <v>550</v>
      </c>
      <c r="T7" s="3">
        <f t="shared" si="1"/>
        <v>0</v>
      </c>
      <c r="U7" s="3" t="s">
        <v>60</v>
      </c>
      <c r="V7" s="14" t="s">
        <v>6</v>
      </c>
      <c r="W7" s="14" t="s">
        <v>20</v>
      </c>
      <c r="X7" s="14" t="s">
        <v>60</v>
      </c>
    </row>
    <row r="8" spans="1:24" ht="15" x14ac:dyDescent="0.3">
      <c r="A8" s="3">
        <v>6</v>
      </c>
      <c r="B8" s="3" t="s">
        <v>4189</v>
      </c>
      <c r="C8" s="14" t="s">
        <v>0</v>
      </c>
      <c r="D8" s="14" t="s">
        <v>3080</v>
      </c>
      <c r="E8" s="14" t="s">
        <v>4190</v>
      </c>
      <c r="F8" s="14" t="s">
        <v>3081</v>
      </c>
      <c r="G8" s="14" t="s">
        <v>3</v>
      </c>
      <c r="H8" s="14" t="s">
        <v>4191</v>
      </c>
      <c r="I8" s="14" t="s">
        <v>3082</v>
      </c>
      <c r="J8" s="14" t="s">
        <v>60</v>
      </c>
      <c r="K8" s="14" t="s">
        <v>60</v>
      </c>
      <c r="L8" s="14" t="s">
        <v>60</v>
      </c>
      <c r="M8" s="14" t="s">
        <v>3083</v>
      </c>
      <c r="N8" s="14" t="s">
        <v>60</v>
      </c>
      <c r="O8" s="14" t="s">
        <v>60</v>
      </c>
      <c r="P8" s="14" t="s">
        <v>4192</v>
      </c>
      <c r="Q8" s="14" t="s">
        <v>11</v>
      </c>
      <c r="R8" s="3">
        <v>0</v>
      </c>
      <c r="S8" s="3">
        <f t="shared" si="0"/>
        <v>550</v>
      </c>
      <c r="T8" s="3">
        <f t="shared" si="1"/>
        <v>0</v>
      </c>
      <c r="U8" s="3" t="s">
        <v>60</v>
      </c>
      <c r="V8" s="14" t="s">
        <v>6</v>
      </c>
      <c r="W8" s="14" t="s">
        <v>4193</v>
      </c>
      <c r="X8" s="14" t="s">
        <v>60</v>
      </c>
    </row>
    <row r="9" spans="1:24" ht="15" x14ac:dyDescent="0.3">
      <c r="A9" s="3">
        <v>7</v>
      </c>
      <c r="B9" s="3" t="s">
        <v>4194</v>
      </c>
      <c r="C9" s="14" t="s">
        <v>0</v>
      </c>
      <c r="D9" s="14" t="s">
        <v>3084</v>
      </c>
      <c r="E9" s="14" t="s">
        <v>4195</v>
      </c>
      <c r="F9" s="14" t="s">
        <v>3085</v>
      </c>
      <c r="G9" s="14" t="s">
        <v>3</v>
      </c>
      <c r="H9" s="14" t="s">
        <v>4196</v>
      </c>
      <c r="I9" s="14" t="s">
        <v>3086</v>
      </c>
      <c r="J9" s="14" t="s">
        <v>60</v>
      </c>
      <c r="K9" s="14" t="s">
        <v>60</v>
      </c>
      <c r="L9" s="14" t="s">
        <v>60</v>
      </c>
      <c r="M9" s="14" t="s">
        <v>60</v>
      </c>
      <c r="N9" s="14" t="s">
        <v>60</v>
      </c>
      <c r="O9" s="14" t="s">
        <v>60</v>
      </c>
      <c r="P9" s="14" t="s">
        <v>4197</v>
      </c>
      <c r="Q9" s="14" t="s">
        <v>1718</v>
      </c>
      <c r="R9" s="3">
        <v>0</v>
      </c>
      <c r="S9" s="3">
        <f t="shared" si="0"/>
        <v>550</v>
      </c>
      <c r="T9" s="3">
        <f t="shared" si="1"/>
        <v>0</v>
      </c>
      <c r="U9" s="3" t="s">
        <v>60</v>
      </c>
      <c r="V9" s="14" t="s">
        <v>6</v>
      </c>
      <c r="W9" s="14" t="s">
        <v>4198</v>
      </c>
      <c r="X9" s="14" t="s">
        <v>60</v>
      </c>
    </row>
    <row r="10" spans="1:24" ht="15" x14ac:dyDescent="0.3">
      <c r="A10" s="3">
        <v>8</v>
      </c>
      <c r="B10" s="3" t="s">
        <v>4199</v>
      </c>
      <c r="C10" s="14" t="s">
        <v>0</v>
      </c>
      <c r="D10" s="14" t="s">
        <v>3087</v>
      </c>
      <c r="E10" s="14" t="s">
        <v>4200</v>
      </c>
      <c r="F10" s="14" t="s">
        <v>3088</v>
      </c>
      <c r="G10" s="14" t="s">
        <v>3</v>
      </c>
      <c r="H10" s="14" t="s">
        <v>3089</v>
      </c>
      <c r="I10" s="14" t="s">
        <v>3090</v>
      </c>
      <c r="J10" s="14" t="s">
        <v>60</v>
      </c>
      <c r="K10" s="14" t="s">
        <v>60</v>
      </c>
      <c r="L10" s="14" t="s">
        <v>60</v>
      </c>
      <c r="M10" s="14" t="s">
        <v>3091</v>
      </c>
      <c r="N10" s="14" t="s">
        <v>60</v>
      </c>
      <c r="O10" s="14" t="s">
        <v>261</v>
      </c>
      <c r="P10" s="14" t="s">
        <v>4201</v>
      </c>
      <c r="Q10" s="14" t="s">
        <v>2723</v>
      </c>
      <c r="R10" s="3">
        <v>0</v>
      </c>
      <c r="S10" s="3">
        <f t="shared" si="0"/>
        <v>550</v>
      </c>
      <c r="T10" s="3">
        <f t="shared" si="1"/>
        <v>0</v>
      </c>
      <c r="U10" s="3" t="s">
        <v>60</v>
      </c>
      <c r="V10" s="14" t="s">
        <v>3889</v>
      </c>
      <c r="W10" s="14" t="s">
        <v>4202</v>
      </c>
      <c r="X10" s="14" t="s">
        <v>4203</v>
      </c>
    </row>
    <row r="11" spans="1:24" ht="15" x14ac:dyDescent="0.3">
      <c r="A11" s="3">
        <v>9</v>
      </c>
      <c r="B11" s="3" t="s">
        <v>4204</v>
      </c>
      <c r="C11" s="14" t="s">
        <v>0</v>
      </c>
      <c r="D11" s="14" t="s">
        <v>3092</v>
      </c>
      <c r="E11" s="14" t="s">
        <v>4205</v>
      </c>
      <c r="F11" s="14" t="s">
        <v>3093</v>
      </c>
      <c r="G11" s="14" t="s">
        <v>121</v>
      </c>
      <c r="H11" s="14" t="s">
        <v>4206</v>
      </c>
      <c r="I11" s="14" t="s">
        <v>3094</v>
      </c>
      <c r="J11" s="14" t="s">
        <v>60</v>
      </c>
      <c r="K11" s="14" t="s">
        <v>60</v>
      </c>
      <c r="L11" s="14" t="s">
        <v>60</v>
      </c>
      <c r="M11" s="14" t="s">
        <v>3095</v>
      </c>
      <c r="N11" s="14" t="s">
        <v>60</v>
      </c>
      <c r="O11" s="14" t="s">
        <v>60</v>
      </c>
      <c r="P11" s="14" t="s">
        <v>4207</v>
      </c>
      <c r="Q11" s="14" t="s">
        <v>11</v>
      </c>
      <c r="R11" s="3">
        <v>0</v>
      </c>
      <c r="S11" s="3">
        <f t="shared" si="0"/>
        <v>550</v>
      </c>
      <c r="T11" s="3">
        <f t="shared" si="1"/>
        <v>0</v>
      </c>
      <c r="U11" s="3" t="s">
        <v>60</v>
      </c>
      <c r="V11" s="14" t="s">
        <v>4208</v>
      </c>
      <c r="W11" s="14" t="s">
        <v>4209</v>
      </c>
      <c r="X11" s="14" t="s">
        <v>60</v>
      </c>
    </row>
    <row r="12" spans="1:24" ht="15" x14ac:dyDescent="0.3">
      <c r="A12" s="3">
        <v>10</v>
      </c>
      <c r="B12" s="3" t="s">
        <v>4210</v>
      </c>
      <c r="C12" s="14" t="s">
        <v>0</v>
      </c>
      <c r="D12" s="14" t="s">
        <v>2939</v>
      </c>
      <c r="E12" s="14" t="s">
        <v>4211</v>
      </c>
      <c r="F12" s="14" t="s">
        <v>171</v>
      </c>
      <c r="G12" s="14" t="s">
        <v>3</v>
      </c>
      <c r="H12" s="14" t="s">
        <v>4212</v>
      </c>
      <c r="I12" s="14" t="s">
        <v>3096</v>
      </c>
      <c r="J12" s="14" t="s">
        <v>60</v>
      </c>
      <c r="K12" s="14" t="s">
        <v>60</v>
      </c>
      <c r="L12" s="14" t="s">
        <v>60</v>
      </c>
      <c r="M12" s="14" t="s">
        <v>3097</v>
      </c>
      <c r="N12" s="14" t="s">
        <v>60</v>
      </c>
      <c r="O12" s="14" t="s">
        <v>60</v>
      </c>
      <c r="P12" s="14" t="s">
        <v>4213</v>
      </c>
      <c r="Q12" s="14" t="s">
        <v>11</v>
      </c>
      <c r="R12" s="3">
        <v>0</v>
      </c>
      <c r="S12" s="3">
        <f t="shared" si="0"/>
        <v>550</v>
      </c>
      <c r="T12" s="3">
        <f t="shared" si="1"/>
        <v>0</v>
      </c>
      <c r="U12" s="3" t="s">
        <v>60</v>
      </c>
      <c r="V12" s="14" t="s">
        <v>4208</v>
      </c>
      <c r="W12" s="14" t="s">
        <v>4214</v>
      </c>
      <c r="X12" s="14" t="s">
        <v>60</v>
      </c>
    </row>
    <row r="13" spans="1:24" ht="15" x14ac:dyDescent="0.3">
      <c r="A13" s="3">
        <v>11</v>
      </c>
      <c r="B13" s="3" t="s">
        <v>4215</v>
      </c>
      <c r="C13" s="14" t="s">
        <v>0</v>
      </c>
      <c r="D13" s="14" t="s">
        <v>2383</v>
      </c>
      <c r="E13" s="14" t="s">
        <v>4216</v>
      </c>
      <c r="F13" s="14" t="s">
        <v>3098</v>
      </c>
      <c r="G13" s="14" t="s">
        <v>3</v>
      </c>
      <c r="H13" s="14" t="s">
        <v>4217</v>
      </c>
      <c r="I13" s="14" t="s">
        <v>3099</v>
      </c>
      <c r="J13" s="14" t="s">
        <v>60</v>
      </c>
      <c r="K13" s="14" t="s">
        <v>60</v>
      </c>
      <c r="L13" s="14" t="s">
        <v>60</v>
      </c>
      <c r="M13" s="14" t="s">
        <v>3100</v>
      </c>
      <c r="N13" s="14" t="s">
        <v>60</v>
      </c>
      <c r="O13" s="14" t="s">
        <v>60</v>
      </c>
      <c r="P13" s="14" t="s">
        <v>4218</v>
      </c>
      <c r="Q13" s="14" t="s">
        <v>11</v>
      </c>
      <c r="R13" s="3">
        <v>0</v>
      </c>
      <c r="S13" s="3">
        <f t="shared" si="0"/>
        <v>550</v>
      </c>
      <c r="T13" s="3">
        <f t="shared" si="1"/>
        <v>0</v>
      </c>
      <c r="U13" s="3" t="s">
        <v>60</v>
      </c>
      <c r="V13" s="14" t="s">
        <v>4208</v>
      </c>
      <c r="W13" s="14" t="s">
        <v>4214</v>
      </c>
      <c r="X13" s="14" t="s">
        <v>60</v>
      </c>
    </row>
    <row r="14" spans="1:24" ht="15" x14ac:dyDescent="0.3">
      <c r="A14" s="3">
        <v>12</v>
      </c>
      <c r="B14" s="3" t="s">
        <v>4219</v>
      </c>
      <c r="C14" s="14" t="s">
        <v>0</v>
      </c>
      <c r="D14" s="14" t="s">
        <v>3101</v>
      </c>
      <c r="E14" s="14" t="s">
        <v>3102</v>
      </c>
      <c r="F14" s="14" t="s">
        <v>3103</v>
      </c>
      <c r="G14" s="14" t="s">
        <v>3</v>
      </c>
      <c r="H14" s="14" t="s">
        <v>4220</v>
      </c>
      <c r="I14" s="14" t="s">
        <v>4221</v>
      </c>
      <c r="J14" s="14" t="s">
        <v>60</v>
      </c>
      <c r="K14" s="14" t="s">
        <v>60</v>
      </c>
      <c r="L14" s="14" t="s">
        <v>60</v>
      </c>
      <c r="M14" s="14" t="s">
        <v>60</v>
      </c>
      <c r="N14" s="14" t="s">
        <v>60</v>
      </c>
      <c r="O14" s="14" t="s">
        <v>4</v>
      </c>
      <c r="P14" s="14" t="s">
        <v>4222</v>
      </c>
      <c r="Q14" s="14" t="s">
        <v>5</v>
      </c>
      <c r="R14" s="3">
        <v>0</v>
      </c>
      <c r="S14" s="3">
        <f t="shared" si="0"/>
        <v>550</v>
      </c>
      <c r="T14" s="3">
        <f t="shared" si="1"/>
        <v>0</v>
      </c>
      <c r="U14" s="3" t="s">
        <v>60</v>
      </c>
      <c r="V14" s="14" t="s">
        <v>6</v>
      </c>
      <c r="W14" s="14" t="s">
        <v>7</v>
      </c>
      <c r="X14" s="14" t="s">
        <v>60</v>
      </c>
    </row>
    <row r="15" spans="1:24" ht="15" x14ac:dyDescent="0.3">
      <c r="A15" s="3">
        <v>13</v>
      </c>
      <c r="B15" s="3" t="s">
        <v>4224</v>
      </c>
      <c r="C15" s="14" t="s">
        <v>0</v>
      </c>
      <c r="D15" s="14" t="s">
        <v>3104</v>
      </c>
      <c r="E15" s="14" t="s">
        <v>991</v>
      </c>
      <c r="F15" s="14" t="s">
        <v>3105</v>
      </c>
      <c r="G15" s="14" t="s">
        <v>3</v>
      </c>
      <c r="H15" s="14" t="s">
        <v>3106</v>
      </c>
      <c r="I15" s="14" t="s">
        <v>4225</v>
      </c>
      <c r="J15" s="14" t="s">
        <v>60</v>
      </c>
      <c r="K15" s="14" t="s">
        <v>60</v>
      </c>
      <c r="L15" s="14" t="s">
        <v>4226</v>
      </c>
      <c r="M15" s="14" t="s">
        <v>60</v>
      </c>
      <c r="N15" s="14" t="s">
        <v>60</v>
      </c>
      <c r="O15" s="14" t="s">
        <v>4</v>
      </c>
      <c r="P15" s="14" t="s">
        <v>4227</v>
      </c>
      <c r="Q15" s="14" t="s">
        <v>349</v>
      </c>
      <c r="R15" s="3">
        <v>0</v>
      </c>
      <c r="S15" s="3">
        <f t="shared" si="0"/>
        <v>550</v>
      </c>
      <c r="T15" s="3">
        <f t="shared" si="1"/>
        <v>0</v>
      </c>
      <c r="U15" s="3" t="s">
        <v>60</v>
      </c>
      <c r="V15" s="14" t="s">
        <v>6</v>
      </c>
      <c r="W15" s="14" t="s">
        <v>7</v>
      </c>
      <c r="X15" s="14" t="s">
        <v>60</v>
      </c>
    </row>
    <row r="16" spans="1:24" ht="15" x14ac:dyDescent="0.3">
      <c r="A16" s="3">
        <v>14</v>
      </c>
      <c r="B16" s="3" t="s">
        <v>4228</v>
      </c>
      <c r="C16" s="14" t="s">
        <v>0</v>
      </c>
      <c r="D16" s="14" t="s">
        <v>3107</v>
      </c>
      <c r="E16" s="14" t="s">
        <v>3108</v>
      </c>
      <c r="F16" s="14" t="s">
        <v>3109</v>
      </c>
      <c r="G16" s="14" t="s">
        <v>3</v>
      </c>
      <c r="H16" s="14" t="s">
        <v>4229</v>
      </c>
      <c r="I16" s="14" t="s">
        <v>4230</v>
      </c>
      <c r="J16" s="14" t="s">
        <v>60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4</v>
      </c>
      <c r="P16" s="14" t="s">
        <v>4231</v>
      </c>
      <c r="Q16" s="14" t="s">
        <v>5</v>
      </c>
      <c r="R16" s="3">
        <v>0</v>
      </c>
      <c r="S16" s="3">
        <f t="shared" si="0"/>
        <v>550</v>
      </c>
      <c r="T16" s="3">
        <f t="shared" si="1"/>
        <v>0</v>
      </c>
      <c r="U16" s="3" t="s">
        <v>60</v>
      </c>
      <c r="V16" s="14" t="s">
        <v>6</v>
      </c>
      <c r="W16" s="14" t="s">
        <v>7</v>
      </c>
      <c r="X16" s="14" t="s">
        <v>60</v>
      </c>
    </row>
    <row r="17" spans="1:24" ht="15" x14ac:dyDescent="0.3">
      <c r="A17" s="3">
        <v>15</v>
      </c>
      <c r="B17" s="3" t="s">
        <v>4232</v>
      </c>
      <c r="C17" s="14" t="s">
        <v>0</v>
      </c>
      <c r="D17" s="14" t="s">
        <v>3110</v>
      </c>
      <c r="E17" s="14" t="s">
        <v>3111</v>
      </c>
      <c r="F17" s="14" t="s">
        <v>3112</v>
      </c>
      <c r="G17" s="14" t="s">
        <v>3</v>
      </c>
      <c r="H17" s="14" t="s">
        <v>4233</v>
      </c>
      <c r="I17" s="14" t="s">
        <v>4234</v>
      </c>
      <c r="J17" s="14" t="s">
        <v>60</v>
      </c>
      <c r="K17" s="14" t="s">
        <v>60</v>
      </c>
      <c r="L17" s="14" t="s">
        <v>60</v>
      </c>
      <c r="M17" s="14" t="s">
        <v>60</v>
      </c>
      <c r="N17" s="14" t="s">
        <v>60</v>
      </c>
      <c r="O17" s="14" t="s">
        <v>4</v>
      </c>
      <c r="P17" s="14" t="s">
        <v>4235</v>
      </c>
      <c r="Q17" s="14" t="s">
        <v>5</v>
      </c>
      <c r="R17" s="3">
        <v>0</v>
      </c>
      <c r="S17" s="3">
        <f t="shared" si="0"/>
        <v>550</v>
      </c>
      <c r="T17" s="3">
        <f t="shared" si="1"/>
        <v>0</v>
      </c>
      <c r="U17" s="3" t="s">
        <v>60</v>
      </c>
      <c r="V17" s="14" t="s">
        <v>6</v>
      </c>
      <c r="W17" s="14" t="s">
        <v>7</v>
      </c>
      <c r="X17" s="14" t="s">
        <v>60</v>
      </c>
    </row>
    <row r="18" spans="1:24" ht="15" x14ac:dyDescent="0.3">
      <c r="A18" s="3">
        <v>16</v>
      </c>
      <c r="B18" s="3" t="s">
        <v>4236</v>
      </c>
      <c r="C18" s="14" t="s">
        <v>0</v>
      </c>
      <c r="D18" s="14" t="s">
        <v>3113</v>
      </c>
      <c r="E18" s="14" t="s">
        <v>4237</v>
      </c>
      <c r="F18" s="14" t="s">
        <v>3114</v>
      </c>
      <c r="G18" s="14" t="s">
        <v>3</v>
      </c>
      <c r="H18" s="14" t="s">
        <v>4238</v>
      </c>
      <c r="I18" s="14" t="s">
        <v>4239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4</v>
      </c>
      <c r="P18" s="14" t="s">
        <v>4240</v>
      </c>
      <c r="Q18" s="14" t="s">
        <v>81</v>
      </c>
      <c r="R18" s="3">
        <v>0</v>
      </c>
      <c r="S18" s="3">
        <f t="shared" si="0"/>
        <v>550</v>
      </c>
      <c r="T18" s="3">
        <f t="shared" si="1"/>
        <v>0</v>
      </c>
      <c r="U18" s="3" t="s">
        <v>60</v>
      </c>
      <c r="V18" s="14" t="s">
        <v>6</v>
      </c>
      <c r="W18" s="14" t="s">
        <v>7</v>
      </c>
      <c r="X18" s="14" t="s">
        <v>60</v>
      </c>
    </row>
    <row r="19" spans="1:24" ht="15" x14ac:dyDescent="0.3">
      <c r="A19" s="3">
        <v>17</v>
      </c>
      <c r="B19" s="3" t="s">
        <v>4242</v>
      </c>
      <c r="C19" s="14" t="s">
        <v>0</v>
      </c>
      <c r="D19" s="14" t="s">
        <v>3115</v>
      </c>
      <c r="E19" s="14" t="s">
        <v>3116</v>
      </c>
      <c r="F19" s="14" t="s">
        <v>3117</v>
      </c>
      <c r="G19" s="14" t="s">
        <v>3</v>
      </c>
      <c r="H19" s="14" t="s">
        <v>4243</v>
      </c>
      <c r="I19" s="14" t="s">
        <v>4244</v>
      </c>
      <c r="J19" s="14" t="s">
        <v>60</v>
      </c>
      <c r="K19" s="14" t="s">
        <v>60</v>
      </c>
      <c r="L19" s="14" t="s">
        <v>60</v>
      </c>
      <c r="M19" s="14" t="s">
        <v>60</v>
      </c>
      <c r="N19" s="14" t="s">
        <v>60</v>
      </c>
      <c r="O19" s="14" t="s">
        <v>4</v>
      </c>
      <c r="P19" s="14" t="s">
        <v>4245</v>
      </c>
      <c r="Q19" s="14" t="s">
        <v>32</v>
      </c>
      <c r="R19" s="3">
        <v>0</v>
      </c>
      <c r="S19" s="3">
        <f t="shared" si="0"/>
        <v>550</v>
      </c>
      <c r="T19" s="3">
        <f t="shared" si="1"/>
        <v>0</v>
      </c>
      <c r="U19" s="3" t="s">
        <v>60</v>
      </c>
      <c r="V19" s="14" t="s">
        <v>6</v>
      </c>
      <c r="W19" s="14" t="s">
        <v>7</v>
      </c>
      <c r="X19" s="14" t="s">
        <v>60</v>
      </c>
    </row>
    <row r="20" spans="1:24" ht="15" x14ac:dyDescent="0.3">
      <c r="A20" s="3">
        <v>18</v>
      </c>
      <c r="B20" s="3" t="s">
        <v>4246</v>
      </c>
      <c r="C20" s="14" t="s">
        <v>0</v>
      </c>
      <c r="D20" s="14" t="s">
        <v>4247</v>
      </c>
      <c r="E20" s="14" t="s">
        <v>4248</v>
      </c>
      <c r="F20" s="14" t="s">
        <v>3122</v>
      </c>
      <c r="G20" s="14" t="s">
        <v>121</v>
      </c>
      <c r="H20" s="14" t="s">
        <v>4249</v>
      </c>
      <c r="I20" s="14" t="s">
        <v>3123</v>
      </c>
      <c r="J20" s="14" t="s">
        <v>60</v>
      </c>
      <c r="K20" s="14" t="s">
        <v>60</v>
      </c>
      <c r="L20" s="14" t="s">
        <v>60</v>
      </c>
      <c r="M20" s="14" t="s">
        <v>3124</v>
      </c>
      <c r="N20" s="14" t="s">
        <v>60</v>
      </c>
      <c r="O20" s="14" t="s">
        <v>114</v>
      </c>
      <c r="P20" s="14" t="s">
        <v>4250</v>
      </c>
      <c r="Q20" s="14" t="s">
        <v>11</v>
      </c>
      <c r="R20" s="3">
        <v>0</v>
      </c>
      <c r="S20" s="3">
        <f t="shared" si="0"/>
        <v>550</v>
      </c>
      <c r="T20" s="3">
        <f t="shared" si="1"/>
        <v>0</v>
      </c>
      <c r="U20" s="3" t="s">
        <v>60</v>
      </c>
      <c r="V20" s="14" t="s">
        <v>6</v>
      </c>
      <c r="W20" s="14" t="s">
        <v>4251</v>
      </c>
      <c r="X20" s="14" t="s">
        <v>60</v>
      </c>
    </row>
    <row r="21" spans="1:24" ht="15" x14ac:dyDescent="0.3">
      <c r="A21" s="3">
        <v>19</v>
      </c>
      <c r="B21" s="3" t="s">
        <v>4252</v>
      </c>
      <c r="C21" s="14" t="s">
        <v>0</v>
      </c>
      <c r="D21" s="14" t="s">
        <v>3125</v>
      </c>
      <c r="E21" s="14" t="s">
        <v>4253</v>
      </c>
      <c r="F21" s="14" t="s">
        <v>3126</v>
      </c>
      <c r="G21" s="14" t="s">
        <v>121</v>
      </c>
      <c r="H21" s="14" t="s">
        <v>3127</v>
      </c>
      <c r="I21" s="14" t="s">
        <v>3128</v>
      </c>
      <c r="J21" s="14" t="s">
        <v>60</v>
      </c>
      <c r="K21" s="14" t="s">
        <v>60</v>
      </c>
      <c r="L21" s="14" t="s">
        <v>60</v>
      </c>
      <c r="M21" s="14" t="s">
        <v>60</v>
      </c>
      <c r="N21" s="14" t="s">
        <v>60</v>
      </c>
      <c r="O21" s="14" t="s">
        <v>60</v>
      </c>
      <c r="P21" s="14" t="s">
        <v>4254</v>
      </c>
      <c r="Q21" s="14" t="s">
        <v>32</v>
      </c>
      <c r="R21" s="3">
        <v>0</v>
      </c>
      <c r="S21" s="3">
        <f t="shared" si="0"/>
        <v>550</v>
      </c>
      <c r="T21" s="3">
        <f t="shared" si="1"/>
        <v>0</v>
      </c>
      <c r="U21" s="3" t="s">
        <v>60</v>
      </c>
      <c r="V21" s="14" t="s">
        <v>6</v>
      </c>
      <c r="W21" s="14" t="s">
        <v>2892</v>
      </c>
      <c r="X21" s="14" t="s">
        <v>60</v>
      </c>
    </row>
    <row r="22" spans="1:24" ht="15" x14ac:dyDescent="0.3">
      <c r="A22" s="3">
        <v>20</v>
      </c>
      <c r="B22" s="3" t="s">
        <v>4255</v>
      </c>
      <c r="C22" s="14" t="s">
        <v>0</v>
      </c>
      <c r="D22" s="14" t="s">
        <v>4256</v>
      </c>
      <c r="E22" s="14" t="s">
        <v>4257</v>
      </c>
      <c r="F22" s="14" t="s">
        <v>3129</v>
      </c>
      <c r="G22" s="14" t="s">
        <v>3</v>
      </c>
      <c r="H22" s="14" t="s">
        <v>4258</v>
      </c>
      <c r="I22" s="14" t="s">
        <v>3130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4259</v>
      </c>
      <c r="Q22" s="14" t="s">
        <v>5</v>
      </c>
      <c r="R22" s="3">
        <v>0</v>
      </c>
      <c r="S22" s="3">
        <f t="shared" si="0"/>
        <v>550</v>
      </c>
      <c r="T22" s="3">
        <f t="shared" si="1"/>
        <v>0</v>
      </c>
      <c r="U22" s="3" t="s">
        <v>4260</v>
      </c>
      <c r="V22" s="14" t="s">
        <v>6</v>
      </c>
      <c r="W22" s="14" t="s">
        <v>2892</v>
      </c>
      <c r="X22" s="14" t="s">
        <v>60</v>
      </c>
    </row>
    <row r="23" spans="1:24" ht="15" x14ac:dyDescent="0.3">
      <c r="A23" s="3">
        <v>21</v>
      </c>
      <c r="B23" s="3" t="s">
        <v>4261</v>
      </c>
      <c r="C23" s="14" t="s">
        <v>0</v>
      </c>
      <c r="D23" s="14" t="s">
        <v>3131</v>
      </c>
      <c r="E23" s="14" t="s">
        <v>4262</v>
      </c>
      <c r="F23" s="14" t="s">
        <v>3132</v>
      </c>
      <c r="G23" s="14" t="s">
        <v>121</v>
      </c>
      <c r="H23" s="14" t="s">
        <v>4263</v>
      </c>
      <c r="I23" s="14" t="s">
        <v>3133</v>
      </c>
      <c r="J23" s="14" t="s">
        <v>60</v>
      </c>
      <c r="K23" s="14" t="s">
        <v>60</v>
      </c>
      <c r="L23" s="14" t="s">
        <v>60</v>
      </c>
      <c r="M23" s="14" t="s">
        <v>3134</v>
      </c>
      <c r="N23" s="14" t="s">
        <v>60</v>
      </c>
      <c r="O23" s="14" t="s">
        <v>961</v>
      </c>
      <c r="P23" s="14" t="s">
        <v>4264</v>
      </c>
      <c r="Q23" s="14" t="s">
        <v>11</v>
      </c>
      <c r="R23" s="3">
        <v>0</v>
      </c>
      <c r="S23" s="3">
        <f t="shared" si="0"/>
        <v>550</v>
      </c>
      <c r="T23" s="3">
        <f t="shared" si="1"/>
        <v>0</v>
      </c>
      <c r="U23" s="3" t="s">
        <v>60</v>
      </c>
      <c r="V23" s="14" t="s">
        <v>6</v>
      </c>
      <c r="W23" s="14" t="s">
        <v>4265</v>
      </c>
      <c r="X23" s="14" t="s">
        <v>60</v>
      </c>
    </row>
    <row r="24" spans="1:24" ht="15" x14ac:dyDescent="0.3">
      <c r="A24" s="3">
        <v>22</v>
      </c>
      <c r="B24" s="3" t="s">
        <v>4266</v>
      </c>
      <c r="C24" s="14" t="s">
        <v>0</v>
      </c>
      <c r="D24" s="14" t="s">
        <v>3135</v>
      </c>
      <c r="E24" s="14" t="s">
        <v>3136</v>
      </c>
      <c r="F24" s="14" t="s">
        <v>3137</v>
      </c>
      <c r="G24" s="14" t="s">
        <v>121</v>
      </c>
      <c r="H24" s="14" t="s">
        <v>4267</v>
      </c>
      <c r="I24" s="14" t="s">
        <v>3138</v>
      </c>
      <c r="J24" s="14" t="s">
        <v>60</v>
      </c>
      <c r="K24" s="14" t="s">
        <v>60</v>
      </c>
      <c r="L24" s="14" t="s">
        <v>60</v>
      </c>
      <c r="M24" s="14" t="s">
        <v>3139</v>
      </c>
      <c r="N24" s="14" t="s">
        <v>60</v>
      </c>
      <c r="O24" s="14" t="s">
        <v>3140</v>
      </c>
      <c r="P24" s="14" t="s">
        <v>4268</v>
      </c>
      <c r="Q24" s="14" t="s">
        <v>5</v>
      </c>
      <c r="R24" s="3">
        <v>0</v>
      </c>
      <c r="S24" s="3">
        <f t="shared" si="0"/>
        <v>550</v>
      </c>
      <c r="T24" s="3">
        <f t="shared" si="1"/>
        <v>0</v>
      </c>
      <c r="U24" s="3" t="s">
        <v>60</v>
      </c>
      <c r="V24" s="14" t="s">
        <v>6</v>
      </c>
      <c r="W24" s="14" t="s">
        <v>4269</v>
      </c>
      <c r="X24" s="14" t="s">
        <v>60</v>
      </c>
    </row>
    <row r="25" spans="1:24" ht="15" x14ac:dyDescent="0.3">
      <c r="A25" s="3">
        <v>23</v>
      </c>
      <c r="B25" s="3" t="s">
        <v>4270</v>
      </c>
      <c r="C25" s="14" t="s">
        <v>0</v>
      </c>
      <c r="D25" s="14" t="s">
        <v>3141</v>
      </c>
      <c r="E25" s="14" t="s">
        <v>4271</v>
      </c>
      <c r="F25" s="14" t="s">
        <v>3024</v>
      </c>
      <c r="G25" s="14" t="s">
        <v>3</v>
      </c>
      <c r="H25" s="14" t="s">
        <v>4272</v>
      </c>
      <c r="I25" s="14" t="s">
        <v>3142</v>
      </c>
      <c r="J25" s="14" t="s">
        <v>60</v>
      </c>
      <c r="K25" s="14" t="s">
        <v>60</v>
      </c>
      <c r="L25" s="14" t="s">
        <v>60</v>
      </c>
      <c r="M25" s="14" t="s">
        <v>3143</v>
      </c>
      <c r="N25" s="14" t="s">
        <v>60</v>
      </c>
      <c r="O25" s="14" t="s">
        <v>487</v>
      </c>
      <c r="P25" s="14" t="s">
        <v>4273</v>
      </c>
      <c r="Q25" s="14" t="s">
        <v>11</v>
      </c>
      <c r="R25" s="3">
        <v>0</v>
      </c>
      <c r="S25" s="3">
        <f t="shared" si="0"/>
        <v>550</v>
      </c>
      <c r="T25" s="3">
        <f t="shared" si="1"/>
        <v>0</v>
      </c>
      <c r="U25" s="3" t="s">
        <v>60</v>
      </c>
      <c r="V25" s="14" t="s">
        <v>6</v>
      </c>
      <c r="W25" s="14" t="s">
        <v>4274</v>
      </c>
      <c r="X25" s="14" t="s">
        <v>60</v>
      </c>
    </row>
    <row r="26" spans="1:24" ht="15" x14ac:dyDescent="0.3">
      <c r="A26" s="3">
        <v>24</v>
      </c>
      <c r="B26" s="3" t="s">
        <v>4275</v>
      </c>
      <c r="C26" s="14" t="s">
        <v>313</v>
      </c>
      <c r="D26" s="14" t="s">
        <v>3144</v>
      </c>
      <c r="E26" s="14" t="s">
        <v>3145</v>
      </c>
      <c r="F26" s="14" t="s">
        <v>3146</v>
      </c>
      <c r="G26" s="14" t="s">
        <v>3</v>
      </c>
      <c r="H26" s="14" t="s">
        <v>4276</v>
      </c>
      <c r="I26" s="14" t="s">
        <v>3147</v>
      </c>
      <c r="J26" s="14" t="s">
        <v>60</v>
      </c>
      <c r="K26" s="14" t="s">
        <v>60</v>
      </c>
      <c r="L26" s="14" t="s">
        <v>60</v>
      </c>
      <c r="M26" s="14" t="s">
        <v>3148</v>
      </c>
      <c r="N26" s="14" t="s">
        <v>60</v>
      </c>
      <c r="O26" s="14" t="s">
        <v>246</v>
      </c>
      <c r="P26" s="14" t="s">
        <v>4277</v>
      </c>
      <c r="Q26" s="14" t="s">
        <v>3149</v>
      </c>
      <c r="R26" s="3">
        <v>0</v>
      </c>
      <c r="S26" s="3">
        <f t="shared" si="0"/>
        <v>550</v>
      </c>
      <c r="T26" s="3">
        <f t="shared" si="1"/>
        <v>0</v>
      </c>
      <c r="U26" s="3" t="s">
        <v>60</v>
      </c>
      <c r="V26" s="14" t="s">
        <v>6</v>
      </c>
      <c r="W26" s="14" t="s">
        <v>4278</v>
      </c>
      <c r="X26" s="14" t="s">
        <v>60</v>
      </c>
    </row>
    <row r="27" spans="1:24" ht="15" x14ac:dyDescent="0.3">
      <c r="A27" s="3">
        <v>25</v>
      </c>
      <c r="B27" s="3" t="s">
        <v>4279</v>
      </c>
      <c r="C27" s="14" t="s">
        <v>0</v>
      </c>
      <c r="D27" s="14" t="s">
        <v>3150</v>
      </c>
      <c r="E27" s="14" t="s">
        <v>4280</v>
      </c>
      <c r="F27" s="14" t="s">
        <v>3151</v>
      </c>
      <c r="G27" s="14" t="s">
        <v>3</v>
      </c>
      <c r="H27" s="14" t="s">
        <v>4281</v>
      </c>
      <c r="I27" s="14" t="s">
        <v>3152</v>
      </c>
      <c r="J27" s="14" t="s">
        <v>60</v>
      </c>
      <c r="K27" s="14" t="s">
        <v>60</v>
      </c>
      <c r="L27" s="14" t="s">
        <v>60</v>
      </c>
      <c r="M27" s="14" t="s">
        <v>60</v>
      </c>
      <c r="N27" s="14" t="s">
        <v>60</v>
      </c>
      <c r="O27" s="14" t="s">
        <v>60</v>
      </c>
      <c r="P27" s="14" t="s">
        <v>4282</v>
      </c>
      <c r="Q27" s="14" t="s">
        <v>11</v>
      </c>
      <c r="R27" s="3">
        <v>0</v>
      </c>
      <c r="S27" s="3">
        <f t="shared" si="0"/>
        <v>550</v>
      </c>
      <c r="T27" s="3">
        <f t="shared" si="1"/>
        <v>0</v>
      </c>
      <c r="U27" s="3" t="s">
        <v>60</v>
      </c>
      <c r="V27" s="14" t="s">
        <v>6</v>
      </c>
      <c r="W27" s="14" t="s">
        <v>2892</v>
      </c>
      <c r="X27" s="14" t="s">
        <v>60</v>
      </c>
    </row>
    <row r="28" spans="1:24" ht="15" x14ac:dyDescent="0.3">
      <c r="A28" s="3">
        <v>26</v>
      </c>
      <c r="B28" s="3" t="s">
        <v>4283</v>
      </c>
      <c r="C28" s="14" t="s">
        <v>14</v>
      </c>
      <c r="D28" s="14" t="s">
        <v>3153</v>
      </c>
      <c r="E28" s="14" t="s">
        <v>4284</v>
      </c>
      <c r="F28" s="14" t="s">
        <v>3154</v>
      </c>
      <c r="G28" s="14" t="s">
        <v>3</v>
      </c>
      <c r="H28" s="14" t="s">
        <v>4285</v>
      </c>
      <c r="I28" s="14" t="s">
        <v>3155</v>
      </c>
      <c r="J28" s="14" t="s">
        <v>60</v>
      </c>
      <c r="K28" s="14" t="s">
        <v>60</v>
      </c>
      <c r="L28" s="14" t="s">
        <v>60</v>
      </c>
      <c r="M28" s="14" t="s">
        <v>60</v>
      </c>
      <c r="N28" s="14" t="s">
        <v>60</v>
      </c>
      <c r="O28" s="14" t="s">
        <v>3156</v>
      </c>
      <c r="P28" s="14" t="s">
        <v>4286</v>
      </c>
      <c r="Q28" s="14" t="s">
        <v>32</v>
      </c>
      <c r="R28" s="3">
        <v>0</v>
      </c>
      <c r="S28" s="3">
        <f t="shared" si="0"/>
        <v>640</v>
      </c>
      <c r="T28" s="3">
        <f t="shared" si="1"/>
        <v>0</v>
      </c>
      <c r="U28" s="3" t="s">
        <v>60</v>
      </c>
      <c r="V28" s="14" t="s">
        <v>6</v>
      </c>
      <c r="W28" s="14" t="s">
        <v>4287</v>
      </c>
      <c r="X28" s="14" t="s">
        <v>60</v>
      </c>
    </row>
    <row r="29" spans="1:24" ht="15" x14ac:dyDescent="0.3">
      <c r="A29" s="3">
        <v>27</v>
      </c>
      <c r="B29" s="3" t="s">
        <v>4288</v>
      </c>
      <c r="C29" s="14" t="s">
        <v>69</v>
      </c>
      <c r="D29" s="14" t="s">
        <v>3157</v>
      </c>
      <c r="E29" s="14" t="s">
        <v>4289</v>
      </c>
      <c r="F29" s="14" t="s">
        <v>3158</v>
      </c>
      <c r="G29" s="14" t="s">
        <v>3</v>
      </c>
      <c r="H29" s="14" t="s">
        <v>4290</v>
      </c>
      <c r="I29" s="14" t="s">
        <v>3159</v>
      </c>
      <c r="J29" s="14" t="s">
        <v>60</v>
      </c>
      <c r="K29" s="14" t="s">
        <v>60</v>
      </c>
      <c r="L29" s="14" t="s">
        <v>60</v>
      </c>
      <c r="M29" s="14" t="s">
        <v>60</v>
      </c>
      <c r="N29" s="14" t="s">
        <v>60</v>
      </c>
      <c r="O29" s="14" t="s">
        <v>3160</v>
      </c>
      <c r="P29" s="14" t="s">
        <v>4291</v>
      </c>
      <c r="Q29" s="14" t="s">
        <v>32</v>
      </c>
      <c r="R29" s="3">
        <v>0</v>
      </c>
      <c r="S29" s="3">
        <f t="shared" si="0"/>
        <v>570</v>
      </c>
      <c r="T29" s="3">
        <f t="shared" si="1"/>
        <v>0</v>
      </c>
      <c r="U29" s="3" t="s">
        <v>60</v>
      </c>
      <c r="V29" s="14" t="s">
        <v>6</v>
      </c>
      <c r="W29" s="14" t="s">
        <v>4287</v>
      </c>
      <c r="X29" s="14" t="s">
        <v>60</v>
      </c>
    </row>
    <row r="30" spans="1:24" ht="15" x14ac:dyDescent="0.3">
      <c r="A30" s="3">
        <v>28</v>
      </c>
      <c r="B30" s="3" t="s">
        <v>4292</v>
      </c>
      <c r="C30" s="14" t="s">
        <v>0</v>
      </c>
      <c r="D30" s="14" t="s">
        <v>3161</v>
      </c>
      <c r="E30" s="14" t="s">
        <v>4293</v>
      </c>
      <c r="F30" s="14" t="s">
        <v>3162</v>
      </c>
      <c r="G30" s="14" t="s">
        <v>3</v>
      </c>
      <c r="H30" s="14" t="s">
        <v>4294</v>
      </c>
      <c r="I30" s="14" t="s">
        <v>3163</v>
      </c>
      <c r="J30" s="14" t="s">
        <v>60</v>
      </c>
      <c r="K30" s="14" t="s">
        <v>60</v>
      </c>
      <c r="L30" s="14" t="s">
        <v>60</v>
      </c>
      <c r="M30" s="14" t="s">
        <v>60</v>
      </c>
      <c r="N30" s="14" t="s">
        <v>60</v>
      </c>
      <c r="O30" s="14" t="s">
        <v>60</v>
      </c>
      <c r="P30" s="14" t="s">
        <v>4295</v>
      </c>
      <c r="Q30" s="14" t="s">
        <v>240</v>
      </c>
      <c r="R30" s="3">
        <v>0</v>
      </c>
      <c r="S30" s="3">
        <f t="shared" si="0"/>
        <v>550</v>
      </c>
      <c r="T30" s="3">
        <f t="shared" si="1"/>
        <v>0</v>
      </c>
      <c r="U30" s="3" t="s">
        <v>60</v>
      </c>
      <c r="V30" s="14" t="s">
        <v>6</v>
      </c>
      <c r="W30" s="14" t="s">
        <v>2892</v>
      </c>
      <c r="X30" s="14" t="s">
        <v>60</v>
      </c>
    </row>
    <row r="31" spans="1:24" ht="15" x14ac:dyDescent="0.3">
      <c r="A31" s="3">
        <v>29</v>
      </c>
      <c r="B31" s="3" t="s">
        <v>4296</v>
      </c>
      <c r="C31" s="14" t="s">
        <v>0</v>
      </c>
      <c r="D31" s="14" t="s">
        <v>3164</v>
      </c>
      <c r="E31" s="14" t="s">
        <v>4297</v>
      </c>
      <c r="F31" s="14" t="s">
        <v>3165</v>
      </c>
      <c r="G31" s="14" t="s">
        <v>3</v>
      </c>
      <c r="H31" s="14" t="s">
        <v>4298</v>
      </c>
      <c r="I31" s="14" t="s">
        <v>3166</v>
      </c>
      <c r="J31" s="14" t="s">
        <v>60</v>
      </c>
      <c r="K31" s="14" t="s">
        <v>60</v>
      </c>
      <c r="L31" s="14" t="s">
        <v>60</v>
      </c>
      <c r="M31" s="14" t="s">
        <v>3167</v>
      </c>
      <c r="N31" s="14" t="s">
        <v>60</v>
      </c>
      <c r="O31" s="14" t="s">
        <v>60</v>
      </c>
      <c r="P31" s="14" t="s">
        <v>4299</v>
      </c>
      <c r="Q31" s="14" t="s">
        <v>11</v>
      </c>
      <c r="R31" s="3">
        <v>0</v>
      </c>
      <c r="S31" s="3">
        <f t="shared" si="0"/>
        <v>550</v>
      </c>
      <c r="T31" s="3">
        <f t="shared" si="1"/>
        <v>0</v>
      </c>
      <c r="U31" s="3" t="s">
        <v>60</v>
      </c>
      <c r="V31" s="14" t="s">
        <v>4301</v>
      </c>
      <c r="W31" s="14" t="s">
        <v>4302</v>
      </c>
      <c r="X31" s="14" t="s">
        <v>60</v>
      </c>
    </row>
    <row r="32" spans="1:24" ht="15" x14ac:dyDescent="0.3">
      <c r="A32" s="3">
        <v>30</v>
      </c>
      <c r="B32" s="3" t="s">
        <v>4303</v>
      </c>
      <c r="C32" s="14" t="s">
        <v>0</v>
      </c>
      <c r="D32" s="14" t="s">
        <v>3168</v>
      </c>
      <c r="E32" s="14" t="s">
        <v>4304</v>
      </c>
      <c r="F32" s="14" t="s">
        <v>3169</v>
      </c>
      <c r="G32" s="14" t="s">
        <v>3</v>
      </c>
      <c r="H32" s="14" t="s">
        <v>4305</v>
      </c>
      <c r="I32" s="14" t="s">
        <v>3170</v>
      </c>
      <c r="J32" s="14" t="s">
        <v>60</v>
      </c>
      <c r="K32" s="14" t="s">
        <v>60</v>
      </c>
      <c r="L32" s="14" t="s">
        <v>60</v>
      </c>
      <c r="M32" s="14" t="s">
        <v>3171</v>
      </c>
      <c r="N32" s="14" t="s">
        <v>60</v>
      </c>
      <c r="O32" s="14" t="s">
        <v>60</v>
      </c>
      <c r="P32" s="14" t="s">
        <v>4306</v>
      </c>
      <c r="Q32" s="14" t="s">
        <v>11</v>
      </c>
      <c r="R32" s="3">
        <v>0</v>
      </c>
      <c r="S32" s="3">
        <f t="shared" si="0"/>
        <v>550</v>
      </c>
      <c r="T32" s="3">
        <f t="shared" si="1"/>
        <v>0</v>
      </c>
      <c r="U32" s="3" t="s">
        <v>60</v>
      </c>
      <c r="V32" s="14" t="s">
        <v>4301</v>
      </c>
      <c r="W32" s="14" t="s">
        <v>4302</v>
      </c>
      <c r="X32" s="14" t="s">
        <v>60</v>
      </c>
    </row>
    <row r="33" spans="1:24" ht="15" x14ac:dyDescent="0.3">
      <c r="A33" s="3">
        <v>31</v>
      </c>
      <c r="B33" s="3" t="s">
        <v>4307</v>
      </c>
      <c r="C33" s="14" t="s">
        <v>0</v>
      </c>
      <c r="D33" s="14" t="s">
        <v>3172</v>
      </c>
      <c r="E33" s="14" t="s">
        <v>4308</v>
      </c>
      <c r="F33" s="14" t="s">
        <v>3173</v>
      </c>
      <c r="G33" s="14" t="s">
        <v>3</v>
      </c>
      <c r="H33" s="14" t="s">
        <v>4309</v>
      </c>
      <c r="I33" s="14" t="s">
        <v>3174</v>
      </c>
      <c r="J33" s="14" t="s">
        <v>60</v>
      </c>
      <c r="K33" s="14" t="s">
        <v>60</v>
      </c>
      <c r="L33" s="14" t="s">
        <v>60</v>
      </c>
      <c r="M33" s="14" t="s">
        <v>3175</v>
      </c>
      <c r="N33" s="14" t="s">
        <v>60</v>
      </c>
      <c r="O33" s="14" t="s">
        <v>60</v>
      </c>
      <c r="P33" s="14" t="s">
        <v>4310</v>
      </c>
      <c r="Q33" s="14" t="s">
        <v>11</v>
      </c>
      <c r="R33" s="3">
        <v>0</v>
      </c>
      <c r="S33" s="3">
        <f t="shared" si="0"/>
        <v>550</v>
      </c>
      <c r="T33" s="3">
        <f t="shared" si="1"/>
        <v>0</v>
      </c>
      <c r="U33" s="3" t="s">
        <v>60</v>
      </c>
      <c r="V33" s="14" t="s">
        <v>4301</v>
      </c>
      <c r="W33" s="14" t="s">
        <v>4302</v>
      </c>
      <c r="X33" s="14" t="s">
        <v>60</v>
      </c>
    </row>
    <row r="34" spans="1:24" ht="15" x14ac:dyDescent="0.3">
      <c r="A34" s="3">
        <v>32</v>
      </c>
      <c r="B34" s="3" t="s">
        <v>4312</v>
      </c>
      <c r="C34" s="14" t="s">
        <v>0</v>
      </c>
      <c r="D34" s="14" t="s">
        <v>3176</v>
      </c>
      <c r="E34" s="14" t="s">
        <v>4313</v>
      </c>
      <c r="F34" s="14" t="s">
        <v>3177</v>
      </c>
      <c r="G34" s="14" t="s">
        <v>3</v>
      </c>
      <c r="H34" s="14" t="s">
        <v>4314</v>
      </c>
      <c r="I34" s="14" t="s">
        <v>3178</v>
      </c>
      <c r="J34" s="14" t="s">
        <v>60</v>
      </c>
      <c r="K34" s="14" t="s">
        <v>60</v>
      </c>
      <c r="L34" s="14" t="s">
        <v>60</v>
      </c>
      <c r="M34" s="14" t="s">
        <v>3179</v>
      </c>
      <c r="N34" s="14" t="s">
        <v>60</v>
      </c>
      <c r="O34" s="14" t="s">
        <v>60</v>
      </c>
      <c r="P34" s="14" t="s">
        <v>4315</v>
      </c>
      <c r="Q34" s="14" t="s">
        <v>32</v>
      </c>
      <c r="R34" s="3">
        <v>0</v>
      </c>
      <c r="S34" s="3">
        <f t="shared" si="0"/>
        <v>550</v>
      </c>
      <c r="T34" s="3">
        <f t="shared" si="1"/>
        <v>0</v>
      </c>
      <c r="U34" s="3" t="s">
        <v>60</v>
      </c>
      <c r="V34" s="14" t="s">
        <v>6</v>
      </c>
      <c r="W34" s="14" t="s">
        <v>4317</v>
      </c>
      <c r="X34" s="14" t="s">
        <v>60</v>
      </c>
    </row>
    <row r="35" spans="1:24" ht="15" x14ac:dyDescent="0.3">
      <c r="A35" s="3">
        <v>33</v>
      </c>
      <c r="B35" s="3" t="s">
        <v>4318</v>
      </c>
      <c r="C35" s="14" t="s">
        <v>390</v>
      </c>
      <c r="D35" s="14" t="s">
        <v>3180</v>
      </c>
      <c r="E35" s="14" t="s">
        <v>4319</v>
      </c>
      <c r="F35" s="14" t="s">
        <v>3181</v>
      </c>
      <c r="G35" s="14" t="s">
        <v>3</v>
      </c>
      <c r="H35" s="14" t="s">
        <v>4320</v>
      </c>
      <c r="I35" s="14" t="s">
        <v>3182</v>
      </c>
      <c r="J35" s="14" t="s">
        <v>60</v>
      </c>
      <c r="K35" s="14" t="s">
        <v>60</v>
      </c>
      <c r="L35" s="14" t="s">
        <v>60</v>
      </c>
      <c r="M35" s="14" t="s">
        <v>60</v>
      </c>
      <c r="N35" s="14" t="s">
        <v>60</v>
      </c>
      <c r="O35" s="14" t="s">
        <v>31</v>
      </c>
      <c r="P35" s="14" t="s">
        <v>4321</v>
      </c>
      <c r="Q35" s="14" t="s">
        <v>11</v>
      </c>
      <c r="R35" s="3">
        <v>0</v>
      </c>
      <c r="S35" s="3">
        <f t="shared" si="0"/>
        <v>770</v>
      </c>
      <c r="T35" s="3">
        <f t="shared" si="1"/>
        <v>0</v>
      </c>
      <c r="U35" s="3" t="s">
        <v>60</v>
      </c>
      <c r="V35" s="14" t="s">
        <v>6</v>
      </c>
      <c r="W35" s="14" t="s">
        <v>33</v>
      </c>
      <c r="X35" s="14" t="s">
        <v>60</v>
      </c>
    </row>
    <row r="36" spans="1:24" ht="15" x14ac:dyDescent="0.3">
      <c r="A36" s="3">
        <v>34</v>
      </c>
      <c r="B36" s="3" t="s">
        <v>4322</v>
      </c>
      <c r="C36" s="14" t="s">
        <v>0</v>
      </c>
      <c r="D36" s="14" t="s">
        <v>3183</v>
      </c>
      <c r="E36" s="14" t="s">
        <v>4323</v>
      </c>
      <c r="F36" s="14" t="s">
        <v>3184</v>
      </c>
      <c r="G36" s="14" t="s">
        <v>3</v>
      </c>
      <c r="H36" s="14" t="s">
        <v>4324</v>
      </c>
      <c r="I36" s="14" t="s">
        <v>3185</v>
      </c>
      <c r="J36" s="14" t="s">
        <v>60</v>
      </c>
      <c r="K36" s="14" t="s">
        <v>60</v>
      </c>
      <c r="L36" s="14" t="s">
        <v>60</v>
      </c>
      <c r="M36" s="14" t="s">
        <v>3186</v>
      </c>
      <c r="N36" s="14" t="s">
        <v>60</v>
      </c>
      <c r="O36" s="14" t="s">
        <v>169</v>
      </c>
      <c r="P36" s="14" t="s">
        <v>4325</v>
      </c>
      <c r="Q36" s="14" t="s">
        <v>11</v>
      </c>
      <c r="R36" s="3">
        <v>0</v>
      </c>
      <c r="S36" s="3">
        <f t="shared" si="0"/>
        <v>550</v>
      </c>
      <c r="T36" s="3">
        <f t="shared" si="1"/>
        <v>0</v>
      </c>
      <c r="U36" s="3" t="s">
        <v>60</v>
      </c>
      <c r="V36" s="14" t="s">
        <v>6</v>
      </c>
      <c r="W36" s="14" t="s">
        <v>4327</v>
      </c>
      <c r="X36" s="14" t="s">
        <v>60</v>
      </c>
    </row>
    <row r="37" spans="1:24" ht="15" x14ac:dyDescent="0.3">
      <c r="A37" s="3">
        <v>35</v>
      </c>
      <c r="B37" s="3" t="s">
        <v>4328</v>
      </c>
      <c r="C37" s="14" t="s">
        <v>0</v>
      </c>
      <c r="D37" s="14" t="s">
        <v>3187</v>
      </c>
      <c r="E37" s="14" t="s">
        <v>4329</v>
      </c>
      <c r="F37" s="14" t="s">
        <v>3188</v>
      </c>
      <c r="G37" s="14" t="s">
        <v>3</v>
      </c>
      <c r="H37" s="14" t="s">
        <v>3189</v>
      </c>
      <c r="I37" s="14" t="s">
        <v>3190</v>
      </c>
      <c r="J37" s="14" t="s">
        <v>60</v>
      </c>
      <c r="K37" s="14" t="s">
        <v>60</v>
      </c>
      <c r="L37" s="14" t="s">
        <v>60</v>
      </c>
      <c r="M37" s="14" t="s">
        <v>60</v>
      </c>
      <c r="N37" s="14" t="s">
        <v>60</v>
      </c>
      <c r="O37" s="14" t="s">
        <v>4330</v>
      </c>
      <c r="P37" s="14" t="s">
        <v>4331</v>
      </c>
      <c r="Q37" s="14" t="s">
        <v>5</v>
      </c>
      <c r="R37" s="3">
        <v>0</v>
      </c>
      <c r="S37" s="3">
        <f t="shared" si="0"/>
        <v>550</v>
      </c>
      <c r="T37" s="3">
        <f t="shared" si="1"/>
        <v>0</v>
      </c>
      <c r="U37" s="3" t="s">
        <v>60</v>
      </c>
      <c r="V37" s="14" t="s">
        <v>6</v>
      </c>
      <c r="W37" s="14" t="s">
        <v>7</v>
      </c>
      <c r="X37" s="14" t="s">
        <v>60</v>
      </c>
    </row>
    <row r="38" spans="1:24" ht="15" x14ac:dyDescent="0.3">
      <c r="A38" s="3">
        <v>36</v>
      </c>
      <c r="B38" s="3" t="s">
        <v>4332</v>
      </c>
      <c r="C38" s="14" t="s">
        <v>0</v>
      </c>
      <c r="D38" s="14" t="s">
        <v>3191</v>
      </c>
      <c r="E38" s="14" t="s">
        <v>4333</v>
      </c>
      <c r="F38" s="14" t="s">
        <v>3192</v>
      </c>
      <c r="G38" s="14" t="s">
        <v>121</v>
      </c>
      <c r="H38" s="14" t="s">
        <v>4334</v>
      </c>
      <c r="I38" s="14" t="s">
        <v>4335</v>
      </c>
      <c r="J38" s="14" t="s">
        <v>60</v>
      </c>
      <c r="K38" s="14" t="s">
        <v>60</v>
      </c>
      <c r="L38" s="14" t="s">
        <v>60</v>
      </c>
      <c r="M38" s="14" t="s">
        <v>3193</v>
      </c>
      <c r="N38" s="14" t="s">
        <v>60</v>
      </c>
      <c r="O38" s="14" t="s">
        <v>172</v>
      </c>
      <c r="P38" s="14" t="s">
        <v>4336</v>
      </c>
      <c r="Q38" s="14" t="s">
        <v>11</v>
      </c>
      <c r="R38" s="3">
        <v>0</v>
      </c>
      <c r="S38" s="3">
        <f t="shared" si="0"/>
        <v>550</v>
      </c>
      <c r="T38" s="3">
        <f t="shared" si="1"/>
        <v>0</v>
      </c>
      <c r="U38" s="3" t="s">
        <v>60</v>
      </c>
      <c r="V38" s="14" t="s">
        <v>6</v>
      </c>
      <c r="W38" s="14" t="s">
        <v>173</v>
      </c>
      <c r="X38" s="14" t="s">
        <v>60</v>
      </c>
    </row>
    <row r="39" spans="1:24" ht="15" x14ac:dyDescent="0.3">
      <c r="A39" s="3">
        <v>37</v>
      </c>
      <c r="B39" s="3" t="s">
        <v>4337</v>
      </c>
      <c r="C39" s="14" t="s">
        <v>0</v>
      </c>
      <c r="D39" s="14" t="s">
        <v>3194</v>
      </c>
      <c r="E39" s="14" t="s">
        <v>4338</v>
      </c>
      <c r="F39" s="14" t="s">
        <v>3195</v>
      </c>
      <c r="G39" s="14" t="s">
        <v>3</v>
      </c>
      <c r="H39" s="14" t="s">
        <v>4339</v>
      </c>
      <c r="I39" s="14" t="s">
        <v>4340</v>
      </c>
      <c r="J39" s="14" t="s">
        <v>60</v>
      </c>
      <c r="K39" s="14" t="s">
        <v>60</v>
      </c>
      <c r="L39" s="14" t="s">
        <v>60</v>
      </c>
      <c r="M39" s="14" t="s">
        <v>3196</v>
      </c>
      <c r="N39" s="14" t="s">
        <v>60</v>
      </c>
      <c r="O39" s="14" t="s">
        <v>172</v>
      </c>
      <c r="P39" s="14" t="s">
        <v>4341</v>
      </c>
      <c r="Q39" s="14" t="s">
        <v>81</v>
      </c>
      <c r="R39" s="3">
        <v>0</v>
      </c>
      <c r="S39" s="3">
        <f t="shared" si="0"/>
        <v>550</v>
      </c>
      <c r="T39" s="3">
        <f t="shared" si="1"/>
        <v>0</v>
      </c>
      <c r="U39" s="3" t="s">
        <v>60</v>
      </c>
      <c r="V39" s="14" t="s">
        <v>6</v>
      </c>
      <c r="W39" s="14" t="s">
        <v>173</v>
      </c>
      <c r="X39" s="14" t="s">
        <v>60</v>
      </c>
    </row>
    <row r="40" spans="1:24" ht="15" x14ac:dyDescent="0.3">
      <c r="A40" s="3">
        <v>38</v>
      </c>
      <c r="B40" s="3" t="s">
        <v>4342</v>
      </c>
      <c r="C40" s="14" t="s">
        <v>0</v>
      </c>
      <c r="D40" s="14" t="s">
        <v>3197</v>
      </c>
      <c r="E40" s="14" t="s">
        <v>4343</v>
      </c>
      <c r="F40" s="14" t="s">
        <v>3198</v>
      </c>
      <c r="G40" s="14" t="s">
        <v>3</v>
      </c>
      <c r="H40" s="14" t="s">
        <v>4344</v>
      </c>
      <c r="I40" s="14" t="s">
        <v>4345</v>
      </c>
      <c r="J40" s="14" t="s">
        <v>60</v>
      </c>
      <c r="K40" s="14" t="s">
        <v>60</v>
      </c>
      <c r="L40" s="14" t="s">
        <v>60</v>
      </c>
      <c r="M40" s="14" t="s">
        <v>3199</v>
      </c>
      <c r="N40" s="14" t="s">
        <v>60</v>
      </c>
      <c r="O40" s="14" t="s">
        <v>172</v>
      </c>
      <c r="P40" s="14" t="s">
        <v>4346</v>
      </c>
      <c r="Q40" s="14" t="s">
        <v>32</v>
      </c>
      <c r="R40" s="3">
        <v>0</v>
      </c>
      <c r="S40" s="3">
        <f t="shared" si="0"/>
        <v>550</v>
      </c>
      <c r="T40" s="3">
        <f t="shared" si="1"/>
        <v>0</v>
      </c>
      <c r="U40" s="3" t="s">
        <v>60</v>
      </c>
      <c r="V40" s="14" t="s">
        <v>6</v>
      </c>
      <c r="W40" s="14" t="s">
        <v>173</v>
      </c>
      <c r="X40" s="14" t="s">
        <v>60</v>
      </c>
    </row>
    <row r="41" spans="1:24" ht="15" x14ac:dyDescent="0.3">
      <c r="A41" s="3">
        <v>39</v>
      </c>
      <c r="B41" s="3" t="s">
        <v>4347</v>
      </c>
      <c r="C41" s="14" t="s">
        <v>0</v>
      </c>
      <c r="D41" s="14" t="s">
        <v>3200</v>
      </c>
      <c r="E41" s="14" t="s">
        <v>4348</v>
      </c>
      <c r="F41" s="14" t="s">
        <v>3201</v>
      </c>
      <c r="G41" s="14" t="s">
        <v>3</v>
      </c>
      <c r="H41" s="14" t="s">
        <v>2970</v>
      </c>
      <c r="I41" s="14" t="s">
        <v>4349</v>
      </c>
      <c r="J41" s="14" t="s">
        <v>60</v>
      </c>
      <c r="K41" s="14" t="s">
        <v>60</v>
      </c>
      <c r="L41" s="14" t="s">
        <v>60</v>
      </c>
      <c r="M41" s="14" t="s">
        <v>3202</v>
      </c>
      <c r="N41" s="14" t="s">
        <v>60</v>
      </c>
      <c r="O41" s="14" t="s">
        <v>172</v>
      </c>
      <c r="P41" s="14" t="s">
        <v>4350</v>
      </c>
      <c r="Q41" s="14" t="s">
        <v>32</v>
      </c>
      <c r="R41" s="3">
        <v>0</v>
      </c>
      <c r="S41" s="3">
        <f t="shared" si="0"/>
        <v>550</v>
      </c>
      <c r="T41" s="3">
        <f t="shared" si="1"/>
        <v>0</v>
      </c>
      <c r="U41" s="3" t="s">
        <v>60</v>
      </c>
      <c r="V41" s="14" t="s">
        <v>6</v>
      </c>
      <c r="W41" s="14" t="s">
        <v>173</v>
      </c>
      <c r="X41" s="14" t="s">
        <v>60</v>
      </c>
    </row>
    <row r="42" spans="1:24" ht="15" x14ac:dyDescent="0.3">
      <c r="A42" s="3">
        <v>40</v>
      </c>
      <c r="B42" s="3" t="s">
        <v>4351</v>
      </c>
      <c r="C42" s="14" t="s">
        <v>0</v>
      </c>
      <c r="D42" s="14" t="s">
        <v>3203</v>
      </c>
      <c r="E42" s="14" t="s">
        <v>4352</v>
      </c>
      <c r="F42" s="14" t="s">
        <v>3204</v>
      </c>
      <c r="G42" s="14" t="s">
        <v>3</v>
      </c>
      <c r="H42" s="14" t="s">
        <v>4353</v>
      </c>
      <c r="I42" s="14" t="s">
        <v>4354</v>
      </c>
      <c r="J42" s="14" t="s">
        <v>60</v>
      </c>
      <c r="K42" s="14" t="s">
        <v>60</v>
      </c>
      <c r="L42" s="14" t="s">
        <v>60</v>
      </c>
      <c r="M42" s="14" t="s">
        <v>3205</v>
      </c>
      <c r="N42" s="14" t="s">
        <v>60</v>
      </c>
      <c r="O42" s="14" t="s">
        <v>172</v>
      </c>
      <c r="P42" s="14" t="s">
        <v>4355</v>
      </c>
      <c r="Q42" s="14" t="s">
        <v>32</v>
      </c>
      <c r="R42" s="3">
        <v>0</v>
      </c>
      <c r="S42" s="3">
        <f t="shared" si="0"/>
        <v>550</v>
      </c>
      <c r="T42" s="3">
        <f t="shared" si="1"/>
        <v>0</v>
      </c>
      <c r="U42" s="3" t="s">
        <v>4356</v>
      </c>
      <c r="V42" s="14" t="s">
        <v>6</v>
      </c>
      <c r="W42" s="14" t="s">
        <v>173</v>
      </c>
      <c r="X42" s="14" t="s">
        <v>60</v>
      </c>
    </row>
    <row r="43" spans="1:24" ht="15" x14ac:dyDescent="0.3">
      <c r="A43" s="3">
        <v>41</v>
      </c>
      <c r="B43" s="3" t="s">
        <v>4357</v>
      </c>
      <c r="C43" s="14" t="s">
        <v>0</v>
      </c>
      <c r="D43" s="14" t="s">
        <v>3206</v>
      </c>
      <c r="E43" s="14" t="s">
        <v>4358</v>
      </c>
      <c r="F43" s="14" t="s">
        <v>3207</v>
      </c>
      <c r="G43" s="14" t="s">
        <v>3</v>
      </c>
      <c r="H43" s="14" t="s">
        <v>4359</v>
      </c>
      <c r="I43" s="14" t="s">
        <v>4360</v>
      </c>
      <c r="J43" s="14" t="s">
        <v>60</v>
      </c>
      <c r="K43" s="14" t="s">
        <v>60</v>
      </c>
      <c r="L43" s="14" t="s">
        <v>60</v>
      </c>
      <c r="M43" s="14" t="s">
        <v>3208</v>
      </c>
      <c r="N43" s="14" t="s">
        <v>60</v>
      </c>
      <c r="O43" s="14" t="s">
        <v>172</v>
      </c>
      <c r="P43" s="14" t="s">
        <v>4361</v>
      </c>
      <c r="Q43" s="14" t="s">
        <v>32</v>
      </c>
      <c r="R43" s="3">
        <v>0</v>
      </c>
      <c r="S43" s="3">
        <f t="shared" si="0"/>
        <v>550</v>
      </c>
      <c r="T43" s="3">
        <f t="shared" si="1"/>
        <v>0</v>
      </c>
      <c r="U43" s="3" t="s">
        <v>60</v>
      </c>
      <c r="V43" s="14" t="s">
        <v>6</v>
      </c>
      <c r="W43" s="14" t="s">
        <v>173</v>
      </c>
      <c r="X43" s="14" t="s">
        <v>60</v>
      </c>
    </row>
    <row r="44" spans="1:24" ht="15" x14ac:dyDescent="0.3">
      <c r="A44" s="3">
        <v>42</v>
      </c>
      <c r="B44" s="3" t="s">
        <v>4362</v>
      </c>
      <c r="C44" s="14" t="s">
        <v>0</v>
      </c>
      <c r="D44" s="14" t="s">
        <v>3209</v>
      </c>
      <c r="E44" s="14" t="s">
        <v>4205</v>
      </c>
      <c r="F44" s="14" t="s">
        <v>3210</v>
      </c>
      <c r="G44" s="14" t="s">
        <v>3</v>
      </c>
      <c r="H44" s="14" t="s">
        <v>4363</v>
      </c>
      <c r="I44" s="14" t="s">
        <v>4364</v>
      </c>
      <c r="J44" s="14" t="s">
        <v>60</v>
      </c>
      <c r="K44" s="14" t="s">
        <v>60</v>
      </c>
      <c r="L44" s="14" t="s">
        <v>60</v>
      </c>
      <c r="M44" s="14" t="s">
        <v>3211</v>
      </c>
      <c r="N44" s="14" t="s">
        <v>60</v>
      </c>
      <c r="O44" s="14" t="s">
        <v>172</v>
      </c>
      <c r="P44" s="14" t="s">
        <v>4365</v>
      </c>
      <c r="Q44" s="14" t="s">
        <v>11</v>
      </c>
      <c r="R44" s="3">
        <v>0</v>
      </c>
      <c r="S44" s="3">
        <f t="shared" si="0"/>
        <v>550</v>
      </c>
      <c r="T44" s="3">
        <f t="shared" si="1"/>
        <v>0</v>
      </c>
      <c r="U44" s="3" t="s">
        <v>60</v>
      </c>
      <c r="V44" s="14" t="s">
        <v>6</v>
      </c>
      <c r="W44" s="14" t="s">
        <v>173</v>
      </c>
      <c r="X44" s="14" t="s">
        <v>60</v>
      </c>
    </row>
    <row r="45" spans="1:24" ht="15" x14ac:dyDescent="0.3">
      <c r="A45" s="3">
        <v>43</v>
      </c>
      <c r="B45" s="3" t="s">
        <v>4366</v>
      </c>
      <c r="C45" s="14" t="s">
        <v>0</v>
      </c>
      <c r="D45" s="14" t="s">
        <v>3212</v>
      </c>
      <c r="E45" s="14" t="s">
        <v>4367</v>
      </c>
      <c r="F45" s="14" t="s">
        <v>3213</v>
      </c>
      <c r="G45" s="14" t="s">
        <v>3</v>
      </c>
      <c r="H45" s="14" t="s">
        <v>4368</v>
      </c>
      <c r="I45" s="14" t="s">
        <v>4369</v>
      </c>
      <c r="J45" s="14" t="s">
        <v>60</v>
      </c>
      <c r="K45" s="14" t="s">
        <v>60</v>
      </c>
      <c r="L45" s="14" t="s">
        <v>60</v>
      </c>
      <c r="M45" s="14" t="s">
        <v>3214</v>
      </c>
      <c r="N45" s="14" t="s">
        <v>60</v>
      </c>
      <c r="O45" s="14" t="s">
        <v>172</v>
      </c>
      <c r="P45" s="14" t="s">
        <v>4370</v>
      </c>
      <c r="Q45" s="14" t="s">
        <v>11</v>
      </c>
      <c r="R45" s="3">
        <v>0</v>
      </c>
      <c r="S45" s="3">
        <f t="shared" si="0"/>
        <v>550</v>
      </c>
      <c r="T45" s="3">
        <f t="shared" si="1"/>
        <v>0</v>
      </c>
      <c r="U45" s="3" t="s">
        <v>60</v>
      </c>
      <c r="V45" s="14" t="s">
        <v>6</v>
      </c>
      <c r="W45" s="14" t="s">
        <v>173</v>
      </c>
      <c r="X45" s="14" t="s">
        <v>60</v>
      </c>
    </row>
    <row r="46" spans="1:24" ht="15" x14ac:dyDescent="0.3">
      <c r="A46" s="3">
        <v>44</v>
      </c>
      <c r="B46" s="3" t="s">
        <v>4371</v>
      </c>
      <c r="C46" s="14" t="s">
        <v>0</v>
      </c>
      <c r="D46" s="14" t="s">
        <v>96</v>
      </c>
      <c r="E46" s="14" t="s">
        <v>4195</v>
      </c>
      <c r="F46" s="14" t="s">
        <v>3215</v>
      </c>
      <c r="G46" s="14" t="s">
        <v>3</v>
      </c>
      <c r="H46" s="14" t="s">
        <v>4372</v>
      </c>
      <c r="I46" s="14" t="s">
        <v>4373</v>
      </c>
      <c r="J46" s="14" t="s">
        <v>60</v>
      </c>
      <c r="K46" s="14" t="s">
        <v>60</v>
      </c>
      <c r="L46" s="14" t="s">
        <v>60</v>
      </c>
      <c r="M46" s="14" t="s">
        <v>3216</v>
      </c>
      <c r="N46" s="14" t="s">
        <v>60</v>
      </c>
      <c r="O46" s="14" t="s">
        <v>172</v>
      </c>
      <c r="P46" s="14" t="s">
        <v>4374</v>
      </c>
      <c r="Q46" s="14" t="s">
        <v>11</v>
      </c>
      <c r="R46" s="3">
        <v>0</v>
      </c>
      <c r="S46" s="3">
        <f t="shared" si="0"/>
        <v>550</v>
      </c>
      <c r="T46" s="3">
        <f t="shared" si="1"/>
        <v>0</v>
      </c>
      <c r="U46" s="3" t="s">
        <v>60</v>
      </c>
      <c r="V46" s="14" t="s">
        <v>6</v>
      </c>
      <c r="W46" s="14" t="s">
        <v>173</v>
      </c>
      <c r="X46" s="14" t="s">
        <v>60</v>
      </c>
    </row>
    <row r="47" spans="1:24" ht="15" x14ac:dyDescent="0.3">
      <c r="A47" s="3">
        <v>45</v>
      </c>
      <c r="B47" s="3" t="s">
        <v>4375</v>
      </c>
      <c r="C47" s="14" t="s">
        <v>0</v>
      </c>
      <c r="D47" s="14" t="s">
        <v>3217</v>
      </c>
      <c r="E47" s="14" t="s">
        <v>3218</v>
      </c>
      <c r="F47" s="14" t="s">
        <v>3219</v>
      </c>
      <c r="G47" s="14" t="s">
        <v>3</v>
      </c>
      <c r="H47" s="14" t="s">
        <v>4376</v>
      </c>
      <c r="I47" s="14" t="s">
        <v>3220</v>
      </c>
      <c r="J47" s="14" t="s">
        <v>60</v>
      </c>
      <c r="K47" s="14" t="s">
        <v>60</v>
      </c>
      <c r="L47" s="14" t="s">
        <v>60</v>
      </c>
      <c r="M47" s="14" t="s">
        <v>3221</v>
      </c>
      <c r="N47" s="14" t="s">
        <v>60</v>
      </c>
      <c r="O47" s="14" t="s">
        <v>60</v>
      </c>
      <c r="P47" s="14" t="s">
        <v>4377</v>
      </c>
      <c r="Q47" s="14" t="s">
        <v>3222</v>
      </c>
      <c r="R47" s="3">
        <v>0</v>
      </c>
      <c r="S47" s="3">
        <f t="shared" si="0"/>
        <v>550</v>
      </c>
      <c r="T47" s="3">
        <f t="shared" si="1"/>
        <v>0</v>
      </c>
      <c r="U47" s="3" t="s">
        <v>60</v>
      </c>
      <c r="V47" s="14" t="s">
        <v>6</v>
      </c>
      <c r="W47" s="14" t="s">
        <v>3223</v>
      </c>
      <c r="X47" s="14" t="s">
        <v>60</v>
      </c>
    </row>
    <row r="48" spans="1:24" ht="15" x14ac:dyDescent="0.3">
      <c r="A48" s="3">
        <v>46</v>
      </c>
      <c r="B48" s="3" t="s">
        <v>4378</v>
      </c>
      <c r="C48" s="14" t="s">
        <v>0</v>
      </c>
      <c r="D48" s="14" t="s">
        <v>3225</v>
      </c>
      <c r="E48" s="14" t="s">
        <v>3226</v>
      </c>
      <c r="F48" s="14" t="s">
        <v>3227</v>
      </c>
      <c r="G48" s="14" t="s">
        <v>3</v>
      </c>
      <c r="H48" s="14" t="s">
        <v>4379</v>
      </c>
      <c r="I48" s="14" t="s">
        <v>3228</v>
      </c>
      <c r="J48" s="14" t="s">
        <v>60</v>
      </c>
      <c r="K48" s="14" t="s">
        <v>60</v>
      </c>
      <c r="L48" s="14" t="s">
        <v>60</v>
      </c>
      <c r="M48" s="14" t="s">
        <v>3229</v>
      </c>
      <c r="N48" s="14" t="s">
        <v>60</v>
      </c>
      <c r="O48" s="14" t="s">
        <v>60</v>
      </c>
      <c r="P48" s="14" t="s">
        <v>4380</v>
      </c>
      <c r="Q48" s="14" t="s">
        <v>32</v>
      </c>
      <c r="R48" s="3">
        <v>0</v>
      </c>
      <c r="S48" s="3">
        <f t="shared" si="0"/>
        <v>550</v>
      </c>
      <c r="T48" s="3">
        <f t="shared" si="1"/>
        <v>0</v>
      </c>
      <c r="U48" s="3" t="s">
        <v>60</v>
      </c>
      <c r="V48" s="14" t="s">
        <v>6</v>
      </c>
      <c r="W48" s="14" t="s">
        <v>3223</v>
      </c>
      <c r="X48" s="14" t="s">
        <v>60</v>
      </c>
    </row>
    <row r="49" spans="1:24" ht="15" x14ac:dyDescent="0.3">
      <c r="A49" s="3">
        <v>47</v>
      </c>
      <c r="B49" s="3" t="s">
        <v>4382</v>
      </c>
      <c r="C49" s="14" t="s">
        <v>0</v>
      </c>
      <c r="D49" s="14" t="s">
        <v>3230</v>
      </c>
      <c r="E49" s="14" t="s">
        <v>4383</v>
      </c>
      <c r="F49" s="14" t="s">
        <v>3231</v>
      </c>
      <c r="G49" s="14" t="s">
        <v>3</v>
      </c>
      <c r="H49" s="14" t="s">
        <v>4384</v>
      </c>
      <c r="I49" s="14" t="s">
        <v>3232</v>
      </c>
      <c r="J49" s="14" t="s">
        <v>60</v>
      </c>
      <c r="K49" s="14" t="s">
        <v>60</v>
      </c>
      <c r="L49" s="14" t="s">
        <v>60</v>
      </c>
      <c r="M49" s="14" t="s">
        <v>3233</v>
      </c>
      <c r="N49" s="14" t="s">
        <v>60</v>
      </c>
      <c r="O49" s="14" t="s">
        <v>60</v>
      </c>
      <c r="P49" s="14" t="s">
        <v>4385</v>
      </c>
      <c r="Q49" s="14" t="s">
        <v>32</v>
      </c>
      <c r="R49" s="3">
        <v>0</v>
      </c>
      <c r="S49" s="3">
        <f t="shared" si="0"/>
        <v>550</v>
      </c>
      <c r="T49" s="3">
        <f t="shared" si="1"/>
        <v>0</v>
      </c>
      <c r="U49" s="3" t="s">
        <v>60</v>
      </c>
      <c r="V49" s="14" t="s">
        <v>6</v>
      </c>
      <c r="W49" s="14" t="s">
        <v>3223</v>
      </c>
      <c r="X49" s="14" t="s">
        <v>60</v>
      </c>
    </row>
    <row r="50" spans="1:24" ht="15" x14ac:dyDescent="0.3">
      <c r="A50" s="3">
        <v>48</v>
      </c>
      <c r="B50" s="3" t="s">
        <v>4386</v>
      </c>
      <c r="C50" s="14" t="s">
        <v>0</v>
      </c>
      <c r="D50" s="14" t="s">
        <v>3234</v>
      </c>
      <c r="E50" s="14" t="s">
        <v>4387</v>
      </c>
      <c r="F50" s="14" t="s">
        <v>3235</v>
      </c>
      <c r="G50" s="14" t="s">
        <v>3</v>
      </c>
      <c r="H50" s="14" t="s">
        <v>4388</v>
      </c>
      <c r="I50" s="14" t="s">
        <v>3236</v>
      </c>
      <c r="J50" s="14" t="s">
        <v>60</v>
      </c>
      <c r="K50" s="14" t="s">
        <v>60</v>
      </c>
      <c r="L50" s="14" t="s">
        <v>60</v>
      </c>
      <c r="M50" s="14" t="s">
        <v>3237</v>
      </c>
      <c r="N50" s="14" t="s">
        <v>60</v>
      </c>
      <c r="O50" s="14" t="s">
        <v>60</v>
      </c>
      <c r="P50" s="14" t="s">
        <v>4389</v>
      </c>
      <c r="Q50" s="14" t="s">
        <v>11</v>
      </c>
      <c r="R50" s="3">
        <v>0</v>
      </c>
      <c r="S50" s="3">
        <f t="shared" si="0"/>
        <v>550</v>
      </c>
      <c r="T50" s="3">
        <f t="shared" si="1"/>
        <v>0</v>
      </c>
      <c r="U50" s="3" t="s">
        <v>60</v>
      </c>
      <c r="V50" s="14" t="s">
        <v>6</v>
      </c>
      <c r="W50" s="14" t="s">
        <v>3223</v>
      </c>
      <c r="X50" s="14" t="s">
        <v>60</v>
      </c>
    </row>
    <row r="51" spans="1:24" ht="15" x14ac:dyDescent="0.3">
      <c r="A51" s="3">
        <v>49</v>
      </c>
      <c r="B51" s="3" t="s">
        <v>4390</v>
      </c>
      <c r="C51" s="14" t="s">
        <v>0</v>
      </c>
      <c r="D51" s="14" t="s">
        <v>3238</v>
      </c>
      <c r="E51" s="14" t="s">
        <v>4391</v>
      </c>
      <c r="F51" s="14" t="s">
        <v>3239</v>
      </c>
      <c r="G51" s="14" t="s">
        <v>3</v>
      </c>
      <c r="H51" s="14" t="s">
        <v>3240</v>
      </c>
      <c r="I51" s="14" t="s">
        <v>3241</v>
      </c>
      <c r="J51" s="14" t="s">
        <v>60</v>
      </c>
      <c r="K51" s="14" t="s">
        <v>60</v>
      </c>
      <c r="L51" s="14" t="s">
        <v>4226</v>
      </c>
      <c r="M51" s="14" t="s">
        <v>3242</v>
      </c>
      <c r="N51" s="14" t="s">
        <v>60</v>
      </c>
      <c r="O51" s="14" t="s">
        <v>60</v>
      </c>
      <c r="P51" s="14" t="s">
        <v>4392</v>
      </c>
      <c r="Q51" s="14" t="s">
        <v>32</v>
      </c>
      <c r="R51" s="3">
        <v>0</v>
      </c>
      <c r="S51" s="3">
        <f t="shared" si="0"/>
        <v>550</v>
      </c>
      <c r="T51" s="3">
        <f t="shared" si="1"/>
        <v>0</v>
      </c>
      <c r="U51" s="3" t="s">
        <v>60</v>
      </c>
      <c r="V51" s="14" t="s">
        <v>6</v>
      </c>
      <c r="W51" s="14" t="s">
        <v>3223</v>
      </c>
      <c r="X51" s="14" t="s">
        <v>60</v>
      </c>
    </row>
    <row r="52" spans="1:24" ht="15" x14ac:dyDescent="0.3">
      <c r="A52" s="3">
        <v>50</v>
      </c>
      <c r="B52" s="3" t="s">
        <v>4393</v>
      </c>
      <c r="C52" s="14" t="s">
        <v>0</v>
      </c>
      <c r="D52" s="14" t="s">
        <v>3243</v>
      </c>
      <c r="E52" s="14" t="s">
        <v>4394</v>
      </c>
      <c r="F52" s="14" t="s">
        <v>3244</v>
      </c>
      <c r="G52" s="14" t="s">
        <v>3</v>
      </c>
      <c r="H52" s="14" t="s">
        <v>3245</v>
      </c>
      <c r="I52" s="14" t="s">
        <v>3246</v>
      </c>
      <c r="J52" s="14" t="s">
        <v>60</v>
      </c>
      <c r="K52" s="14" t="s">
        <v>60</v>
      </c>
      <c r="L52" s="14" t="s">
        <v>4226</v>
      </c>
      <c r="M52" s="14" t="s">
        <v>3247</v>
      </c>
      <c r="N52" s="14" t="s">
        <v>60</v>
      </c>
      <c r="O52" s="14" t="s">
        <v>60</v>
      </c>
      <c r="P52" s="14" t="s">
        <v>4395</v>
      </c>
      <c r="Q52" s="14" t="s">
        <v>5</v>
      </c>
      <c r="R52" s="3">
        <v>0</v>
      </c>
      <c r="S52" s="3">
        <f t="shared" si="0"/>
        <v>550</v>
      </c>
      <c r="T52" s="3">
        <f t="shared" si="1"/>
        <v>0</v>
      </c>
      <c r="U52" s="3" t="s">
        <v>60</v>
      </c>
      <c r="V52" s="14" t="s">
        <v>6</v>
      </c>
      <c r="W52" s="14" t="s">
        <v>3223</v>
      </c>
      <c r="X52" s="14" t="s">
        <v>60</v>
      </c>
    </row>
    <row r="53" spans="1:24" ht="15" x14ac:dyDescent="0.3">
      <c r="A53" s="3">
        <v>51</v>
      </c>
      <c r="B53" s="3" t="s">
        <v>4396</v>
      </c>
      <c r="C53" s="14" t="s">
        <v>0</v>
      </c>
      <c r="D53" s="14" t="s">
        <v>3248</v>
      </c>
      <c r="E53" s="14" t="s">
        <v>4397</v>
      </c>
      <c r="F53" s="14" t="s">
        <v>3249</v>
      </c>
      <c r="G53" s="14" t="s">
        <v>3</v>
      </c>
      <c r="H53" s="14" t="s">
        <v>4398</v>
      </c>
      <c r="I53" s="14" t="s">
        <v>3250</v>
      </c>
      <c r="J53" s="14" t="s">
        <v>60</v>
      </c>
      <c r="K53" s="14" t="s">
        <v>60</v>
      </c>
      <c r="L53" s="14" t="s">
        <v>60</v>
      </c>
      <c r="M53" s="14" t="s">
        <v>3251</v>
      </c>
      <c r="N53" s="14" t="s">
        <v>60</v>
      </c>
      <c r="O53" s="14" t="s">
        <v>60</v>
      </c>
      <c r="P53" s="14" t="s">
        <v>4399</v>
      </c>
      <c r="Q53" s="14" t="s">
        <v>5</v>
      </c>
      <c r="R53" s="3">
        <v>0</v>
      </c>
      <c r="S53" s="3">
        <f t="shared" si="0"/>
        <v>550</v>
      </c>
      <c r="T53" s="3">
        <f t="shared" si="1"/>
        <v>0</v>
      </c>
      <c r="U53" s="3" t="s">
        <v>60</v>
      </c>
      <c r="V53" s="14" t="s">
        <v>6</v>
      </c>
      <c r="W53" s="14" t="s">
        <v>3223</v>
      </c>
      <c r="X53" s="14" t="s">
        <v>60</v>
      </c>
    </row>
    <row r="54" spans="1:24" ht="15" x14ac:dyDescent="0.3">
      <c r="A54" s="3">
        <v>52</v>
      </c>
      <c r="B54" s="3" t="s">
        <v>4400</v>
      </c>
      <c r="C54" s="14" t="s">
        <v>0</v>
      </c>
      <c r="D54" s="14" t="s">
        <v>3252</v>
      </c>
      <c r="E54" s="14" t="s">
        <v>4401</v>
      </c>
      <c r="F54" s="14" t="s">
        <v>3253</v>
      </c>
      <c r="G54" s="14" t="s">
        <v>3</v>
      </c>
      <c r="H54" s="14" t="s">
        <v>3254</v>
      </c>
      <c r="I54" s="14" t="s">
        <v>3255</v>
      </c>
      <c r="J54" s="14" t="s">
        <v>60</v>
      </c>
      <c r="K54" s="14" t="s">
        <v>60</v>
      </c>
      <c r="L54" s="14" t="s">
        <v>4226</v>
      </c>
      <c r="M54" s="14" t="s">
        <v>3256</v>
      </c>
      <c r="N54" s="14" t="s">
        <v>60</v>
      </c>
      <c r="O54" s="14" t="s">
        <v>60</v>
      </c>
      <c r="P54" s="14" t="s">
        <v>4402</v>
      </c>
      <c r="Q54" s="14" t="s">
        <v>32</v>
      </c>
      <c r="R54" s="3">
        <v>0</v>
      </c>
      <c r="S54" s="3">
        <f t="shared" si="0"/>
        <v>550</v>
      </c>
      <c r="T54" s="3">
        <f t="shared" si="1"/>
        <v>0</v>
      </c>
      <c r="U54" s="3" t="s">
        <v>60</v>
      </c>
      <c r="V54" s="14" t="s">
        <v>6</v>
      </c>
      <c r="W54" s="14" t="s">
        <v>3223</v>
      </c>
      <c r="X54" s="14" t="s">
        <v>60</v>
      </c>
    </row>
    <row r="55" spans="1:24" ht="15" x14ac:dyDescent="0.3">
      <c r="A55" s="3">
        <v>53</v>
      </c>
      <c r="B55" s="3" t="s">
        <v>4403</v>
      </c>
      <c r="C55" s="14" t="s">
        <v>0</v>
      </c>
      <c r="D55" s="14" t="s">
        <v>3257</v>
      </c>
      <c r="E55" s="14" t="s">
        <v>4404</v>
      </c>
      <c r="F55" s="14" t="s">
        <v>3258</v>
      </c>
      <c r="G55" s="14" t="s">
        <v>3</v>
      </c>
      <c r="H55" s="14" t="s">
        <v>4405</v>
      </c>
      <c r="I55" s="14" t="s">
        <v>3259</v>
      </c>
      <c r="J55" s="14" t="s">
        <v>60</v>
      </c>
      <c r="K55" s="14" t="s">
        <v>60</v>
      </c>
      <c r="L55" s="14" t="s">
        <v>60</v>
      </c>
      <c r="M55" s="14" t="s">
        <v>3260</v>
      </c>
      <c r="N55" s="14" t="s">
        <v>60</v>
      </c>
      <c r="O55" s="14" t="s">
        <v>60</v>
      </c>
      <c r="P55" s="14" t="s">
        <v>4406</v>
      </c>
      <c r="Q55" s="14" t="s">
        <v>5</v>
      </c>
      <c r="R55" s="3">
        <v>0</v>
      </c>
      <c r="S55" s="3">
        <f t="shared" si="0"/>
        <v>550</v>
      </c>
      <c r="T55" s="3">
        <f t="shared" si="1"/>
        <v>0</v>
      </c>
      <c r="U55" s="3" t="s">
        <v>60</v>
      </c>
      <c r="V55" s="14" t="s">
        <v>6</v>
      </c>
      <c r="W55" s="14" t="s">
        <v>3223</v>
      </c>
      <c r="X55" s="14" t="s">
        <v>60</v>
      </c>
    </row>
    <row r="56" spans="1:24" ht="15" x14ac:dyDescent="0.3">
      <c r="A56" s="3">
        <v>54</v>
      </c>
      <c r="B56" s="3" t="s">
        <v>4407</v>
      </c>
      <c r="C56" s="14" t="s">
        <v>0</v>
      </c>
      <c r="D56" s="14" t="s">
        <v>3261</v>
      </c>
      <c r="E56" s="14" t="s">
        <v>4408</v>
      </c>
      <c r="F56" s="14" t="s">
        <v>3262</v>
      </c>
      <c r="G56" s="14" t="s">
        <v>3</v>
      </c>
      <c r="H56" s="14" t="s">
        <v>3263</v>
      </c>
      <c r="I56" s="14" t="s">
        <v>3264</v>
      </c>
      <c r="J56" s="14" t="s">
        <v>60</v>
      </c>
      <c r="K56" s="14" t="s">
        <v>60</v>
      </c>
      <c r="L56" s="14" t="s">
        <v>4226</v>
      </c>
      <c r="M56" s="14" t="s">
        <v>3265</v>
      </c>
      <c r="N56" s="14" t="s">
        <v>60</v>
      </c>
      <c r="O56" s="14" t="s">
        <v>60</v>
      </c>
      <c r="P56" s="14" t="s">
        <v>4409</v>
      </c>
      <c r="Q56" s="14" t="s">
        <v>5</v>
      </c>
      <c r="R56" s="3">
        <v>0</v>
      </c>
      <c r="S56" s="3">
        <f t="shared" si="0"/>
        <v>550</v>
      </c>
      <c r="T56" s="3">
        <f t="shared" si="1"/>
        <v>0</v>
      </c>
      <c r="U56" s="3" t="s">
        <v>60</v>
      </c>
      <c r="V56" s="14" t="s">
        <v>6</v>
      </c>
      <c r="W56" s="14" t="s">
        <v>3223</v>
      </c>
      <c r="X56" s="14" t="s">
        <v>60</v>
      </c>
    </row>
    <row r="57" spans="1:24" ht="15" x14ac:dyDescent="0.3">
      <c r="A57" s="3">
        <v>55</v>
      </c>
      <c r="B57" s="3" t="s">
        <v>4410</v>
      </c>
      <c r="C57" s="14" t="s">
        <v>0</v>
      </c>
      <c r="D57" s="14" t="s">
        <v>3266</v>
      </c>
      <c r="E57" s="14" t="s">
        <v>4411</v>
      </c>
      <c r="F57" s="14" t="s">
        <v>3267</v>
      </c>
      <c r="G57" s="14" t="s">
        <v>121</v>
      </c>
      <c r="H57" s="14" t="s">
        <v>4412</v>
      </c>
      <c r="I57" s="14" t="s">
        <v>3268</v>
      </c>
      <c r="J57" s="14" t="s">
        <v>60</v>
      </c>
      <c r="K57" s="14" t="s">
        <v>60</v>
      </c>
      <c r="L57" s="14" t="s">
        <v>60</v>
      </c>
      <c r="M57" s="14" t="s">
        <v>3269</v>
      </c>
      <c r="N57" s="14" t="s">
        <v>60</v>
      </c>
      <c r="O57" s="14" t="s">
        <v>60</v>
      </c>
      <c r="P57" s="14" t="s">
        <v>4413</v>
      </c>
      <c r="Q57" s="14" t="s">
        <v>32</v>
      </c>
      <c r="R57" s="3">
        <v>0</v>
      </c>
      <c r="S57" s="3">
        <f t="shared" si="0"/>
        <v>550</v>
      </c>
      <c r="T57" s="3">
        <f t="shared" si="1"/>
        <v>0</v>
      </c>
      <c r="U57" s="3" t="s">
        <v>60</v>
      </c>
      <c r="V57" s="14" t="s">
        <v>6</v>
      </c>
      <c r="W57" s="14" t="s">
        <v>3223</v>
      </c>
      <c r="X57" s="14" t="s">
        <v>60</v>
      </c>
    </row>
    <row r="58" spans="1:24" ht="15" x14ac:dyDescent="0.3">
      <c r="A58" s="3">
        <v>56</v>
      </c>
      <c r="B58" s="3" t="s">
        <v>4414</v>
      </c>
      <c r="C58" s="14" t="s">
        <v>0</v>
      </c>
      <c r="D58" s="14" t="s">
        <v>4415</v>
      </c>
      <c r="E58" s="14" t="s">
        <v>4416</v>
      </c>
      <c r="F58" s="14" t="s">
        <v>3270</v>
      </c>
      <c r="G58" s="14" t="s">
        <v>3</v>
      </c>
      <c r="H58" s="14" t="s">
        <v>3271</v>
      </c>
      <c r="I58" s="14" t="s">
        <v>3272</v>
      </c>
      <c r="J58" s="14" t="s">
        <v>60</v>
      </c>
      <c r="K58" s="14" t="s">
        <v>60</v>
      </c>
      <c r="L58" s="14" t="s">
        <v>60</v>
      </c>
      <c r="M58" s="14" t="s">
        <v>3273</v>
      </c>
      <c r="N58" s="14" t="s">
        <v>60</v>
      </c>
      <c r="O58" s="14" t="s">
        <v>4226</v>
      </c>
      <c r="P58" s="14" t="s">
        <v>4417</v>
      </c>
      <c r="Q58" s="14" t="s">
        <v>5</v>
      </c>
      <c r="R58" s="3">
        <v>0</v>
      </c>
      <c r="S58" s="3">
        <f t="shared" si="0"/>
        <v>550</v>
      </c>
      <c r="T58" s="3">
        <f t="shared" si="1"/>
        <v>0</v>
      </c>
      <c r="U58" s="3" t="s">
        <v>60</v>
      </c>
      <c r="V58" s="14" t="s">
        <v>6</v>
      </c>
      <c r="W58" s="14" t="s">
        <v>3223</v>
      </c>
      <c r="X58" s="14" t="s">
        <v>60</v>
      </c>
    </row>
    <row r="59" spans="1:24" ht="15" x14ac:dyDescent="0.3">
      <c r="A59" s="3">
        <v>57</v>
      </c>
      <c r="B59" s="3" t="s">
        <v>4418</v>
      </c>
      <c r="C59" s="14" t="s">
        <v>0</v>
      </c>
      <c r="D59" s="14" t="s">
        <v>3274</v>
      </c>
      <c r="E59" s="14" t="s">
        <v>4419</v>
      </c>
      <c r="F59" s="14" t="s">
        <v>3275</v>
      </c>
      <c r="G59" s="14" t="s">
        <v>3</v>
      </c>
      <c r="H59" s="14" t="s">
        <v>4420</v>
      </c>
      <c r="I59" s="14" t="s">
        <v>3276</v>
      </c>
      <c r="J59" s="14" t="s">
        <v>60</v>
      </c>
      <c r="K59" s="14" t="s">
        <v>60</v>
      </c>
      <c r="L59" s="14" t="s">
        <v>60</v>
      </c>
      <c r="M59" s="14" t="s">
        <v>3277</v>
      </c>
      <c r="N59" s="14" t="s">
        <v>60</v>
      </c>
      <c r="O59" s="14" t="s">
        <v>60</v>
      </c>
      <c r="P59" s="14" t="s">
        <v>4421</v>
      </c>
      <c r="Q59" s="14" t="s">
        <v>32</v>
      </c>
      <c r="R59" s="3">
        <v>0</v>
      </c>
      <c r="S59" s="3">
        <f t="shared" si="0"/>
        <v>550</v>
      </c>
      <c r="T59" s="3">
        <f t="shared" si="1"/>
        <v>0</v>
      </c>
      <c r="U59" s="3" t="s">
        <v>60</v>
      </c>
      <c r="V59" s="14" t="s">
        <v>6</v>
      </c>
      <c r="W59" s="14" t="s">
        <v>3223</v>
      </c>
      <c r="X59" s="14" t="s">
        <v>60</v>
      </c>
    </row>
    <row r="60" spans="1:24" ht="15" x14ac:dyDescent="0.3">
      <c r="A60" s="3">
        <v>58</v>
      </c>
      <c r="B60" s="3" t="s">
        <v>4422</v>
      </c>
      <c r="C60" s="14" t="s">
        <v>0</v>
      </c>
      <c r="D60" s="14" t="s">
        <v>3278</v>
      </c>
      <c r="E60" s="14" t="s">
        <v>4423</v>
      </c>
      <c r="F60" s="14" t="s">
        <v>3279</v>
      </c>
      <c r="G60" s="14" t="s">
        <v>3</v>
      </c>
      <c r="H60" s="14" t="s">
        <v>3280</v>
      </c>
      <c r="I60" s="14" t="s">
        <v>3281</v>
      </c>
      <c r="J60" s="14" t="s">
        <v>60</v>
      </c>
      <c r="K60" s="14" t="s">
        <v>60</v>
      </c>
      <c r="L60" s="14" t="s">
        <v>60</v>
      </c>
      <c r="M60" s="14" t="s">
        <v>3282</v>
      </c>
      <c r="N60" s="14" t="s">
        <v>60</v>
      </c>
      <c r="O60" s="14" t="s">
        <v>4226</v>
      </c>
      <c r="P60" s="14" t="s">
        <v>4424</v>
      </c>
      <c r="Q60" s="14" t="s">
        <v>5</v>
      </c>
      <c r="R60" s="3">
        <v>0</v>
      </c>
      <c r="S60" s="3">
        <f t="shared" si="0"/>
        <v>550</v>
      </c>
      <c r="T60" s="3">
        <f t="shared" si="1"/>
        <v>0</v>
      </c>
      <c r="U60" s="3" t="s">
        <v>60</v>
      </c>
      <c r="V60" s="14" t="s">
        <v>6</v>
      </c>
      <c r="W60" s="14" t="s">
        <v>3223</v>
      </c>
      <c r="X60" s="14" t="s">
        <v>60</v>
      </c>
    </row>
    <row r="61" spans="1:24" ht="15" x14ac:dyDescent="0.3">
      <c r="A61" s="3">
        <v>59</v>
      </c>
      <c r="B61" s="3" t="s">
        <v>4425</v>
      </c>
      <c r="C61" s="14" t="s">
        <v>0</v>
      </c>
      <c r="D61" s="14" t="s">
        <v>3285</v>
      </c>
      <c r="E61" s="14" t="s">
        <v>3343</v>
      </c>
      <c r="F61" s="14" t="s">
        <v>3286</v>
      </c>
      <c r="G61" s="14" t="s">
        <v>3</v>
      </c>
      <c r="H61" s="14" t="s">
        <v>4426</v>
      </c>
      <c r="I61" s="14" t="s">
        <v>3357</v>
      </c>
      <c r="J61" s="14" t="s">
        <v>60</v>
      </c>
      <c r="K61" s="14" t="s">
        <v>60</v>
      </c>
      <c r="L61" s="14" t="s">
        <v>60</v>
      </c>
      <c r="M61" s="14" t="s">
        <v>3358</v>
      </c>
      <c r="N61" s="14" t="s">
        <v>60</v>
      </c>
      <c r="O61" s="14" t="s">
        <v>60</v>
      </c>
      <c r="P61" s="14" t="s">
        <v>4427</v>
      </c>
      <c r="Q61" s="14" t="s">
        <v>11</v>
      </c>
      <c r="R61" s="3">
        <v>0</v>
      </c>
      <c r="S61" s="3">
        <f t="shared" si="0"/>
        <v>550</v>
      </c>
      <c r="T61" s="3">
        <f t="shared" si="1"/>
        <v>0</v>
      </c>
      <c r="U61" s="3" t="s">
        <v>60</v>
      </c>
      <c r="V61" s="14" t="s">
        <v>6</v>
      </c>
      <c r="W61" s="14" t="s">
        <v>4428</v>
      </c>
      <c r="X61" s="14" t="s">
        <v>60</v>
      </c>
    </row>
    <row r="62" spans="1:24" ht="15" x14ac:dyDescent="0.3">
      <c r="A62" s="3">
        <v>60</v>
      </c>
      <c r="B62" s="3" t="s">
        <v>4429</v>
      </c>
      <c r="C62" s="14" t="s">
        <v>0</v>
      </c>
      <c r="D62" s="14" t="s">
        <v>3287</v>
      </c>
      <c r="E62" s="14" t="s">
        <v>4430</v>
      </c>
      <c r="F62" s="14" t="s">
        <v>3288</v>
      </c>
      <c r="G62" s="14" t="s">
        <v>3</v>
      </c>
      <c r="H62" s="14" t="s">
        <v>4431</v>
      </c>
      <c r="I62" s="14" t="s">
        <v>3359</v>
      </c>
      <c r="J62" s="14" t="s">
        <v>60</v>
      </c>
      <c r="K62" s="14" t="s">
        <v>60</v>
      </c>
      <c r="L62" s="14" t="s">
        <v>60</v>
      </c>
      <c r="M62" s="14" t="s">
        <v>3360</v>
      </c>
      <c r="N62" s="14" t="s">
        <v>60</v>
      </c>
      <c r="O62" s="14" t="s">
        <v>60</v>
      </c>
      <c r="P62" s="14" t="s">
        <v>4432</v>
      </c>
      <c r="Q62" s="14" t="s">
        <v>11</v>
      </c>
      <c r="R62" s="3">
        <v>0</v>
      </c>
      <c r="S62" s="3">
        <f t="shared" si="0"/>
        <v>550</v>
      </c>
      <c r="T62" s="3">
        <f t="shared" si="1"/>
        <v>0</v>
      </c>
      <c r="U62" s="3" t="s">
        <v>4433</v>
      </c>
      <c r="V62" s="14" t="s">
        <v>6</v>
      </c>
      <c r="W62" s="14" t="s">
        <v>4428</v>
      </c>
      <c r="X62" s="14" t="s">
        <v>60</v>
      </c>
    </row>
    <row r="63" spans="1:24" ht="15" x14ac:dyDescent="0.3">
      <c r="A63" s="3">
        <v>61</v>
      </c>
      <c r="B63" s="3" t="s">
        <v>4434</v>
      </c>
      <c r="C63" s="14" t="s">
        <v>0</v>
      </c>
      <c r="D63" s="14" t="s">
        <v>3289</v>
      </c>
      <c r="E63" s="14" t="s">
        <v>4435</v>
      </c>
      <c r="F63" s="14" t="s">
        <v>3290</v>
      </c>
      <c r="G63" s="14" t="s">
        <v>121</v>
      </c>
      <c r="H63" s="14" t="s">
        <v>4436</v>
      </c>
      <c r="I63" s="14" t="s">
        <v>3361</v>
      </c>
      <c r="J63" s="14" t="s">
        <v>60</v>
      </c>
      <c r="K63" s="14" t="s">
        <v>60</v>
      </c>
      <c r="L63" s="14" t="s">
        <v>60</v>
      </c>
      <c r="M63" s="14" t="s">
        <v>3362</v>
      </c>
      <c r="N63" s="14" t="s">
        <v>60</v>
      </c>
      <c r="O63" s="14" t="s">
        <v>60</v>
      </c>
      <c r="P63" s="14" t="s">
        <v>4437</v>
      </c>
      <c r="Q63" s="14" t="s">
        <v>11</v>
      </c>
      <c r="R63" s="3">
        <v>0</v>
      </c>
      <c r="S63" s="3">
        <f t="shared" si="0"/>
        <v>550</v>
      </c>
      <c r="T63" s="3">
        <f t="shared" si="1"/>
        <v>0</v>
      </c>
      <c r="U63" s="3" t="s">
        <v>60</v>
      </c>
      <c r="V63" s="14" t="s">
        <v>6</v>
      </c>
      <c r="W63" s="14" t="s">
        <v>4438</v>
      </c>
      <c r="X63" s="14" t="s">
        <v>60</v>
      </c>
    </row>
    <row r="64" spans="1:24" ht="15" x14ac:dyDescent="0.3">
      <c r="A64" s="3">
        <v>62</v>
      </c>
      <c r="B64" s="3" t="s">
        <v>4439</v>
      </c>
      <c r="C64" s="14" t="s">
        <v>0</v>
      </c>
      <c r="D64" s="14" t="s">
        <v>3417</v>
      </c>
      <c r="E64" s="14" t="s">
        <v>4440</v>
      </c>
      <c r="F64" s="14" t="s">
        <v>3418</v>
      </c>
      <c r="G64" s="14" t="s">
        <v>3</v>
      </c>
      <c r="H64" s="14" t="s">
        <v>4441</v>
      </c>
      <c r="I64" s="14" t="s">
        <v>3630</v>
      </c>
      <c r="J64" s="14" t="s">
        <v>60</v>
      </c>
      <c r="K64" s="14" t="s">
        <v>60</v>
      </c>
      <c r="L64" s="14" t="s">
        <v>60</v>
      </c>
      <c r="M64" s="14" t="s">
        <v>3631</v>
      </c>
      <c r="N64" s="14" t="s">
        <v>60</v>
      </c>
      <c r="O64" s="14" t="s">
        <v>60</v>
      </c>
      <c r="P64" s="14" t="s">
        <v>4442</v>
      </c>
      <c r="Q64" s="14" t="s">
        <v>11</v>
      </c>
      <c r="R64" s="3">
        <v>0</v>
      </c>
      <c r="S64" s="3">
        <f t="shared" si="0"/>
        <v>550</v>
      </c>
      <c r="T64" s="3">
        <f t="shared" si="1"/>
        <v>0</v>
      </c>
      <c r="U64" s="3" t="s">
        <v>60</v>
      </c>
      <c r="V64" s="14" t="s">
        <v>6</v>
      </c>
      <c r="W64" s="14" t="s">
        <v>4444</v>
      </c>
      <c r="X64" s="14" t="s">
        <v>60</v>
      </c>
    </row>
    <row r="65" spans="1:24" ht="15" x14ac:dyDescent="0.3">
      <c r="A65" s="3">
        <v>63</v>
      </c>
      <c r="B65" s="3" t="s">
        <v>4445</v>
      </c>
      <c r="C65" s="14" t="s">
        <v>0</v>
      </c>
      <c r="D65" s="14" t="s">
        <v>3419</v>
      </c>
      <c r="E65" s="14" t="s">
        <v>4446</v>
      </c>
      <c r="F65" s="14" t="s">
        <v>3425</v>
      </c>
      <c r="G65" s="14" t="s">
        <v>3</v>
      </c>
      <c r="H65" s="14" t="s">
        <v>4447</v>
      </c>
      <c r="I65" s="14" t="s">
        <v>3632</v>
      </c>
      <c r="J65" s="14" t="s">
        <v>60</v>
      </c>
      <c r="K65" s="14" t="s">
        <v>60</v>
      </c>
      <c r="L65" s="14" t="s">
        <v>60</v>
      </c>
      <c r="M65" s="14" t="s">
        <v>3633</v>
      </c>
      <c r="N65" s="14" t="s">
        <v>60</v>
      </c>
      <c r="O65" s="14" t="s">
        <v>60</v>
      </c>
      <c r="P65" s="14" t="s">
        <v>4448</v>
      </c>
      <c r="Q65" s="14" t="s">
        <v>5</v>
      </c>
      <c r="R65" s="3">
        <v>0</v>
      </c>
      <c r="S65" s="3">
        <f t="shared" si="0"/>
        <v>550</v>
      </c>
      <c r="T65" s="3">
        <f t="shared" si="1"/>
        <v>0</v>
      </c>
      <c r="U65" s="3" t="s">
        <v>60</v>
      </c>
      <c r="V65" s="14" t="s">
        <v>6</v>
      </c>
      <c r="W65" s="14" t="s">
        <v>4449</v>
      </c>
      <c r="X65" s="14" t="s">
        <v>60</v>
      </c>
    </row>
    <row r="66" spans="1:24" ht="15" x14ac:dyDescent="0.3">
      <c r="A66" s="3">
        <v>64</v>
      </c>
      <c r="B66" s="3" t="s">
        <v>4450</v>
      </c>
      <c r="C66" s="14" t="s">
        <v>0</v>
      </c>
      <c r="D66" s="14" t="s">
        <v>3420</v>
      </c>
      <c r="E66" s="14" t="s">
        <v>4451</v>
      </c>
      <c r="F66" s="14" t="s">
        <v>3426</v>
      </c>
      <c r="G66" s="14" t="s">
        <v>121</v>
      </c>
      <c r="H66" s="14" t="s">
        <v>4452</v>
      </c>
      <c r="I66" s="14" t="s">
        <v>3634</v>
      </c>
      <c r="J66" s="14" t="s">
        <v>60</v>
      </c>
      <c r="K66" s="14" t="s">
        <v>60</v>
      </c>
      <c r="L66" s="14" t="s">
        <v>60</v>
      </c>
      <c r="M66" s="14" t="s">
        <v>3635</v>
      </c>
      <c r="N66" s="14" t="s">
        <v>60</v>
      </c>
      <c r="O66" s="14" t="s">
        <v>60</v>
      </c>
      <c r="P66" s="14" t="s">
        <v>4453</v>
      </c>
      <c r="Q66" s="14" t="s">
        <v>11</v>
      </c>
      <c r="R66" s="3">
        <v>0</v>
      </c>
      <c r="S66" s="3">
        <f t="shared" si="0"/>
        <v>550</v>
      </c>
      <c r="T66" s="3">
        <f t="shared" si="1"/>
        <v>0</v>
      </c>
      <c r="U66" s="3" t="s">
        <v>60</v>
      </c>
      <c r="V66" s="14" t="s">
        <v>6</v>
      </c>
      <c r="W66" s="14" t="s">
        <v>4454</v>
      </c>
      <c r="X66" s="14" t="s">
        <v>60</v>
      </c>
    </row>
    <row r="67" spans="1:24" ht="15" x14ac:dyDescent="0.3">
      <c r="A67" s="3">
        <v>65</v>
      </c>
      <c r="B67" s="3" t="s">
        <v>4455</v>
      </c>
      <c r="C67" s="14" t="s">
        <v>0</v>
      </c>
      <c r="D67" s="14" t="s">
        <v>3421</v>
      </c>
      <c r="E67" s="14" t="s">
        <v>3615</v>
      </c>
      <c r="F67" s="14" t="s">
        <v>3427</v>
      </c>
      <c r="G67" s="14" t="s">
        <v>121</v>
      </c>
      <c r="H67" s="14" t="s">
        <v>4456</v>
      </c>
      <c r="I67" s="14" t="s">
        <v>3636</v>
      </c>
      <c r="J67" s="14" t="s">
        <v>60</v>
      </c>
      <c r="K67" s="14" t="s">
        <v>60</v>
      </c>
      <c r="L67" s="14" t="s">
        <v>60</v>
      </c>
      <c r="M67" s="14" t="s">
        <v>3637</v>
      </c>
      <c r="N67" s="14" t="s">
        <v>60</v>
      </c>
      <c r="O67" s="14" t="s">
        <v>60</v>
      </c>
      <c r="P67" s="14" t="s">
        <v>4457</v>
      </c>
      <c r="Q67" s="14" t="s">
        <v>11</v>
      </c>
      <c r="R67" s="3">
        <v>0</v>
      </c>
      <c r="S67" s="3">
        <f t="shared" ref="S67:S80" si="2">IF(RIGHT(C67,3)="MAZ",550,IF(RIGHT(C67,4)="MATE",570,IF(RIGHT(C67,7)="SKD-III",640,IF(RIGHT(C67,6)="SKD-II",770,IF(RIGHT(C67,5)="SKD-I",900,IF(RIGHT(C67,5)="CPDVR",770,""))))))</f>
        <v>550</v>
      </c>
      <c r="T67" s="3">
        <f t="shared" ref="T67:T80" si="3">R67*S67</f>
        <v>0</v>
      </c>
      <c r="U67" s="3" t="s">
        <v>60</v>
      </c>
      <c r="V67" s="14" t="s">
        <v>6</v>
      </c>
      <c r="W67" s="14" t="s">
        <v>4458</v>
      </c>
      <c r="X67" s="14" t="s">
        <v>60</v>
      </c>
    </row>
    <row r="68" spans="1:24" ht="15" x14ac:dyDescent="0.3">
      <c r="A68" s="3">
        <v>66</v>
      </c>
      <c r="B68" s="3" t="s">
        <v>4459</v>
      </c>
      <c r="C68" s="14" t="s">
        <v>0</v>
      </c>
      <c r="D68" s="14" t="s">
        <v>4460</v>
      </c>
      <c r="E68" s="14" t="s">
        <v>4461</v>
      </c>
      <c r="F68" s="14" t="s">
        <v>3428</v>
      </c>
      <c r="G68" s="14" t="s">
        <v>3</v>
      </c>
      <c r="H68" s="14" t="s">
        <v>4462</v>
      </c>
      <c r="I68" s="14" t="s">
        <v>3638</v>
      </c>
      <c r="J68" s="14" t="s">
        <v>60</v>
      </c>
      <c r="K68" s="14" t="s">
        <v>60</v>
      </c>
      <c r="L68" s="14" t="s">
        <v>60</v>
      </c>
      <c r="M68" s="14" t="s">
        <v>3639</v>
      </c>
      <c r="N68" s="14" t="s">
        <v>60</v>
      </c>
      <c r="O68" s="14" t="s">
        <v>60</v>
      </c>
      <c r="P68" s="14" t="s">
        <v>4463</v>
      </c>
      <c r="Q68" s="14" t="s">
        <v>11</v>
      </c>
      <c r="R68" s="3">
        <v>0</v>
      </c>
      <c r="S68" s="3">
        <f t="shared" si="2"/>
        <v>550</v>
      </c>
      <c r="T68" s="3">
        <f t="shared" si="3"/>
        <v>0</v>
      </c>
      <c r="U68" s="3" t="s">
        <v>60</v>
      </c>
      <c r="V68" s="14" t="s">
        <v>6</v>
      </c>
      <c r="W68" s="14" t="s">
        <v>4464</v>
      </c>
      <c r="X68" s="14" t="s">
        <v>60</v>
      </c>
    </row>
    <row r="69" spans="1:24" ht="15" x14ac:dyDescent="0.3">
      <c r="A69" s="3">
        <v>67</v>
      </c>
      <c r="B69" s="3" t="s">
        <v>4465</v>
      </c>
      <c r="C69" s="14" t="s">
        <v>69</v>
      </c>
      <c r="D69" s="14" t="s">
        <v>3876</v>
      </c>
      <c r="E69" s="14" t="s">
        <v>4466</v>
      </c>
      <c r="F69" s="14" t="s">
        <v>3882</v>
      </c>
      <c r="G69" s="14" t="s">
        <v>3</v>
      </c>
      <c r="H69" s="14" t="s">
        <v>3948</v>
      </c>
      <c r="I69" s="14" t="s">
        <v>3949</v>
      </c>
      <c r="J69" s="14" t="s">
        <v>60</v>
      </c>
      <c r="K69" s="14" t="s">
        <v>60</v>
      </c>
      <c r="L69" s="14" t="s">
        <v>60</v>
      </c>
      <c r="M69" s="14" t="s">
        <v>3950</v>
      </c>
      <c r="N69" s="14" t="s">
        <v>60</v>
      </c>
      <c r="O69" s="14" t="s">
        <v>60</v>
      </c>
      <c r="P69" s="14" t="s">
        <v>4467</v>
      </c>
      <c r="Q69" s="14" t="s">
        <v>5</v>
      </c>
      <c r="R69" s="3">
        <v>0</v>
      </c>
      <c r="S69" s="3">
        <f t="shared" si="2"/>
        <v>570</v>
      </c>
      <c r="T69" s="3">
        <f t="shared" si="3"/>
        <v>0</v>
      </c>
      <c r="U69" s="3" t="s">
        <v>60</v>
      </c>
      <c r="V69" s="14" t="s">
        <v>6</v>
      </c>
      <c r="W69" s="14" t="s">
        <v>4101</v>
      </c>
      <c r="X69" s="14" t="s">
        <v>60</v>
      </c>
    </row>
    <row r="70" spans="1:24" ht="15" x14ac:dyDescent="0.3">
      <c r="A70" s="3">
        <v>68</v>
      </c>
      <c r="B70" s="3" t="s">
        <v>4468</v>
      </c>
      <c r="C70" s="14" t="s">
        <v>14</v>
      </c>
      <c r="D70" s="14" t="s">
        <v>3877</v>
      </c>
      <c r="E70" s="14" t="s">
        <v>4469</v>
      </c>
      <c r="F70" s="14" t="s">
        <v>3883</v>
      </c>
      <c r="G70" s="14" t="s">
        <v>3</v>
      </c>
      <c r="H70" s="14" t="s">
        <v>3952</v>
      </c>
      <c r="I70" s="14" t="s">
        <v>3953</v>
      </c>
      <c r="J70" s="14" t="s">
        <v>60</v>
      </c>
      <c r="K70" s="14" t="s">
        <v>60</v>
      </c>
      <c r="L70" s="14" t="s">
        <v>60</v>
      </c>
      <c r="M70" s="14" t="s">
        <v>3951</v>
      </c>
      <c r="N70" s="14" t="s">
        <v>60</v>
      </c>
      <c r="O70" s="14" t="s">
        <v>60</v>
      </c>
      <c r="P70" s="14" t="s">
        <v>4470</v>
      </c>
      <c r="Q70" s="14" t="s">
        <v>3224</v>
      </c>
      <c r="R70" s="3">
        <v>0</v>
      </c>
      <c r="S70" s="3">
        <f t="shared" si="2"/>
        <v>640</v>
      </c>
      <c r="T70" s="3">
        <f t="shared" si="3"/>
        <v>0</v>
      </c>
      <c r="U70" s="3" t="s">
        <v>60</v>
      </c>
      <c r="V70" s="14" t="s">
        <v>6</v>
      </c>
      <c r="W70" s="14" t="s">
        <v>4101</v>
      </c>
      <c r="X70" s="14" t="s">
        <v>60</v>
      </c>
    </row>
    <row r="71" spans="1:24" ht="15" x14ac:dyDescent="0.3">
      <c r="A71" s="3">
        <v>69</v>
      </c>
      <c r="B71" s="3" t="s">
        <v>4471</v>
      </c>
      <c r="C71" s="14" t="s">
        <v>26</v>
      </c>
      <c r="D71" s="14" t="s">
        <v>3878</v>
      </c>
      <c r="E71" s="14" t="s">
        <v>4472</v>
      </c>
      <c r="F71" s="14" t="s">
        <v>3884</v>
      </c>
      <c r="G71" s="14" t="s">
        <v>3</v>
      </c>
      <c r="H71" s="14" t="s">
        <v>3955</v>
      </c>
      <c r="I71" s="14" t="s">
        <v>3954</v>
      </c>
      <c r="J71" s="14" t="s">
        <v>60</v>
      </c>
      <c r="K71" s="14" t="s">
        <v>60</v>
      </c>
      <c r="L71" s="14" t="s">
        <v>60</v>
      </c>
      <c r="M71" s="14" t="s">
        <v>3956</v>
      </c>
      <c r="N71" s="14" t="s">
        <v>60</v>
      </c>
      <c r="O71" s="14" t="s">
        <v>60</v>
      </c>
      <c r="P71" s="14" t="s">
        <v>4473</v>
      </c>
      <c r="Q71" s="14" t="s">
        <v>5</v>
      </c>
      <c r="R71" s="3">
        <v>0</v>
      </c>
      <c r="S71" s="3">
        <f t="shared" si="2"/>
        <v>770</v>
      </c>
      <c r="T71" s="3">
        <f t="shared" si="3"/>
        <v>0</v>
      </c>
      <c r="U71" s="3" t="s">
        <v>60</v>
      </c>
      <c r="V71" s="14" t="s">
        <v>6</v>
      </c>
      <c r="W71" s="14" t="s">
        <v>4101</v>
      </c>
      <c r="X71" s="14" t="s">
        <v>60</v>
      </c>
    </row>
    <row r="72" spans="1:24" ht="15" x14ac:dyDescent="0.3">
      <c r="A72" s="3">
        <v>70</v>
      </c>
      <c r="B72" s="3" t="s">
        <v>4474</v>
      </c>
      <c r="C72" s="14" t="s">
        <v>0</v>
      </c>
      <c r="D72" s="14" t="s">
        <v>3879</v>
      </c>
      <c r="E72" s="14" t="s">
        <v>4475</v>
      </c>
      <c r="F72" s="14" t="s">
        <v>3885</v>
      </c>
      <c r="G72" s="14" t="s">
        <v>3</v>
      </c>
      <c r="H72" s="14" t="s">
        <v>4476</v>
      </c>
      <c r="I72" s="14" t="s">
        <v>3963</v>
      </c>
      <c r="J72" s="14" t="s">
        <v>60</v>
      </c>
      <c r="K72" s="14" t="s">
        <v>60</v>
      </c>
      <c r="L72" s="14" t="s">
        <v>60</v>
      </c>
      <c r="M72" s="14" t="s">
        <v>3957</v>
      </c>
      <c r="N72" s="14" t="s">
        <v>60</v>
      </c>
      <c r="O72" s="14" t="s">
        <v>3910</v>
      </c>
      <c r="P72" s="14" t="s">
        <v>4477</v>
      </c>
      <c r="Q72" s="14" t="s">
        <v>11</v>
      </c>
      <c r="R72" s="3">
        <v>0</v>
      </c>
      <c r="S72" s="3">
        <f t="shared" si="2"/>
        <v>550</v>
      </c>
      <c r="T72" s="3">
        <f t="shared" si="3"/>
        <v>0</v>
      </c>
      <c r="U72" s="3" t="s">
        <v>60</v>
      </c>
      <c r="V72" s="14" t="s">
        <v>6</v>
      </c>
      <c r="W72" s="14" t="s">
        <v>4478</v>
      </c>
      <c r="X72" s="14" t="s">
        <v>60</v>
      </c>
    </row>
    <row r="73" spans="1:24" ht="15" x14ac:dyDescent="0.3">
      <c r="A73" s="3">
        <v>71</v>
      </c>
      <c r="B73" s="3" t="s">
        <v>4479</v>
      </c>
      <c r="C73" s="14" t="s">
        <v>0</v>
      </c>
      <c r="D73" s="14" t="s">
        <v>3880</v>
      </c>
      <c r="E73" s="14" t="s">
        <v>4480</v>
      </c>
      <c r="F73" s="14" t="s">
        <v>3886</v>
      </c>
      <c r="G73" s="14" t="s">
        <v>3</v>
      </c>
      <c r="H73" s="14" t="s">
        <v>4481</v>
      </c>
      <c r="I73" s="14" t="s">
        <v>3962</v>
      </c>
      <c r="J73" s="14" t="s">
        <v>60</v>
      </c>
      <c r="K73" s="14" t="s">
        <v>60</v>
      </c>
      <c r="L73" s="14" t="s">
        <v>60</v>
      </c>
      <c r="M73" s="14" t="s">
        <v>3958</v>
      </c>
      <c r="N73" s="14" t="s">
        <v>60</v>
      </c>
      <c r="O73" s="14" t="s">
        <v>3910</v>
      </c>
      <c r="P73" s="14" t="s">
        <v>4482</v>
      </c>
      <c r="Q73" s="14" t="s">
        <v>11</v>
      </c>
      <c r="R73" s="3">
        <v>0</v>
      </c>
      <c r="S73" s="3">
        <f t="shared" si="2"/>
        <v>550</v>
      </c>
      <c r="T73" s="3">
        <f t="shared" si="3"/>
        <v>0</v>
      </c>
      <c r="U73" s="3" t="s">
        <v>60</v>
      </c>
      <c r="V73" s="14" t="s">
        <v>6</v>
      </c>
      <c r="W73" s="14" t="s">
        <v>4483</v>
      </c>
      <c r="X73" s="14" t="s">
        <v>60</v>
      </c>
    </row>
    <row r="74" spans="1:24" ht="15" x14ac:dyDescent="0.3">
      <c r="A74" s="3">
        <v>72</v>
      </c>
      <c r="B74" s="3" t="s">
        <v>4484</v>
      </c>
      <c r="C74" s="14" t="s">
        <v>0</v>
      </c>
      <c r="D74" s="14" t="s">
        <v>3881</v>
      </c>
      <c r="E74" s="14" t="s">
        <v>4485</v>
      </c>
      <c r="F74" s="14" t="s">
        <v>3887</v>
      </c>
      <c r="G74" s="14" t="s">
        <v>3</v>
      </c>
      <c r="H74" s="14" t="s">
        <v>4486</v>
      </c>
      <c r="I74" s="14" t="s">
        <v>3961</v>
      </c>
      <c r="J74" s="14" t="s">
        <v>60</v>
      </c>
      <c r="K74" s="14" t="s">
        <v>60</v>
      </c>
      <c r="L74" s="14" t="s">
        <v>60</v>
      </c>
      <c r="M74" s="14" t="s">
        <v>3959</v>
      </c>
      <c r="N74" s="14" t="s">
        <v>60</v>
      </c>
      <c r="O74" s="14" t="s">
        <v>3910</v>
      </c>
      <c r="P74" s="14" t="s">
        <v>4487</v>
      </c>
      <c r="Q74" s="14" t="s">
        <v>11</v>
      </c>
      <c r="R74" s="3">
        <v>0</v>
      </c>
      <c r="S74" s="3">
        <f t="shared" si="2"/>
        <v>550</v>
      </c>
      <c r="T74" s="3">
        <f t="shared" si="3"/>
        <v>0</v>
      </c>
      <c r="U74" s="3" t="s">
        <v>60</v>
      </c>
      <c r="V74" s="14" t="s">
        <v>6</v>
      </c>
      <c r="W74" s="14" t="s">
        <v>4488</v>
      </c>
      <c r="X74" s="14" t="s">
        <v>60</v>
      </c>
    </row>
    <row r="75" spans="1:24" ht="15" x14ac:dyDescent="0.3">
      <c r="A75" s="3">
        <v>73</v>
      </c>
      <c r="B75" s="3" t="s">
        <v>4489</v>
      </c>
      <c r="C75" s="14" t="s">
        <v>0</v>
      </c>
      <c r="D75" s="14" t="s">
        <v>2846</v>
      </c>
      <c r="E75" s="14" t="s">
        <v>4216</v>
      </c>
      <c r="F75" s="14" t="s">
        <v>3888</v>
      </c>
      <c r="G75" s="14" t="s">
        <v>3</v>
      </c>
      <c r="H75" s="14" t="s">
        <v>3964</v>
      </c>
      <c r="I75" s="14" t="s">
        <v>3965</v>
      </c>
      <c r="J75" s="14" t="s">
        <v>60</v>
      </c>
      <c r="K75" s="14" t="s">
        <v>60</v>
      </c>
      <c r="L75" s="14" t="s">
        <v>60</v>
      </c>
      <c r="M75" s="14" t="s">
        <v>3960</v>
      </c>
      <c r="N75" s="14" t="s">
        <v>60</v>
      </c>
      <c r="O75" s="14" t="s">
        <v>3910</v>
      </c>
      <c r="P75" s="14" t="s">
        <v>4490</v>
      </c>
      <c r="Q75" s="14" t="s">
        <v>175</v>
      </c>
      <c r="R75" s="3">
        <v>0</v>
      </c>
      <c r="S75" s="3">
        <f t="shared" si="2"/>
        <v>550</v>
      </c>
      <c r="T75" s="3">
        <f t="shared" si="3"/>
        <v>0</v>
      </c>
      <c r="U75" s="3" t="s">
        <v>60</v>
      </c>
      <c r="V75" s="14" t="s">
        <v>6</v>
      </c>
      <c r="W75" s="14" t="s">
        <v>4491</v>
      </c>
      <c r="X75" s="14" t="s">
        <v>60</v>
      </c>
    </row>
    <row r="76" spans="1:24" ht="15" x14ac:dyDescent="0.3">
      <c r="A76" s="3">
        <v>74</v>
      </c>
      <c r="B76" s="3" t="s">
        <v>4492</v>
      </c>
      <c r="C76" s="14" t="s">
        <v>0</v>
      </c>
      <c r="D76" s="14" t="s">
        <v>3283</v>
      </c>
      <c r="E76" s="14" t="s">
        <v>4493</v>
      </c>
      <c r="F76" s="14" t="s">
        <v>3284</v>
      </c>
      <c r="G76" s="14" t="s">
        <v>3</v>
      </c>
      <c r="H76" s="14" t="s">
        <v>3354</v>
      </c>
      <c r="I76" s="14" t="s">
        <v>3355</v>
      </c>
      <c r="J76" s="14" t="s">
        <v>60</v>
      </c>
      <c r="K76" s="14" t="s">
        <v>60</v>
      </c>
      <c r="L76" s="14" t="s">
        <v>60</v>
      </c>
      <c r="M76" s="14" t="s">
        <v>3356</v>
      </c>
      <c r="N76" s="14" t="s">
        <v>60</v>
      </c>
      <c r="O76" s="14" t="s">
        <v>60</v>
      </c>
      <c r="P76" s="14" t="s">
        <v>4494</v>
      </c>
      <c r="Q76" s="14" t="s">
        <v>11</v>
      </c>
      <c r="R76" s="3">
        <v>0</v>
      </c>
      <c r="S76" s="3">
        <f t="shared" si="2"/>
        <v>550</v>
      </c>
      <c r="T76" s="3">
        <f t="shared" si="3"/>
        <v>0</v>
      </c>
      <c r="U76" s="3" t="s">
        <v>60</v>
      </c>
      <c r="V76" s="14" t="s">
        <v>6</v>
      </c>
      <c r="W76" s="14" t="s">
        <v>4428</v>
      </c>
      <c r="X76" s="14" t="s">
        <v>4495</v>
      </c>
    </row>
    <row r="77" spans="1:24" ht="15" x14ac:dyDescent="0.3">
      <c r="A77" s="3">
        <v>75</v>
      </c>
      <c r="B77" s="3" t="s">
        <v>4496</v>
      </c>
      <c r="C77" s="14" t="s">
        <v>0</v>
      </c>
      <c r="D77" s="14" t="s">
        <v>3424</v>
      </c>
      <c r="E77" s="14" t="s">
        <v>4497</v>
      </c>
      <c r="F77" s="14" t="s">
        <v>3429</v>
      </c>
      <c r="G77" s="14" t="s">
        <v>3</v>
      </c>
      <c r="H77" s="14" t="s">
        <v>4498</v>
      </c>
      <c r="I77" s="14" t="s">
        <v>3640</v>
      </c>
      <c r="J77" s="14" t="s">
        <v>60</v>
      </c>
      <c r="K77" s="14" t="s">
        <v>60</v>
      </c>
      <c r="L77" s="14" t="s">
        <v>60</v>
      </c>
      <c r="M77" s="14" t="s">
        <v>3641</v>
      </c>
      <c r="N77" s="14" t="s">
        <v>60</v>
      </c>
      <c r="O77" s="14" t="s">
        <v>60</v>
      </c>
      <c r="P77" s="14" t="s">
        <v>4499</v>
      </c>
      <c r="Q77" s="14" t="s">
        <v>11</v>
      </c>
      <c r="R77" s="3">
        <v>0</v>
      </c>
      <c r="S77" s="3">
        <f t="shared" si="2"/>
        <v>550</v>
      </c>
      <c r="T77" s="3">
        <f t="shared" si="3"/>
        <v>0</v>
      </c>
      <c r="U77" s="3" t="s">
        <v>60</v>
      </c>
      <c r="V77" s="14" t="s">
        <v>6</v>
      </c>
      <c r="W77" s="14" t="s">
        <v>4500</v>
      </c>
      <c r="X77" s="14" t="s">
        <v>60</v>
      </c>
    </row>
    <row r="78" spans="1:24" ht="15" x14ac:dyDescent="0.3">
      <c r="A78" s="3">
        <v>76</v>
      </c>
      <c r="B78" s="3" t="s">
        <v>4501</v>
      </c>
      <c r="C78" s="14" t="s">
        <v>0</v>
      </c>
      <c r="D78" s="14" t="s">
        <v>3422</v>
      </c>
      <c r="E78" s="14" t="s">
        <v>4502</v>
      </c>
      <c r="F78" s="14" t="s">
        <v>3430</v>
      </c>
      <c r="G78" s="14" t="s">
        <v>3</v>
      </c>
      <c r="H78" s="14" t="s">
        <v>4503</v>
      </c>
      <c r="I78" s="14" t="s">
        <v>3642</v>
      </c>
      <c r="J78" s="14" t="s">
        <v>60</v>
      </c>
      <c r="K78" s="14" t="s">
        <v>60</v>
      </c>
      <c r="L78" s="14" t="s">
        <v>60</v>
      </c>
      <c r="M78" s="14" t="s">
        <v>3643</v>
      </c>
      <c r="N78" s="14" t="s">
        <v>60</v>
      </c>
      <c r="O78" s="14" t="s">
        <v>60</v>
      </c>
      <c r="P78" s="14" t="s">
        <v>4504</v>
      </c>
      <c r="Q78" s="14" t="s">
        <v>11</v>
      </c>
      <c r="R78" s="3">
        <v>0</v>
      </c>
      <c r="S78" s="3">
        <f t="shared" si="2"/>
        <v>550</v>
      </c>
      <c r="T78" s="3">
        <f t="shared" si="3"/>
        <v>0</v>
      </c>
      <c r="U78" s="3" t="s">
        <v>60</v>
      </c>
      <c r="V78" s="14" t="s">
        <v>6</v>
      </c>
      <c r="W78" s="14" t="s">
        <v>4505</v>
      </c>
      <c r="X78" s="14" t="s">
        <v>60</v>
      </c>
    </row>
    <row r="79" spans="1:24" ht="15" x14ac:dyDescent="0.3">
      <c r="A79" s="3">
        <v>77</v>
      </c>
      <c r="B79" s="3" t="s">
        <v>4506</v>
      </c>
      <c r="C79" s="14" t="s">
        <v>0</v>
      </c>
      <c r="D79" s="14" t="s">
        <v>3423</v>
      </c>
      <c r="E79" s="14" t="s">
        <v>4507</v>
      </c>
      <c r="F79" s="14" t="s">
        <v>2963</v>
      </c>
      <c r="G79" s="14" t="s">
        <v>3</v>
      </c>
      <c r="H79" s="14" t="s">
        <v>3644</v>
      </c>
      <c r="I79" s="14" t="s">
        <v>3645</v>
      </c>
      <c r="J79" s="14" t="s">
        <v>60</v>
      </c>
      <c r="K79" s="14" t="s">
        <v>60</v>
      </c>
      <c r="L79" s="14" t="s">
        <v>60</v>
      </c>
      <c r="M79" s="14" t="s">
        <v>3646</v>
      </c>
      <c r="N79" s="14" t="s">
        <v>60</v>
      </c>
      <c r="O79" s="14" t="s">
        <v>60</v>
      </c>
      <c r="P79" s="14" t="s">
        <v>4508</v>
      </c>
      <c r="Q79" s="14" t="s">
        <v>11</v>
      </c>
      <c r="R79" s="3">
        <v>0</v>
      </c>
      <c r="S79" s="3">
        <f t="shared" si="2"/>
        <v>550</v>
      </c>
      <c r="T79" s="3">
        <f t="shared" si="3"/>
        <v>0</v>
      </c>
      <c r="U79" s="3" t="s">
        <v>60</v>
      </c>
      <c r="V79" s="14" t="s">
        <v>6</v>
      </c>
      <c r="W79" s="14" t="s">
        <v>4509</v>
      </c>
      <c r="X79" s="14" t="s">
        <v>60</v>
      </c>
    </row>
    <row r="80" spans="1:24" ht="15.6" x14ac:dyDescent="0.3">
      <c r="A80" s="3">
        <v>78</v>
      </c>
      <c r="B80" s="25" t="s">
        <v>4510</v>
      </c>
      <c r="C80" s="14" t="s">
        <v>0</v>
      </c>
      <c r="D80" s="14" t="s">
        <v>4103</v>
      </c>
      <c r="E80" s="14" t="s">
        <v>4511</v>
      </c>
      <c r="F80" s="14" t="s">
        <v>4104</v>
      </c>
      <c r="G80" s="14" t="s">
        <v>3</v>
      </c>
      <c r="H80" s="14" t="s">
        <v>4512</v>
      </c>
      <c r="I80" s="14" t="s">
        <v>4513</v>
      </c>
      <c r="J80" s="14" t="s">
        <v>60</v>
      </c>
      <c r="K80" s="14" t="s">
        <v>60</v>
      </c>
      <c r="L80" s="14" t="s">
        <v>60</v>
      </c>
      <c r="M80" s="14" t="s">
        <v>4514</v>
      </c>
      <c r="N80" s="14" t="s">
        <v>60</v>
      </c>
      <c r="O80" s="14" t="s">
        <v>60</v>
      </c>
      <c r="P80" s="14" t="s">
        <v>4515</v>
      </c>
      <c r="Q80" s="14" t="s">
        <v>4113</v>
      </c>
      <c r="R80" s="3">
        <v>0</v>
      </c>
      <c r="S80" s="3">
        <f t="shared" si="2"/>
        <v>550</v>
      </c>
      <c r="T80" s="3">
        <f t="shared" si="3"/>
        <v>0</v>
      </c>
      <c r="U80" s="3" t="s">
        <v>4517</v>
      </c>
      <c r="V80" s="14" t="s">
        <v>6</v>
      </c>
      <c r="W80" s="14" t="s">
        <v>4518</v>
      </c>
      <c r="X80" s="14" t="s">
        <v>60</v>
      </c>
    </row>
    <row r="81" spans="1:24" ht="15.6" x14ac:dyDescent="0.3">
      <c r="A81" s="26" t="s">
        <v>60</v>
      </c>
      <c r="B81" s="26" t="s">
        <v>60</v>
      </c>
      <c r="C81" s="27" t="s">
        <v>60</v>
      </c>
      <c r="D81" s="27" t="s">
        <v>60</v>
      </c>
      <c r="E81" s="27" t="s">
        <v>60</v>
      </c>
      <c r="F81" s="27" t="s">
        <v>60</v>
      </c>
      <c r="G81" s="27" t="s">
        <v>60</v>
      </c>
      <c r="H81" s="27" t="s">
        <v>60</v>
      </c>
      <c r="I81" s="27" t="s">
        <v>60</v>
      </c>
      <c r="J81" s="27" t="s">
        <v>60</v>
      </c>
      <c r="K81" s="27" t="s">
        <v>60</v>
      </c>
      <c r="L81" s="27" t="s">
        <v>60</v>
      </c>
      <c r="M81" s="27" t="s">
        <v>60</v>
      </c>
      <c r="N81" s="27" t="s">
        <v>60</v>
      </c>
      <c r="O81" s="27" t="s">
        <v>60</v>
      </c>
      <c r="P81" s="27" t="s">
        <v>60</v>
      </c>
      <c r="Q81" s="27" t="s">
        <v>60</v>
      </c>
      <c r="R81" s="35" t="s">
        <v>2009</v>
      </c>
      <c r="S81" s="35" t="s">
        <v>60</v>
      </c>
      <c r="T81" s="26">
        <f>SUM(T2:T80)</f>
        <v>0</v>
      </c>
      <c r="U81" s="26" t="s">
        <v>4519</v>
      </c>
      <c r="V81" s="27" t="s">
        <v>60</v>
      </c>
      <c r="W81" s="27" t="s">
        <v>60</v>
      </c>
      <c r="X81" s="27" t="s">
        <v>60</v>
      </c>
    </row>
    <row r="82" spans="1:24" ht="15.6" x14ac:dyDescent="0.3">
      <c r="A82" s="34" t="s">
        <v>4520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spans="1:24" ht="109.2" x14ac:dyDescent="0.3">
      <c r="A83" s="23" t="s">
        <v>42</v>
      </c>
      <c r="B83" s="23" t="s">
        <v>43</v>
      </c>
      <c r="C83" s="24" t="s">
        <v>44</v>
      </c>
      <c r="D83" s="24" t="s">
        <v>4154</v>
      </c>
      <c r="E83" s="24" t="s">
        <v>4155</v>
      </c>
      <c r="F83" s="24" t="s">
        <v>4156</v>
      </c>
      <c r="G83" s="24" t="s">
        <v>45</v>
      </c>
      <c r="H83" s="24" t="s">
        <v>4157</v>
      </c>
      <c r="I83" s="24" t="s">
        <v>46</v>
      </c>
      <c r="J83" s="24" t="s">
        <v>4158</v>
      </c>
      <c r="K83" s="24" t="s">
        <v>4159</v>
      </c>
      <c r="L83" s="24" t="s">
        <v>4160</v>
      </c>
      <c r="M83" s="24" t="s">
        <v>4161</v>
      </c>
      <c r="N83" s="24" t="s">
        <v>47</v>
      </c>
      <c r="O83" s="24" t="s">
        <v>48</v>
      </c>
      <c r="P83" s="24" t="s">
        <v>49</v>
      </c>
      <c r="Q83" s="24" t="s">
        <v>50</v>
      </c>
      <c r="R83" s="23" t="s">
        <v>4162</v>
      </c>
      <c r="S83" s="23" t="s">
        <v>4163</v>
      </c>
      <c r="T83" s="23" t="s">
        <v>4164</v>
      </c>
      <c r="U83" s="23" t="s">
        <v>4165</v>
      </c>
      <c r="V83" s="24" t="s">
        <v>51</v>
      </c>
      <c r="W83" s="24" t="s">
        <v>52</v>
      </c>
      <c r="X83" s="24" t="s">
        <v>53</v>
      </c>
    </row>
    <row r="84" spans="1:24" ht="15" x14ac:dyDescent="0.3">
      <c r="A84" s="3">
        <v>1</v>
      </c>
      <c r="B84" s="3" t="s">
        <v>4521</v>
      </c>
      <c r="C84" s="14" t="s">
        <v>0</v>
      </c>
      <c r="D84" s="14" t="s">
        <v>2838</v>
      </c>
      <c r="E84" s="14" t="s">
        <v>4522</v>
      </c>
      <c r="F84" s="14" t="s">
        <v>2839</v>
      </c>
      <c r="G84" s="14" t="s">
        <v>3</v>
      </c>
      <c r="H84" s="14" t="s">
        <v>4523</v>
      </c>
      <c r="I84" s="14" t="s">
        <v>2840</v>
      </c>
      <c r="J84" s="14" t="s">
        <v>60</v>
      </c>
      <c r="K84" s="14" t="s">
        <v>60</v>
      </c>
      <c r="L84" s="14" t="s">
        <v>60</v>
      </c>
      <c r="M84" s="14" t="s">
        <v>2841</v>
      </c>
      <c r="N84" s="14" t="s">
        <v>60</v>
      </c>
      <c r="O84" s="14" t="s">
        <v>949</v>
      </c>
      <c r="P84" s="14" t="s">
        <v>4524</v>
      </c>
      <c r="Q84" s="14" t="s">
        <v>11</v>
      </c>
      <c r="R84" s="3">
        <v>0</v>
      </c>
      <c r="S84" s="3">
        <f t="shared" ref="S84:S147" si="4">IF(RIGHT(C84,3)="MAZ",550,IF(RIGHT(C84,4)="MATE",570,IF(RIGHT(C84,7)="SKD-III",640,IF(RIGHT(C84,6)="SKD-II",770,IF(RIGHT(C84,5)="SKD-I",900,IF(RIGHT(C84,5)="CPDVR",770,""))))))</f>
        <v>550</v>
      </c>
      <c r="T84" s="3">
        <f t="shared" ref="T84:T147" si="5">R84*S84</f>
        <v>0</v>
      </c>
      <c r="U84" s="3" t="s">
        <v>60</v>
      </c>
      <c r="V84" s="14" t="s">
        <v>6</v>
      </c>
      <c r="W84" s="14" t="s">
        <v>4287</v>
      </c>
      <c r="X84" s="14" t="s">
        <v>60</v>
      </c>
    </row>
    <row r="85" spans="1:24" ht="15" x14ac:dyDescent="0.3">
      <c r="A85" s="3">
        <v>2</v>
      </c>
      <c r="B85" s="3" t="s">
        <v>4525</v>
      </c>
      <c r="C85" s="14" t="s">
        <v>0</v>
      </c>
      <c r="D85" s="14" t="s">
        <v>2842</v>
      </c>
      <c r="E85" s="14" t="s">
        <v>4526</v>
      </c>
      <c r="F85" s="14" t="s">
        <v>2843</v>
      </c>
      <c r="G85" s="14" t="s">
        <v>3</v>
      </c>
      <c r="H85" s="14" t="s">
        <v>4527</v>
      </c>
      <c r="I85" s="14" t="s">
        <v>2844</v>
      </c>
      <c r="J85" s="14" t="s">
        <v>60</v>
      </c>
      <c r="K85" s="14" t="s">
        <v>60</v>
      </c>
      <c r="L85" s="14" t="s">
        <v>60</v>
      </c>
      <c r="M85" s="14" t="s">
        <v>2845</v>
      </c>
      <c r="N85" s="14" t="s">
        <v>60</v>
      </c>
      <c r="O85" s="14" t="s">
        <v>949</v>
      </c>
      <c r="P85" s="14" t="s">
        <v>4528</v>
      </c>
      <c r="Q85" s="14" t="s">
        <v>5</v>
      </c>
      <c r="R85" s="3">
        <v>0</v>
      </c>
      <c r="S85" s="3">
        <f t="shared" si="4"/>
        <v>550</v>
      </c>
      <c r="T85" s="3">
        <f t="shared" si="5"/>
        <v>0</v>
      </c>
      <c r="U85" s="3" t="s">
        <v>60</v>
      </c>
      <c r="V85" s="14" t="s">
        <v>6</v>
      </c>
      <c r="W85" s="14" t="s">
        <v>4287</v>
      </c>
      <c r="X85" s="14" t="s">
        <v>60</v>
      </c>
    </row>
    <row r="86" spans="1:24" ht="15" x14ac:dyDescent="0.3">
      <c r="A86" s="3">
        <v>3</v>
      </c>
      <c r="B86" s="3" t="s">
        <v>4529</v>
      </c>
      <c r="C86" s="14" t="s">
        <v>0</v>
      </c>
      <c r="D86" s="14" t="s">
        <v>2847</v>
      </c>
      <c r="E86" s="14" t="s">
        <v>4530</v>
      </c>
      <c r="F86" s="14" t="s">
        <v>2848</v>
      </c>
      <c r="G86" s="14" t="s">
        <v>3</v>
      </c>
      <c r="H86" s="14" t="s">
        <v>4531</v>
      </c>
      <c r="I86" s="14" t="s">
        <v>2849</v>
      </c>
      <c r="J86" s="14" t="s">
        <v>60</v>
      </c>
      <c r="K86" s="14" t="s">
        <v>60</v>
      </c>
      <c r="L86" s="14" t="s">
        <v>60</v>
      </c>
      <c r="M86" s="14" t="s">
        <v>2850</v>
      </c>
      <c r="N86" s="14" t="s">
        <v>60</v>
      </c>
      <c r="O86" s="14" t="s">
        <v>114</v>
      </c>
      <c r="P86" s="14" t="s">
        <v>4532</v>
      </c>
      <c r="Q86" s="14" t="s">
        <v>11</v>
      </c>
      <c r="R86" s="3">
        <v>0</v>
      </c>
      <c r="S86" s="3">
        <f t="shared" si="4"/>
        <v>550</v>
      </c>
      <c r="T86" s="3">
        <f t="shared" si="5"/>
        <v>0</v>
      </c>
      <c r="U86" s="3" t="s">
        <v>60</v>
      </c>
      <c r="V86" s="14" t="s">
        <v>6</v>
      </c>
      <c r="W86" s="14" t="s">
        <v>4251</v>
      </c>
      <c r="X86" s="14" t="s">
        <v>60</v>
      </c>
    </row>
    <row r="87" spans="1:24" ht="15" x14ac:dyDescent="0.3">
      <c r="A87" s="3">
        <v>4</v>
      </c>
      <c r="B87" s="3" t="s">
        <v>4534</v>
      </c>
      <c r="C87" s="14" t="s">
        <v>0</v>
      </c>
      <c r="D87" s="14" t="s">
        <v>2851</v>
      </c>
      <c r="E87" s="14" t="s">
        <v>4304</v>
      </c>
      <c r="F87" s="14" t="s">
        <v>2852</v>
      </c>
      <c r="G87" s="14" t="s">
        <v>3</v>
      </c>
      <c r="H87" s="14" t="s">
        <v>4535</v>
      </c>
      <c r="I87" s="14" t="s">
        <v>2853</v>
      </c>
      <c r="J87" s="14" t="s">
        <v>60</v>
      </c>
      <c r="K87" s="14" t="s">
        <v>60</v>
      </c>
      <c r="L87" s="14" t="s">
        <v>60</v>
      </c>
      <c r="M87" s="14" t="s">
        <v>2854</v>
      </c>
      <c r="N87" s="14" t="s">
        <v>60</v>
      </c>
      <c r="O87" s="14" t="s">
        <v>1980</v>
      </c>
      <c r="P87" s="14" t="s">
        <v>4536</v>
      </c>
      <c r="Q87" s="14" t="s">
        <v>11</v>
      </c>
      <c r="R87" s="3">
        <v>0</v>
      </c>
      <c r="S87" s="3">
        <f t="shared" si="4"/>
        <v>550</v>
      </c>
      <c r="T87" s="3">
        <f t="shared" si="5"/>
        <v>0</v>
      </c>
      <c r="U87" s="3" t="s">
        <v>60</v>
      </c>
      <c r="V87" s="14" t="s">
        <v>6</v>
      </c>
      <c r="W87" s="14" t="s">
        <v>4537</v>
      </c>
      <c r="X87" s="14" t="s">
        <v>60</v>
      </c>
    </row>
    <row r="88" spans="1:24" ht="15" x14ac:dyDescent="0.3">
      <c r="A88" s="3">
        <v>5</v>
      </c>
      <c r="B88" s="3" t="s">
        <v>4538</v>
      </c>
      <c r="C88" s="14" t="s">
        <v>0</v>
      </c>
      <c r="D88" s="14" t="s">
        <v>2855</v>
      </c>
      <c r="E88" s="14" t="s">
        <v>4539</v>
      </c>
      <c r="F88" s="14" t="s">
        <v>2856</v>
      </c>
      <c r="G88" s="14" t="s">
        <v>3</v>
      </c>
      <c r="H88" s="14" t="s">
        <v>4540</v>
      </c>
      <c r="I88" s="14" t="s">
        <v>2857</v>
      </c>
      <c r="J88" s="14" t="s">
        <v>60</v>
      </c>
      <c r="K88" s="14" t="s">
        <v>60</v>
      </c>
      <c r="L88" s="14" t="s">
        <v>60</v>
      </c>
      <c r="M88" s="14" t="s">
        <v>2858</v>
      </c>
      <c r="N88" s="14" t="s">
        <v>60</v>
      </c>
      <c r="O88" s="14" t="s">
        <v>60</v>
      </c>
      <c r="P88" s="14" t="s">
        <v>4541</v>
      </c>
      <c r="Q88" s="14" t="s">
        <v>2151</v>
      </c>
      <c r="R88" s="3">
        <v>0</v>
      </c>
      <c r="S88" s="3">
        <f t="shared" si="4"/>
        <v>550</v>
      </c>
      <c r="T88" s="3">
        <f t="shared" si="5"/>
        <v>0</v>
      </c>
      <c r="U88" s="3" t="s">
        <v>60</v>
      </c>
      <c r="V88" s="14" t="s">
        <v>6</v>
      </c>
      <c r="W88" s="14" t="s">
        <v>4542</v>
      </c>
      <c r="X88" s="14" t="s">
        <v>60</v>
      </c>
    </row>
    <row r="89" spans="1:24" ht="15" x14ac:dyDescent="0.3">
      <c r="A89" s="3">
        <v>6</v>
      </c>
      <c r="B89" s="3" t="s">
        <v>4543</v>
      </c>
      <c r="C89" s="14" t="s">
        <v>0</v>
      </c>
      <c r="D89" s="14" t="s">
        <v>2859</v>
      </c>
      <c r="E89" s="14" t="s">
        <v>4544</v>
      </c>
      <c r="F89" s="14" t="s">
        <v>2860</v>
      </c>
      <c r="G89" s="14" t="s">
        <v>3</v>
      </c>
      <c r="H89" s="14" t="s">
        <v>4545</v>
      </c>
      <c r="I89" s="14" t="s">
        <v>2861</v>
      </c>
      <c r="J89" s="14" t="s">
        <v>60</v>
      </c>
      <c r="K89" s="14" t="s">
        <v>60</v>
      </c>
      <c r="L89" s="14" t="s">
        <v>60</v>
      </c>
      <c r="M89" s="14" t="s">
        <v>2862</v>
      </c>
      <c r="N89" s="14" t="s">
        <v>60</v>
      </c>
      <c r="O89" s="14" t="s">
        <v>60</v>
      </c>
      <c r="P89" s="14" t="s">
        <v>4546</v>
      </c>
      <c r="Q89" s="14" t="s">
        <v>81</v>
      </c>
      <c r="R89" s="3">
        <v>0</v>
      </c>
      <c r="S89" s="3">
        <f t="shared" si="4"/>
        <v>550</v>
      </c>
      <c r="T89" s="3">
        <f t="shared" si="5"/>
        <v>0</v>
      </c>
      <c r="U89" s="3" t="s">
        <v>60</v>
      </c>
      <c r="V89" s="14" t="s">
        <v>6</v>
      </c>
      <c r="W89" s="14" t="s">
        <v>4542</v>
      </c>
      <c r="X89" s="14" t="s">
        <v>60</v>
      </c>
    </row>
    <row r="90" spans="1:24" ht="15" x14ac:dyDescent="0.3">
      <c r="A90" s="3">
        <v>7</v>
      </c>
      <c r="B90" s="3" t="s">
        <v>4547</v>
      </c>
      <c r="C90" s="14" t="s">
        <v>0</v>
      </c>
      <c r="D90" s="14" t="s">
        <v>2863</v>
      </c>
      <c r="E90" s="14" t="s">
        <v>4548</v>
      </c>
      <c r="F90" s="14" t="s">
        <v>2864</v>
      </c>
      <c r="G90" s="14" t="s">
        <v>3</v>
      </c>
      <c r="H90" s="14" t="s">
        <v>4549</v>
      </c>
      <c r="I90" s="14" t="s">
        <v>2865</v>
      </c>
      <c r="J90" s="14" t="s">
        <v>60</v>
      </c>
      <c r="K90" s="14" t="s">
        <v>60</v>
      </c>
      <c r="L90" s="14" t="s">
        <v>60</v>
      </c>
      <c r="M90" s="14" t="s">
        <v>2866</v>
      </c>
      <c r="N90" s="14" t="s">
        <v>60</v>
      </c>
      <c r="O90" s="14" t="s">
        <v>917</v>
      </c>
      <c r="P90" s="14" t="s">
        <v>4550</v>
      </c>
      <c r="Q90" s="14" t="s">
        <v>32</v>
      </c>
      <c r="R90" s="3">
        <v>0</v>
      </c>
      <c r="S90" s="3">
        <f t="shared" si="4"/>
        <v>550</v>
      </c>
      <c r="T90" s="3">
        <f t="shared" si="5"/>
        <v>0</v>
      </c>
      <c r="U90" s="3" t="s">
        <v>60</v>
      </c>
      <c r="V90" s="14" t="s">
        <v>6</v>
      </c>
      <c r="W90" s="14" t="s">
        <v>4552</v>
      </c>
      <c r="X90" s="14" t="s">
        <v>60</v>
      </c>
    </row>
    <row r="91" spans="1:24" ht="15" x14ac:dyDescent="0.3">
      <c r="A91" s="3">
        <v>8</v>
      </c>
      <c r="B91" s="3" t="s">
        <v>4553</v>
      </c>
      <c r="C91" s="14" t="s">
        <v>26</v>
      </c>
      <c r="D91" s="14" t="s">
        <v>2867</v>
      </c>
      <c r="E91" s="14" t="s">
        <v>4554</v>
      </c>
      <c r="F91" s="14" t="s">
        <v>2868</v>
      </c>
      <c r="G91" s="14" t="s">
        <v>3</v>
      </c>
      <c r="H91" s="14" t="s">
        <v>4555</v>
      </c>
      <c r="I91" s="14" t="s">
        <v>2869</v>
      </c>
      <c r="J91" s="14" t="s">
        <v>60</v>
      </c>
      <c r="K91" s="14" t="s">
        <v>60</v>
      </c>
      <c r="L91" s="14" t="s">
        <v>60</v>
      </c>
      <c r="M91" s="14" t="s">
        <v>60</v>
      </c>
      <c r="N91" s="14" t="s">
        <v>60</v>
      </c>
      <c r="O91" s="14" t="s">
        <v>2870</v>
      </c>
      <c r="P91" s="14" t="s">
        <v>4556</v>
      </c>
      <c r="Q91" s="14" t="s">
        <v>32</v>
      </c>
      <c r="R91" s="3">
        <v>0</v>
      </c>
      <c r="S91" s="3">
        <f t="shared" si="4"/>
        <v>770</v>
      </c>
      <c r="T91" s="3">
        <f t="shared" si="5"/>
        <v>0</v>
      </c>
      <c r="U91" s="3" t="s">
        <v>60</v>
      </c>
      <c r="V91" s="14" t="s">
        <v>6</v>
      </c>
      <c r="W91" s="14" t="s">
        <v>4557</v>
      </c>
      <c r="X91" s="14" t="s">
        <v>60</v>
      </c>
    </row>
    <row r="92" spans="1:24" ht="15" x14ac:dyDescent="0.3">
      <c r="A92" s="3">
        <v>9</v>
      </c>
      <c r="B92" s="3" t="s">
        <v>4558</v>
      </c>
      <c r="C92" s="14" t="s">
        <v>0</v>
      </c>
      <c r="D92" s="14" t="s">
        <v>2871</v>
      </c>
      <c r="E92" s="14" t="s">
        <v>4559</v>
      </c>
      <c r="F92" s="14" t="s">
        <v>2872</v>
      </c>
      <c r="G92" s="14" t="s">
        <v>3</v>
      </c>
      <c r="H92" s="14" t="s">
        <v>4560</v>
      </c>
      <c r="I92" s="14" t="s">
        <v>2873</v>
      </c>
      <c r="J92" s="14" t="s">
        <v>60</v>
      </c>
      <c r="K92" s="14" t="s">
        <v>60</v>
      </c>
      <c r="L92" s="14" t="s">
        <v>60</v>
      </c>
      <c r="M92" s="14" t="s">
        <v>2874</v>
      </c>
      <c r="N92" s="14" t="s">
        <v>60</v>
      </c>
      <c r="O92" s="14" t="s">
        <v>949</v>
      </c>
      <c r="P92" s="14" t="s">
        <v>4561</v>
      </c>
      <c r="Q92" s="14" t="s">
        <v>11</v>
      </c>
      <c r="R92" s="3">
        <v>0</v>
      </c>
      <c r="S92" s="3">
        <f t="shared" si="4"/>
        <v>550</v>
      </c>
      <c r="T92" s="3">
        <f t="shared" si="5"/>
        <v>0</v>
      </c>
      <c r="U92" s="3" t="s">
        <v>60</v>
      </c>
      <c r="V92" s="14" t="s">
        <v>6</v>
      </c>
      <c r="W92" s="14" t="s">
        <v>4287</v>
      </c>
      <c r="X92" s="14" t="s">
        <v>60</v>
      </c>
    </row>
    <row r="93" spans="1:24" ht="15" x14ac:dyDescent="0.3">
      <c r="A93" s="3">
        <v>10</v>
      </c>
      <c r="B93" s="3" t="s">
        <v>2875</v>
      </c>
      <c r="C93" s="14" t="s">
        <v>710</v>
      </c>
      <c r="D93" s="14" t="s">
        <v>2876</v>
      </c>
      <c r="E93" s="14" t="s">
        <v>4562</v>
      </c>
      <c r="F93" s="14" t="s">
        <v>2877</v>
      </c>
      <c r="G93" s="14" t="s">
        <v>3</v>
      </c>
      <c r="H93" s="14" t="s">
        <v>4563</v>
      </c>
      <c r="I93" s="14" t="s">
        <v>2878</v>
      </c>
      <c r="J93" s="14" t="s">
        <v>60</v>
      </c>
      <c r="K93" s="14" t="s">
        <v>60</v>
      </c>
      <c r="L93" s="14" t="s">
        <v>60</v>
      </c>
      <c r="M93" s="14" t="s">
        <v>2879</v>
      </c>
      <c r="N93" s="14" t="s">
        <v>60</v>
      </c>
      <c r="O93" s="14" t="s">
        <v>917</v>
      </c>
      <c r="P93" s="14" t="s">
        <v>4564</v>
      </c>
      <c r="Q93" s="14" t="s">
        <v>11</v>
      </c>
      <c r="R93" s="3">
        <v>0</v>
      </c>
      <c r="S93" s="3">
        <f t="shared" si="4"/>
        <v>900</v>
      </c>
      <c r="T93" s="3">
        <f t="shared" si="5"/>
        <v>0</v>
      </c>
      <c r="U93" s="3" t="s">
        <v>60</v>
      </c>
      <c r="V93" s="14" t="s">
        <v>6</v>
      </c>
      <c r="W93" s="14" t="s">
        <v>4565</v>
      </c>
      <c r="X93" s="14" t="s">
        <v>60</v>
      </c>
    </row>
    <row r="94" spans="1:24" ht="15" x14ac:dyDescent="0.3">
      <c r="A94" s="3">
        <v>11</v>
      </c>
      <c r="B94" s="3" t="s">
        <v>4566</v>
      </c>
      <c r="C94" s="14" t="s">
        <v>26</v>
      </c>
      <c r="D94" s="14" t="s">
        <v>2880</v>
      </c>
      <c r="E94" s="14" t="s">
        <v>4567</v>
      </c>
      <c r="F94" s="14" t="s">
        <v>2881</v>
      </c>
      <c r="G94" s="14" t="s">
        <v>3</v>
      </c>
      <c r="H94" s="14" t="s">
        <v>4568</v>
      </c>
      <c r="I94" s="14" t="s">
        <v>2882</v>
      </c>
      <c r="J94" s="14" t="s">
        <v>60</v>
      </c>
      <c r="K94" s="14" t="s">
        <v>60</v>
      </c>
      <c r="L94" s="14" t="s">
        <v>60</v>
      </c>
      <c r="M94" s="14" t="s">
        <v>60</v>
      </c>
      <c r="N94" s="14" t="s">
        <v>60</v>
      </c>
      <c r="O94" s="14" t="s">
        <v>31</v>
      </c>
      <c r="P94" s="14" t="s">
        <v>4569</v>
      </c>
      <c r="Q94" s="14" t="s">
        <v>32</v>
      </c>
      <c r="R94" s="3">
        <v>0</v>
      </c>
      <c r="S94" s="3">
        <f t="shared" si="4"/>
        <v>770</v>
      </c>
      <c r="T94" s="3">
        <f t="shared" si="5"/>
        <v>0</v>
      </c>
      <c r="U94" s="3" t="s">
        <v>60</v>
      </c>
      <c r="V94" s="14" t="s">
        <v>6</v>
      </c>
      <c r="W94" s="14" t="s">
        <v>4570</v>
      </c>
      <c r="X94" s="14" t="s">
        <v>60</v>
      </c>
    </row>
    <row r="95" spans="1:24" ht="15" x14ac:dyDescent="0.3">
      <c r="A95" s="3">
        <v>12</v>
      </c>
      <c r="B95" s="3" t="s">
        <v>4571</v>
      </c>
      <c r="C95" s="14" t="s">
        <v>710</v>
      </c>
      <c r="D95" s="14" t="s">
        <v>2883</v>
      </c>
      <c r="E95" s="14" t="s">
        <v>2884</v>
      </c>
      <c r="F95" s="14" t="s">
        <v>2885</v>
      </c>
      <c r="G95" s="14" t="s">
        <v>3</v>
      </c>
      <c r="H95" s="14" t="s">
        <v>4572</v>
      </c>
      <c r="I95" s="14" t="s">
        <v>2886</v>
      </c>
      <c r="J95" s="14" t="s">
        <v>60</v>
      </c>
      <c r="K95" s="14" t="s">
        <v>60</v>
      </c>
      <c r="L95" s="14" t="s">
        <v>60</v>
      </c>
      <c r="M95" s="14" t="s">
        <v>60</v>
      </c>
      <c r="N95" s="14" t="s">
        <v>60</v>
      </c>
      <c r="O95" s="14" t="s">
        <v>60</v>
      </c>
      <c r="P95" s="14" t="s">
        <v>4573</v>
      </c>
      <c r="Q95" s="14" t="s">
        <v>11</v>
      </c>
      <c r="R95" s="3">
        <v>0</v>
      </c>
      <c r="S95" s="3">
        <f t="shared" si="4"/>
        <v>900</v>
      </c>
      <c r="T95" s="3">
        <f t="shared" si="5"/>
        <v>0</v>
      </c>
      <c r="U95" s="3" t="s">
        <v>60</v>
      </c>
      <c r="V95" s="14" t="s">
        <v>6</v>
      </c>
      <c r="W95" s="14" t="s">
        <v>2887</v>
      </c>
      <c r="X95" s="14" t="s">
        <v>60</v>
      </c>
    </row>
    <row r="96" spans="1:24" ht="15" x14ac:dyDescent="0.3">
      <c r="A96" s="3">
        <v>13</v>
      </c>
      <c r="B96" s="3" t="s">
        <v>4574</v>
      </c>
      <c r="C96" s="14" t="s">
        <v>26</v>
      </c>
      <c r="D96" s="14" t="s">
        <v>2893</v>
      </c>
      <c r="E96" s="14" t="s">
        <v>4575</v>
      </c>
      <c r="F96" s="14" t="s">
        <v>2894</v>
      </c>
      <c r="G96" s="14" t="s">
        <v>3</v>
      </c>
      <c r="H96" s="14" t="s">
        <v>2895</v>
      </c>
      <c r="I96" s="14" t="s">
        <v>2896</v>
      </c>
      <c r="J96" s="14" t="s">
        <v>60</v>
      </c>
      <c r="K96" s="14" t="s">
        <v>60</v>
      </c>
      <c r="L96" s="14" t="s">
        <v>60</v>
      </c>
      <c r="M96" s="14" t="s">
        <v>2897</v>
      </c>
      <c r="N96" s="14" t="s">
        <v>60</v>
      </c>
      <c r="O96" s="14" t="s">
        <v>60</v>
      </c>
      <c r="P96" s="14" t="s">
        <v>4576</v>
      </c>
      <c r="Q96" s="14" t="s">
        <v>2898</v>
      </c>
      <c r="R96" s="3">
        <v>0</v>
      </c>
      <c r="S96" s="3">
        <f t="shared" si="4"/>
        <v>770</v>
      </c>
      <c r="T96" s="3">
        <f t="shared" si="5"/>
        <v>0</v>
      </c>
      <c r="U96" s="3" t="s">
        <v>60</v>
      </c>
      <c r="V96" s="14" t="s">
        <v>3889</v>
      </c>
      <c r="W96" s="14" t="s">
        <v>4577</v>
      </c>
      <c r="X96" s="14" t="s">
        <v>4578</v>
      </c>
    </row>
    <row r="97" spans="1:24" ht="15" x14ac:dyDescent="0.3">
      <c r="A97" s="3">
        <v>14</v>
      </c>
      <c r="B97" s="3" t="s">
        <v>4579</v>
      </c>
      <c r="C97" s="14" t="s">
        <v>0</v>
      </c>
      <c r="D97" s="14" t="s">
        <v>2900</v>
      </c>
      <c r="E97" s="14" t="s">
        <v>4580</v>
      </c>
      <c r="F97" s="14" t="s">
        <v>2901</v>
      </c>
      <c r="G97" s="14" t="s">
        <v>3</v>
      </c>
      <c r="H97" s="14" t="s">
        <v>2902</v>
      </c>
      <c r="I97" s="14" t="s">
        <v>2903</v>
      </c>
      <c r="J97" s="14" t="s">
        <v>60</v>
      </c>
      <c r="K97" s="14" t="s">
        <v>60</v>
      </c>
      <c r="L97" s="14" t="s">
        <v>60</v>
      </c>
      <c r="M97" s="14" t="s">
        <v>2904</v>
      </c>
      <c r="N97" s="14" t="s">
        <v>60</v>
      </c>
      <c r="O97" s="14" t="s">
        <v>169</v>
      </c>
      <c r="P97" s="14" t="s">
        <v>4581</v>
      </c>
      <c r="Q97" s="14" t="s">
        <v>2905</v>
      </c>
      <c r="R97" s="3">
        <v>0</v>
      </c>
      <c r="S97" s="3">
        <f t="shared" si="4"/>
        <v>550</v>
      </c>
      <c r="T97" s="3">
        <f t="shared" si="5"/>
        <v>0</v>
      </c>
      <c r="U97" s="3" t="s">
        <v>60</v>
      </c>
      <c r="V97" s="14" t="s">
        <v>6</v>
      </c>
      <c r="W97" s="14" t="s">
        <v>4327</v>
      </c>
      <c r="X97" s="14" t="s">
        <v>4578</v>
      </c>
    </row>
    <row r="98" spans="1:24" ht="15" x14ac:dyDescent="0.3">
      <c r="A98" s="3">
        <v>15</v>
      </c>
      <c r="B98" s="3" t="s">
        <v>4582</v>
      </c>
      <c r="C98" s="14" t="s">
        <v>0</v>
      </c>
      <c r="D98" s="14" t="s">
        <v>2906</v>
      </c>
      <c r="E98" s="14" t="s">
        <v>4583</v>
      </c>
      <c r="F98" s="14" t="s">
        <v>2907</v>
      </c>
      <c r="G98" s="14" t="s">
        <v>3</v>
      </c>
      <c r="H98" s="14" t="s">
        <v>4584</v>
      </c>
      <c r="I98" s="14" t="s">
        <v>2908</v>
      </c>
      <c r="J98" s="14" t="s">
        <v>60</v>
      </c>
      <c r="K98" s="14" t="s">
        <v>60</v>
      </c>
      <c r="L98" s="14" t="s">
        <v>60</v>
      </c>
      <c r="M98" s="14" t="s">
        <v>2909</v>
      </c>
      <c r="N98" s="14" t="s">
        <v>60</v>
      </c>
      <c r="O98" s="14" t="s">
        <v>60</v>
      </c>
      <c r="P98" s="14" t="s">
        <v>4585</v>
      </c>
      <c r="Q98" s="14" t="s">
        <v>11</v>
      </c>
      <c r="R98" s="3">
        <v>0</v>
      </c>
      <c r="S98" s="3">
        <f t="shared" si="4"/>
        <v>550</v>
      </c>
      <c r="T98" s="3">
        <f t="shared" si="5"/>
        <v>0</v>
      </c>
      <c r="U98" s="3" t="s">
        <v>60</v>
      </c>
      <c r="V98" s="14" t="s">
        <v>6</v>
      </c>
      <c r="W98" s="14" t="s">
        <v>4586</v>
      </c>
      <c r="X98" s="14" t="s">
        <v>60</v>
      </c>
    </row>
    <row r="99" spans="1:24" ht="15" x14ac:dyDescent="0.3">
      <c r="A99" s="3">
        <v>16</v>
      </c>
      <c r="B99" s="3" t="s">
        <v>4587</v>
      </c>
      <c r="C99" s="14" t="s">
        <v>69</v>
      </c>
      <c r="D99" s="14" t="s">
        <v>2910</v>
      </c>
      <c r="E99" s="14" t="s">
        <v>4588</v>
      </c>
      <c r="F99" s="14" t="s">
        <v>2911</v>
      </c>
      <c r="G99" s="14" t="s">
        <v>3</v>
      </c>
      <c r="H99" s="14" t="s">
        <v>4589</v>
      </c>
      <c r="I99" s="14" t="s">
        <v>2912</v>
      </c>
      <c r="J99" s="14" t="s">
        <v>60</v>
      </c>
      <c r="K99" s="14" t="s">
        <v>60</v>
      </c>
      <c r="L99" s="14" t="s">
        <v>60</v>
      </c>
      <c r="M99" s="14" t="s">
        <v>60</v>
      </c>
      <c r="N99" s="14" t="s">
        <v>60</v>
      </c>
      <c r="O99" s="14" t="s">
        <v>2913</v>
      </c>
      <c r="P99" s="14" t="s">
        <v>4590</v>
      </c>
      <c r="Q99" s="14" t="s">
        <v>5</v>
      </c>
      <c r="R99" s="3">
        <v>0</v>
      </c>
      <c r="S99" s="3">
        <f t="shared" si="4"/>
        <v>570</v>
      </c>
      <c r="T99" s="3">
        <f t="shared" si="5"/>
        <v>0</v>
      </c>
      <c r="U99" s="3" t="s">
        <v>60</v>
      </c>
      <c r="V99" s="14" t="s">
        <v>6</v>
      </c>
      <c r="W99" s="14" t="s">
        <v>4287</v>
      </c>
      <c r="X99" s="14" t="s">
        <v>60</v>
      </c>
    </row>
    <row r="100" spans="1:24" ht="15" x14ac:dyDescent="0.3">
      <c r="A100" s="3">
        <v>17</v>
      </c>
      <c r="B100" s="3" t="s">
        <v>4591</v>
      </c>
      <c r="C100" s="14" t="s">
        <v>0</v>
      </c>
      <c r="D100" s="14" t="s">
        <v>2914</v>
      </c>
      <c r="E100" s="14" t="s">
        <v>2915</v>
      </c>
      <c r="F100" s="14" t="s">
        <v>2916</v>
      </c>
      <c r="G100" s="14" t="s">
        <v>3</v>
      </c>
      <c r="H100" s="14" t="s">
        <v>2917</v>
      </c>
      <c r="I100" s="14" t="s">
        <v>2918</v>
      </c>
      <c r="J100" s="14" t="s">
        <v>60</v>
      </c>
      <c r="K100" s="14" t="s">
        <v>60</v>
      </c>
      <c r="L100" s="14" t="s">
        <v>60</v>
      </c>
      <c r="M100" s="14" t="s">
        <v>2919</v>
      </c>
      <c r="N100" s="14" t="s">
        <v>60</v>
      </c>
      <c r="O100" s="14" t="s">
        <v>4592</v>
      </c>
      <c r="P100" s="14" t="s">
        <v>4593</v>
      </c>
      <c r="Q100" s="14" t="s">
        <v>5</v>
      </c>
      <c r="R100" s="3">
        <v>0</v>
      </c>
      <c r="S100" s="3">
        <f t="shared" si="4"/>
        <v>550</v>
      </c>
      <c r="T100" s="3">
        <f t="shared" si="5"/>
        <v>0</v>
      </c>
      <c r="U100" s="3" t="s">
        <v>60</v>
      </c>
      <c r="V100" s="14" t="s">
        <v>6</v>
      </c>
      <c r="W100" s="14" t="s">
        <v>4594</v>
      </c>
      <c r="X100" s="14" t="s">
        <v>60</v>
      </c>
    </row>
    <row r="101" spans="1:24" ht="15" x14ac:dyDescent="0.3">
      <c r="A101" s="3">
        <v>18</v>
      </c>
      <c r="B101" s="3" t="s">
        <v>4595</v>
      </c>
      <c r="C101" s="14" t="s">
        <v>0</v>
      </c>
      <c r="D101" s="14" t="s">
        <v>2920</v>
      </c>
      <c r="E101" s="14" t="s">
        <v>4596</v>
      </c>
      <c r="F101" s="14" t="s">
        <v>2921</v>
      </c>
      <c r="G101" s="14" t="s">
        <v>3</v>
      </c>
      <c r="H101" s="14" t="s">
        <v>4597</v>
      </c>
      <c r="I101" s="14" t="s">
        <v>4598</v>
      </c>
      <c r="J101" s="14" t="s">
        <v>60</v>
      </c>
      <c r="K101" s="14" t="s">
        <v>60</v>
      </c>
      <c r="L101" s="14" t="s">
        <v>60</v>
      </c>
      <c r="M101" s="14" t="s">
        <v>60</v>
      </c>
      <c r="N101" s="14" t="s">
        <v>60</v>
      </c>
      <c r="O101" s="14" t="s">
        <v>4</v>
      </c>
      <c r="P101" s="14" t="s">
        <v>4599</v>
      </c>
      <c r="Q101" s="14" t="s">
        <v>2922</v>
      </c>
      <c r="R101" s="3">
        <v>0</v>
      </c>
      <c r="S101" s="3">
        <f t="shared" si="4"/>
        <v>550</v>
      </c>
      <c r="T101" s="3">
        <f t="shared" si="5"/>
        <v>0</v>
      </c>
      <c r="U101" s="3" t="s">
        <v>60</v>
      </c>
      <c r="V101" s="14" t="s">
        <v>6</v>
      </c>
      <c r="W101" s="14" t="s">
        <v>7</v>
      </c>
      <c r="X101" s="14" t="s">
        <v>60</v>
      </c>
    </row>
    <row r="102" spans="1:24" ht="15" x14ac:dyDescent="0.3">
      <c r="A102" s="3">
        <v>19</v>
      </c>
      <c r="B102" s="3" t="s">
        <v>4600</v>
      </c>
      <c r="C102" s="14" t="s">
        <v>0</v>
      </c>
      <c r="D102" s="14" t="s">
        <v>2923</v>
      </c>
      <c r="E102" s="14" t="s">
        <v>2924</v>
      </c>
      <c r="F102" s="14" t="s">
        <v>2925</v>
      </c>
      <c r="G102" s="14" t="s">
        <v>3</v>
      </c>
      <c r="H102" s="14" t="s">
        <v>2926</v>
      </c>
      <c r="I102" s="14" t="s">
        <v>4601</v>
      </c>
      <c r="J102" s="14" t="s">
        <v>60</v>
      </c>
      <c r="K102" s="14" t="s">
        <v>60</v>
      </c>
      <c r="L102" s="14" t="s">
        <v>60</v>
      </c>
      <c r="M102" s="14" t="s">
        <v>60</v>
      </c>
      <c r="N102" s="14" t="s">
        <v>60</v>
      </c>
      <c r="O102" s="14" t="s">
        <v>4602</v>
      </c>
      <c r="P102" s="14" t="s">
        <v>4603</v>
      </c>
      <c r="Q102" s="14" t="s">
        <v>5</v>
      </c>
      <c r="R102" s="3">
        <v>0</v>
      </c>
      <c r="S102" s="3">
        <f t="shared" si="4"/>
        <v>550</v>
      </c>
      <c r="T102" s="3">
        <f t="shared" si="5"/>
        <v>0</v>
      </c>
      <c r="U102" s="3" t="s">
        <v>60</v>
      </c>
      <c r="V102" s="14" t="s">
        <v>6</v>
      </c>
      <c r="W102" s="14" t="s">
        <v>7</v>
      </c>
      <c r="X102" s="14" t="s">
        <v>60</v>
      </c>
    </row>
    <row r="103" spans="1:24" ht="15" x14ac:dyDescent="0.3">
      <c r="A103" s="3">
        <v>20</v>
      </c>
      <c r="B103" s="3" t="s">
        <v>4604</v>
      </c>
      <c r="C103" s="14" t="s">
        <v>0</v>
      </c>
      <c r="D103" s="14" t="s">
        <v>2927</v>
      </c>
      <c r="E103" s="14" t="s">
        <v>2928</v>
      </c>
      <c r="F103" s="14" t="s">
        <v>2929</v>
      </c>
      <c r="G103" s="14" t="s">
        <v>3</v>
      </c>
      <c r="H103" s="14" t="s">
        <v>4605</v>
      </c>
      <c r="I103" s="14" t="s">
        <v>4606</v>
      </c>
      <c r="J103" s="14" t="s">
        <v>60</v>
      </c>
      <c r="K103" s="14" t="s">
        <v>60</v>
      </c>
      <c r="L103" s="14" t="s">
        <v>60</v>
      </c>
      <c r="M103" s="14" t="s">
        <v>60</v>
      </c>
      <c r="N103" s="14" t="s">
        <v>60</v>
      </c>
      <c r="O103" s="14" t="s">
        <v>4</v>
      </c>
      <c r="P103" s="14" t="s">
        <v>4607</v>
      </c>
      <c r="Q103" s="14" t="s">
        <v>11</v>
      </c>
      <c r="R103" s="3">
        <v>0</v>
      </c>
      <c r="S103" s="3">
        <f t="shared" si="4"/>
        <v>550</v>
      </c>
      <c r="T103" s="3">
        <f t="shared" si="5"/>
        <v>0</v>
      </c>
      <c r="U103" s="3" t="s">
        <v>4608</v>
      </c>
      <c r="V103" s="14" t="s">
        <v>6</v>
      </c>
      <c r="W103" s="14" t="s">
        <v>7</v>
      </c>
      <c r="X103" s="14" t="s">
        <v>60</v>
      </c>
    </row>
    <row r="104" spans="1:24" ht="15" x14ac:dyDescent="0.3">
      <c r="A104" s="3">
        <v>21</v>
      </c>
      <c r="B104" s="3" t="s">
        <v>4609</v>
      </c>
      <c r="C104" s="14" t="s">
        <v>0</v>
      </c>
      <c r="D104" s="14" t="s">
        <v>1</v>
      </c>
      <c r="E104" s="14" t="s">
        <v>4610</v>
      </c>
      <c r="F104" s="14" t="s">
        <v>2</v>
      </c>
      <c r="G104" s="14" t="s">
        <v>3</v>
      </c>
      <c r="H104" s="14" t="s">
        <v>4611</v>
      </c>
      <c r="I104" s="14" t="s">
        <v>4612</v>
      </c>
      <c r="J104" s="14" t="s">
        <v>60</v>
      </c>
      <c r="K104" s="14" t="s">
        <v>60</v>
      </c>
      <c r="L104" s="14" t="s">
        <v>60</v>
      </c>
      <c r="M104" s="14" t="s">
        <v>60</v>
      </c>
      <c r="N104" s="14" t="s">
        <v>60</v>
      </c>
      <c r="O104" s="14" t="s">
        <v>4</v>
      </c>
      <c r="P104" s="14" t="s">
        <v>4613</v>
      </c>
      <c r="Q104" s="14" t="s">
        <v>5</v>
      </c>
      <c r="R104" s="3">
        <v>0</v>
      </c>
      <c r="S104" s="3">
        <f t="shared" si="4"/>
        <v>550</v>
      </c>
      <c r="T104" s="3">
        <f t="shared" si="5"/>
        <v>0</v>
      </c>
      <c r="U104" s="3" t="s">
        <v>60</v>
      </c>
      <c r="V104" s="14" t="s">
        <v>6</v>
      </c>
      <c r="W104" s="14" t="s">
        <v>7</v>
      </c>
      <c r="X104" s="14" t="s">
        <v>60</v>
      </c>
    </row>
    <row r="105" spans="1:24" ht="15" x14ac:dyDescent="0.3">
      <c r="A105" s="3">
        <v>22</v>
      </c>
      <c r="B105" s="3" t="s">
        <v>4614</v>
      </c>
      <c r="C105" s="14" t="s">
        <v>0</v>
      </c>
      <c r="D105" s="14" t="s">
        <v>8</v>
      </c>
      <c r="E105" s="14" t="s">
        <v>9</v>
      </c>
      <c r="F105" s="14" t="s">
        <v>10</v>
      </c>
      <c r="G105" s="14" t="s">
        <v>3</v>
      </c>
      <c r="H105" s="14" t="s">
        <v>4615</v>
      </c>
      <c r="I105" s="14" t="s">
        <v>4616</v>
      </c>
      <c r="J105" s="14" t="s">
        <v>60</v>
      </c>
      <c r="K105" s="14" t="s">
        <v>60</v>
      </c>
      <c r="L105" s="14" t="s">
        <v>60</v>
      </c>
      <c r="M105" s="14" t="s">
        <v>60</v>
      </c>
      <c r="N105" s="14" t="s">
        <v>60</v>
      </c>
      <c r="O105" s="14" t="s">
        <v>4</v>
      </c>
      <c r="P105" s="14" t="s">
        <v>4617</v>
      </c>
      <c r="Q105" s="14" t="s">
        <v>11</v>
      </c>
      <c r="R105" s="3">
        <v>0</v>
      </c>
      <c r="S105" s="3">
        <f t="shared" si="4"/>
        <v>550</v>
      </c>
      <c r="T105" s="3">
        <f t="shared" si="5"/>
        <v>0</v>
      </c>
      <c r="U105" s="3" t="s">
        <v>60</v>
      </c>
      <c r="V105" s="14" t="s">
        <v>6</v>
      </c>
      <c r="W105" s="14" t="s">
        <v>7</v>
      </c>
      <c r="X105" s="14" t="s">
        <v>60</v>
      </c>
    </row>
    <row r="106" spans="1:24" ht="15" x14ac:dyDescent="0.3">
      <c r="A106" s="3">
        <v>23</v>
      </c>
      <c r="B106" s="3" t="s">
        <v>4618</v>
      </c>
      <c r="C106" s="14" t="s">
        <v>0</v>
      </c>
      <c r="D106" s="14" t="s">
        <v>12</v>
      </c>
      <c r="E106" s="14" t="s">
        <v>13</v>
      </c>
      <c r="F106" s="14" t="s">
        <v>2</v>
      </c>
      <c r="G106" s="14" t="s">
        <v>3</v>
      </c>
      <c r="H106" s="14" t="s">
        <v>4619</v>
      </c>
      <c r="I106" s="14" t="s">
        <v>4620</v>
      </c>
      <c r="J106" s="14" t="s">
        <v>60</v>
      </c>
      <c r="K106" s="14" t="s">
        <v>60</v>
      </c>
      <c r="L106" s="14" t="s">
        <v>60</v>
      </c>
      <c r="M106" s="14" t="s">
        <v>60</v>
      </c>
      <c r="N106" s="14" t="s">
        <v>60</v>
      </c>
      <c r="O106" s="14" t="s">
        <v>4</v>
      </c>
      <c r="P106" s="14" t="s">
        <v>4621</v>
      </c>
      <c r="Q106" s="14" t="s">
        <v>5</v>
      </c>
      <c r="R106" s="3">
        <v>0</v>
      </c>
      <c r="S106" s="3">
        <f t="shared" si="4"/>
        <v>550</v>
      </c>
      <c r="T106" s="3">
        <f t="shared" si="5"/>
        <v>0</v>
      </c>
      <c r="U106" s="3" t="s">
        <v>60</v>
      </c>
      <c r="V106" s="14" t="s">
        <v>6</v>
      </c>
      <c r="W106" s="14" t="s">
        <v>7</v>
      </c>
      <c r="X106" s="14" t="s">
        <v>60</v>
      </c>
    </row>
    <row r="107" spans="1:24" ht="15" x14ac:dyDescent="0.3">
      <c r="A107" s="3">
        <v>24</v>
      </c>
      <c r="B107" s="3" t="s">
        <v>4622</v>
      </c>
      <c r="C107" s="14" t="s">
        <v>14</v>
      </c>
      <c r="D107" s="14" t="s">
        <v>15</v>
      </c>
      <c r="E107" s="14" t="s">
        <v>4623</v>
      </c>
      <c r="F107" s="14" t="s">
        <v>16</v>
      </c>
      <c r="G107" s="14" t="s">
        <v>3</v>
      </c>
      <c r="H107" s="14" t="s">
        <v>17</v>
      </c>
      <c r="I107" s="14" t="s">
        <v>18</v>
      </c>
      <c r="J107" s="14" t="s">
        <v>60</v>
      </c>
      <c r="K107" s="14" t="s">
        <v>60</v>
      </c>
      <c r="L107" s="14" t="s">
        <v>60</v>
      </c>
      <c r="M107" s="14" t="s">
        <v>19</v>
      </c>
      <c r="N107" s="14" t="s">
        <v>60</v>
      </c>
      <c r="O107" s="14" t="s">
        <v>60</v>
      </c>
      <c r="P107" s="14" t="s">
        <v>4624</v>
      </c>
      <c r="Q107" s="14" t="s">
        <v>5</v>
      </c>
      <c r="R107" s="3">
        <v>0</v>
      </c>
      <c r="S107" s="3">
        <f t="shared" si="4"/>
        <v>640</v>
      </c>
      <c r="T107" s="3">
        <f t="shared" si="5"/>
        <v>0</v>
      </c>
      <c r="U107" s="3" t="s">
        <v>60</v>
      </c>
      <c r="V107" s="14" t="s">
        <v>6</v>
      </c>
      <c r="W107" s="14" t="s">
        <v>20</v>
      </c>
      <c r="X107" s="14" t="s">
        <v>60</v>
      </c>
    </row>
    <row r="108" spans="1:24" ht="15" x14ac:dyDescent="0.3">
      <c r="A108" s="3">
        <v>25</v>
      </c>
      <c r="B108" s="3" t="s">
        <v>4625</v>
      </c>
      <c r="C108" s="14" t="s">
        <v>0</v>
      </c>
      <c r="D108" s="14" t="s">
        <v>21</v>
      </c>
      <c r="E108" s="14" t="s">
        <v>4626</v>
      </c>
      <c r="F108" s="14" t="s">
        <v>22</v>
      </c>
      <c r="G108" s="14" t="s">
        <v>3</v>
      </c>
      <c r="H108" s="14" t="s">
        <v>23</v>
      </c>
      <c r="I108" s="14" t="s">
        <v>4627</v>
      </c>
      <c r="J108" s="14" t="s">
        <v>60</v>
      </c>
      <c r="K108" s="14" t="s">
        <v>60</v>
      </c>
      <c r="L108" s="14" t="s">
        <v>60</v>
      </c>
      <c r="M108" s="14" t="s">
        <v>60</v>
      </c>
      <c r="N108" s="14" t="s">
        <v>60</v>
      </c>
      <c r="O108" s="14" t="s">
        <v>4628</v>
      </c>
      <c r="P108" s="14" t="s">
        <v>4629</v>
      </c>
      <c r="Q108" s="14" t="s">
        <v>24</v>
      </c>
      <c r="R108" s="3">
        <v>0</v>
      </c>
      <c r="S108" s="3">
        <f t="shared" si="4"/>
        <v>550</v>
      </c>
      <c r="T108" s="3">
        <f t="shared" si="5"/>
        <v>0</v>
      </c>
      <c r="U108" s="3" t="s">
        <v>60</v>
      </c>
      <c r="V108" s="14" t="s">
        <v>6</v>
      </c>
      <c r="W108" s="14" t="s">
        <v>7</v>
      </c>
      <c r="X108" s="14" t="s">
        <v>60</v>
      </c>
    </row>
    <row r="109" spans="1:24" ht="15" x14ac:dyDescent="0.3">
      <c r="A109" s="3">
        <v>26</v>
      </c>
      <c r="B109" s="3" t="s">
        <v>4630</v>
      </c>
      <c r="C109" s="14" t="s">
        <v>0</v>
      </c>
      <c r="D109" s="14" t="s">
        <v>34</v>
      </c>
      <c r="E109" s="14" t="s">
        <v>4631</v>
      </c>
      <c r="F109" s="14" t="s">
        <v>35</v>
      </c>
      <c r="G109" s="14" t="s">
        <v>3</v>
      </c>
      <c r="H109" s="14" t="s">
        <v>4632</v>
      </c>
      <c r="I109" s="14" t="s">
        <v>36</v>
      </c>
      <c r="J109" s="14" t="s">
        <v>60</v>
      </c>
      <c r="K109" s="14" t="s">
        <v>60</v>
      </c>
      <c r="L109" s="14" t="s">
        <v>60</v>
      </c>
      <c r="M109" s="14" t="s">
        <v>37</v>
      </c>
      <c r="N109" s="14" t="s">
        <v>60</v>
      </c>
      <c r="O109" s="14" t="s">
        <v>60</v>
      </c>
      <c r="P109" s="14" t="s">
        <v>4633</v>
      </c>
      <c r="Q109" s="14" t="s">
        <v>11</v>
      </c>
      <c r="R109" s="3">
        <v>0</v>
      </c>
      <c r="S109" s="3">
        <f t="shared" si="4"/>
        <v>550</v>
      </c>
      <c r="T109" s="3">
        <f t="shared" si="5"/>
        <v>0</v>
      </c>
      <c r="U109" s="3" t="s">
        <v>60</v>
      </c>
      <c r="V109" s="14" t="s">
        <v>6</v>
      </c>
      <c r="W109" s="14" t="s">
        <v>4634</v>
      </c>
      <c r="X109" s="14" t="s">
        <v>60</v>
      </c>
    </row>
    <row r="110" spans="1:24" ht="15" x14ac:dyDescent="0.3">
      <c r="A110" s="3">
        <v>27</v>
      </c>
      <c r="B110" s="3" t="s">
        <v>4635</v>
      </c>
      <c r="C110" s="14" t="s">
        <v>0</v>
      </c>
      <c r="D110" s="14" t="s">
        <v>38</v>
      </c>
      <c r="E110" s="14" t="s">
        <v>4636</v>
      </c>
      <c r="F110" s="14" t="s">
        <v>39</v>
      </c>
      <c r="G110" s="14" t="s">
        <v>3</v>
      </c>
      <c r="H110" s="14" t="s">
        <v>4637</v>
      </c>
      <c r="I110" s="14" t="s">
        <v>40</v>
      </c>
      <c r="J110" s="14" t="s">
        <v>60</v>
      </c>
      <c r="K110" s="14" t="s">
        <v>60</v>
      </c>
      <c r="L110" s="14" t="s">
        <v>60</v>
      </c>
      <c r="M110" s="14" t="s">
        <v>41</v>
      </c>
      <c r="N110" s="14" t="s">
        <v>60</v>
      </c>
      <c r="O110" s="14" t="s">
        <v>60</v>
      </c>
      <c r="P110" s="14" t="s">
        <v>4638</v>
      </c>
      <c r="Q110" s="14" t="s">
        <v>11</v>
      </c>
      <c r="R110" s="3">
        <v>0</v>
      </c>
      <c r="S110" s="3">
        <f t="shared" si="4"/>
        <v>550</v>
      </c>
      <c r="T110" s="3">
        <f t="shared" si="5"/>
        <v>0</v>
      </c>
      <c r="U110" s="3" t="s">
        <v>60</v>
      </c>
      <c r="V110" s="14" t="s">
        <v>6</v>
      </c>
      <c r="W110" s="14" t="s">
        <v>4209</v>
      </c>
      <c r="X110" s="14" t="s">
        <v>60</v>
      </c>
    </row>
    <row r="111" spans="1:24" ht="15" x14ac:dyDescent="0.3">
      <c r="A111" s="3">
        <v>28</v>
      </c>
      <c r="B111" s="3" t="s">
        <v>4639</v>
      </c>
      <c r="C111" s="14" t="s">
        <v>14</v>
      </c>
      <c r="D111" s="14" t="s">
        <v>2930</v>
      </c>
      <c r="E111" s="14" t="s">
        <v>4640</v>
      </c>
      <c r="F111" s="14" t="s">
        <v>2931</v>
      </c>
      <c r="G111" s="14" t="s">
        <v>3</v>
      </c>
      <c r="H111" s="14" t="s">
        <v>4641</v>
      </c>
      <c r="I111" s="14" t="s">
        <v>2932</v>
      </c>
      <c r="J111" s="14" t="s">
        <v>60</v>
      </c>
      <c r="K111" s="14" t="s">
        <v>60</v>
      </c>
      <c r="L111" s="14" t="s">
        <v>60</v>
      </c>
      <c r="M111" s="14" t="s">
        <v>60</v>
      </c>
      <c r="N111" s="14" t="s">
        <v>60</v>
      </c>
      <c r="O111" s="14" t="s">
        <v>2933</v>
      </c>
      <c r="P111" s="14" t="s">
        <v>4642</v>
      </c>
      <c r="Q111" s="14" t="s">
        <v>5</v>
      </c>
      <c r="R111" s="3">
        <v>0</v>
      </c>
      <c r="S111" s="3">
        <f t="shared" si="4"/>
        <v>640</v>
      </c>
      <c r="T111" s="3">
        <f t="shared" si="5"/>
        <v>0</v>
      </c>
      <c r="U111" s="3" t="s">
        <v>60</v>
      </c>
      <c r="V111" s="14" t="s">
        <v>6</v>
      </c>
      <c r="W111" s="14" t="s">
        <v>4287</v>
      </c>
      <c r="X111" s="14" t="s">
        <v>60</v>
      </c>
    </row>
    <row r="112" spans="1:24" ht="15" x14ac:dyDescent="0.3">
      <c r="A112" s="3">
        <v>29</v>
      </c>
      <c r="B112" s="3" t="s">
        <v>4643</v>
      </c>
      <c r="C112" s="14" t="s">
        <v>0</v>
      </c>
      <c r="D112" s="14" t="s">
        <v>2934</v>
      </c>
      <c r="E112" s="14" t="s">
        <v>4644</v>
      </c>
      <c r="F112" s="14" t="s">
        <v>2935</v>
      </c>
      <c r="G112" s="14" t="s">
        <v>121</v>
      </c>
      <c r="H112" s="14" t="s">
        <v>4645</v>
      </c>
      <c r="I112" s="14" t="s">
        <v>4646</v>
      </c>
      <c r="J112" s="14" t="s">
        <v>60</v>
      </c>
      <c r="K112" s="14" t="s">
        <v>60</v>
      </c>
      <c r="L112" s="14" t="s">
        <v>60</v>
      </c>
      <c r="M112" s="14" t="s">
        <v>2936</v>
      </c>
      <c r="N112" s="14" t="s">
        <v>60</v>
      </c>
      <c r="O112" s="14" t="s">
        <v>2937</v>
      </c>
      <c r="P112" s="14" t="s">
        <v>4647</v>
      </c>
      <c r="Q112" s="14" t="s">
        <v>32</v>
      </c>
      <c r="R112" s="3">
        <v>0</v>
      </c>
      <c r="S112" s="3">
        <f t="shared" si="4"/>
        <v>550</v>
      </c>
      <c r="T112" s="3">
        <f t="shared" si="5"/>
        <v>0</v>
      </c>
      <c r="U112" s="3" t="s">
        <v>60</v>
      </c>
      <c r="V112" s="14" t="s">
        <v>6</v>
      </c>
      <c r="W112" s="14" t="s">
        <v>4648</v>
      </c>
      <c r="X112" s="14" t="s">
        <v>60</v>
      </c>
    </row>
    <row r="113" spans="1:24" ht="15" x14ac:dyDescent="0.3">
      <c r="A113" s="3">
        <v>30</v>
      </c>
      <c r="B113" s="3" t="s">
        <v>4649</v>
      </c>
      <c r="C113" s="14" t="s">
        <v>0</v>
      </c>
      <c r="D113" s="14" t="s">
        <v>2940</v>
      </c>
      <c r="E113" s="14" t="s">
        <v>4650</v>
      </c>
      <c r="F113" s="14" t="s">
        <v>167</v>
      </c>
      <c r="G113" s="14" t="s">
        <v>3</v>
      </c>
      <c r="H113" s="14" t="s">
        <v>4651</v>
      </c>
      <c r="I113" s="14" t="s">
        <v>2941</v>
      </c>
      <c r="J113" s="14" t="s">
        <v>60</v>
      </c>
      <c r="K113" s="14" t="s">
        <v>60</v>
      </c>
      <c r="L113" s="14" t="s">
        <v>60</v>
      </c>
      <c r="M113" s="14" t="s">
        <v>2942</v>
      </c>
      <c r="N113" s="14" t="s">
        <v>60</v>
      </c>
      <c r="O113" s="14" t="s">
        <v>169</v>
      </c>
      <c r="P113" s="14" t="s">
        <v>4652</v>
      </c>
      <c r="Q113" s="14" t="s">
        <v>174</v>
      </c>
      <c r="R113" s="3">
        <v>0</v>
      </c>
      <c r="S113" s="3">
        <f t="shared" si="4"/>
        <v>550</v>
      </c>
      <c r="T113" s="3">
        <f t="shared" si="5"/>
        <v>0</v>
      </c>
      <c r="U113" s="3" t="s">
        <v>60</v>
      </c>
      <c r="V113" s="14" t="s">
        <v>6</v>
      </c>
      <c r="W113" s="14" t="s">
        <v>4327</v>
      </c>
      <c r="X113" s="14" t="s">
        <v>60</v>
      </c>
    </row>
    <row r="114" spans="1:24" ht="15" x14ac:dyDescent="0.3">
      <c r="A114" s="3">
        <v>31</v>
      </c>
      <c r="B114" s="3" t="s">
        <v>4653</v>
      </c>
      <c r="C114" s="14" t="s">
        <v>0</v>
      </c>
      <c r="D114" s="14" t="s">
        <v>2943</v>
      </c>
      <c r="E114" s="14" t="s">
        <v>4440</v>
      </c>
      <c r="F114" s="14" t="s">
        <v>166</v>
      </c>
      <c r="G114" s="14" t="s">
        <v>3</v>
      </c>
      <c r="H114" s="14" t="s">
        <v>4654</v>
      </c>
      <c r="I114" s="14" t="s">
        <v>4655</v>
      </c>
      <c r="J114" s="14" t="s">
        <v>60</v>
      </c>
      <c r="K114" s="14" t="s">
        <v>60</v>
      </c>
      <c r="L114" s="14" t="s">
        <v>60</v>
      </c>
      <c r="M114" s="14" t="s">
        <v>2944</v>
      </c>
      <c r="N114" s="14" t="s">
        <v>60</v>
      </c>
      <c r="O114" s="14" t="s">
        <v>172</v>
      </c>
      <c r="P114" s="14" t="s">
        <v>4656</v>
      </c>
      <c r="Q114" s="14" t="s">
        <v>11</v>
      </c>
      <c r="R114" s="3">
        <v>0</v>
      </c>
      <c r="S114" s="3">
        <f t="shared" si="4"/>
        <v>550</v>
      </c>
      <c r="T114" s="3">
        <f t="shared" si="5"/>
        <v>0</v>
      </c>
      <c r="U114" s="3" t="s">
        <v>60</v>
      </c>
      <c r="V114" s="14" t="s">
        <v>6</v>
      </c>
      <c r="W114" s="14" t="s">
        <v>173</v>
      </c>
      <c r="X114" s="14" t="s">
        <v>60</v>
      </c>
    </row>
    <row r="115" spans="1:24" ht="15" x14ac:dyDescent="0.3">
      <c r="A115" s="3">
        <v>32</v>
      </c>
      <c r="B115" s="3" t="s">
        <v>4657</v>
      </c>
      <c r="C115" s="14" t="s">
        <v>0</v>
      </c>
      <c r="D115" s="14" t="s">
        <v>2945</v>
      </c>
      <c r="E115" s="14" t="s">
        <v>4658</v>
      </c>
      <c r="F115" s="14" t="s">
        <v>2946</v>
      </c>
      <c r="G115" s="14" t="s">
        <v>3</v>
      </c>
      <c r="H115" s="14" t="s">
        <v>4659</v>
      </c>
      <c r="I115" s="14" t="s">
        <v>4660</v>
      </c>
      <c r="J115" s="14" t="s">
        <v>60</v>
      </c>
      <c r="K115" s="14" t="s">
        <v>60</v>
      </c>
      <c r="L115" s="14" t="s">
        <v>60</v>
      </c>
      <c r="M115" s="14" t="s">
        <v>2947</v>
      </c>
      <c r="N115" s="14" t="s">
        <v>60</v>
      </c>
      <c r="O115" s="14" t="s">
        <v>172</v>
      </c>
      <c r="P115" s="14" t="s">
        <v>4661</v>
      </c>
      <c r="Q115" s="14" t="s">
        <v>170</v>
      </c>
      <c r="R115" s="3">
        <v>0</v>
      </c>
      <c r="S115" s="3">
        <f t="shared" si="4"/>
        <v>550</v>
      </c>
      <c r="T115" s="3">
        <f t="shared" si="5"/>
        <v>0</v>
      </c>
      <c r="U115" s="3" t="s">
        <v>60</v>
      </c>
      <c r="V115" s="14" t="s">
        <v>6</v>
      </c>
      <c r="W115" s="14" t="s">
        <v>173</v>
      </c>
      <c r="X115" s="14" t="s">
        <v>60</v>
      </c>
    </row>
    <row r="116" spans="1:24" ht="15" x14ac:dyDescent="0.3">
      <c r="A116" s="3">
        <v>33</v>
      </c>
      <c r="B116" s="3" t="s">
        <v>4662</v>
      </c>
      <c r="C116" s="14" t="s">
        <v>0</v>
      </c>
      <c r="D116" s="14" t="s">
        <v>2948</v>
      </c>
      <c r="E116" s="14" t="s">
        <v>4562</v>
      </c>
      <c r="F116" s="14" t="s">
        <v>2949</v>
      </c>
      <c r="G116" s="14" t="s">
        <v>3</v>
      </c>
      <c r="H116" s="14" t="s">
        <v>4663</v>
      </c>
      <c r="I116" s="14" t="s">
        <v>4664</v>
      </c>
      <c r="J116" s="14" t="s">
        <v>60</v>
      </c>
      <c r="K116" s="14" t="s">
        <v>60</v>
      </c>
      <c r="L116" s="14" t="s">
        <v>60</v>
      </c>
      <c r="M116" s="14" t="s">
        <v>2950</v>
      </c>
      <c r="N116" s="14" t="s">
        <v>60</v>
      </c>
      <c r="O116" s="14" t="s">
        <v>172</v>
      </c>
      <c r="P116" s="14" t="s">
        <v>4665</v>
      </c>
      <c r="Q116" s="14" t="s">
        <v>2951</v>
      </c>
      <c r="R116" s="3">
        <v>0</v>
      </c>
      <c r="S116" s="3">
        <f t="shared" si="4"/>
        <v>550</v>
      </c>
      <c r="T116" s="3">
        <f t="shared" si="5"/>
        <v>0</v>
      </c>
      <c r="U116" s="3" t="s">
        <v>60</v>
      </c>
      <c r="V116" s="14" t="s">
        <v>6</v>
      </c>
      <c r="W116" s="14" t="s">
        <v>173</v>
      </c>
      <c r="X116" s="14" t="s">
        <v>60</v>
      </c>
    </row>
    <row r="117" spans="1:24" ht="15" x14ac:dyDescent="0.3">
      <c r="A117" s="3">
        <v>34</v>
      </c>
      <c r="B117" s="3" t="s">
        <v>4666</v>
      </c>
      <c r="C117" s="14" t="s">
        <v>0</v>
      </c>
      <c r="D117" s="14" t="s">
        <v>2952</v>
      </c>
      <c r="E117" s="14" t="s">
        <v>4667</v>
      </c>
      <c r="F117" s="14" t="s">
        <v>2953</v>
      </c>
      <c r="G117" s="14" t="s">
        <v>3</v>
      </c>
      <c r="H117" s="14" t="s">
        <v>4668</v>
      </c>
      <c r="I117" s="14" t="s">
        <v>4669</v>
      </c>
      <c r="J117" s="14" t="s">
        <v>60</v>
      </c>
      <c r="K117" s="14" t="s">
        <v>60</v>
      </c>
      <c r="L117" s="14" t="s">
        <v>60</v>
      </c>
      <c r="M117" s="14" t="s">
        <v>2954</v>
      </c>
      <c r="N117" s="14" t="s">
        <v>60</v>
      </c>
      <c r="O117" s="14" t="s">
        <v>172</v>
      </c>
      <c r="P117" s="14" t="s">
        <v>4670</v>
      </c>
      <c r="Q117" s="14" t="s">
        <v>32</v>
      </c>
      <c r="R117" s="3">
        <v>0</v>
      </c>
      <c r="S117" s="3">
        <f t="shared" si="4"/>
        <v>550</v>
      </c>
      <c r="T117" s="3">
        <f t="shared" si="5"/>
        <v>0</v>
      </c>
      <c r="U117" s="3" t="s">
        <v>60</v>
      </c>
      <c r="V117" s="14" t="s">
        <v>6</v>
      </c>
      <c r="W117" s="14" t="s">
        <v>173</v>
      </c>
      <c r="X117" s="14" t="s">
        <v>60</v>
      </c>
    </row>
    <row r="118" spans="1:24" ht="15" x14ac:dyDescent="0.3">
      <c r="A118" s="3">
        <v>35</v>
      </c>
      <c r="B118" s="3" t="s">
        <v>4671</v>
      </c>
      <c r="C118" s="14" t="s">
        <v>0</v>
      </c>
      <c r="D118" s="14" t="s">
        <v>2955</v>
      </c>
      <c r="E118" s="14" t="s">
        <v>4562</v>
      </c>
      <c r="F118" s="14" t="s">
        <v>2956</v>
      </c>
      <c r="G118" s="14" t="s">
        <v>3</v>
      </c>
      <c r="H118" s="14" t="s">
        <v>4672</v>
      </c>
      <c r="I118" s="14" t="s">
        <v>4673</v>
      </c>
      <c r="J118" s="14" t="s">
        <v>60</v>
      </c>
      <c r="K118" s="14" t="s">
        <v>60</v>
      </c>
      <c r="L118" s="14" t="s">
        <v>60</v>
      </c>
      <c r="M118" s="14" t="s">
        <v>2957</v>
      </c>
      <c r="N118" s="14" t="s">
        <v>60</v>
      </c>
      <c r="O118" s="14" t="s">
        <v>172</v>
      </c>
      <c r="P118" s="14" t="s">
        <v>4674</v>
      </c>
      <c r="Q118" s="14" t="s">
        <v>11</v>
      </c>
      <c r="R118" s="3">
        <v>0</v>
      </c>
      <c r="S118" s="3">
        <f t="shared" si="4"/>
        <v>550</v>
      </c>
      <c r="T118" s="3">
        <f t="shared" si="5"/>
        <v>0</v>
      </c>
      <c r="U118" s="3" t="s">
        <v>60</v>
      </c>
      <c r="V118" s="14" t="s">
        <v>6</v>
      </c>
      <c r="W118" s="14" t="s">
        <v>173</v>
      </c>
      <c r="X118" s="14" t="s">
        <v>60</v>
      </c>
    </row>
    <row r="119" spans="1:24" ht="15" x14ac:dyDescent="0.3">
      <c r="A119" s="3">
        <v>36</v>
      </c>
      <c r="B119" s="3" t="s">
        <v>4675</v>
      </c>
      <c r="C119" s="14" t="s">
        <v>0</v>
      </c>
      <c r="D119" s="14" t="s">
        <v>2958</v>
      </c>
      <c r="E119" s="14" t="s">
        <v>4676</v>
      </c>
      <c r="F119" s="14" t="s">
        <v>2959</v>
      </c>
      <c r="G119" s="14" t="s">
        <v>121</v>
      </c>
      <c r="H119" s="14" t="s">
        <v>4677</v>
      </c>
      <c r="I119" s="14" t="s">
        <v>4678</v>
      </c>
      <c r="J119" s="14" t="s">
        <v>60</v>
      </c>
      <c r="K119" s="14" t="s">
        <v>60</v>
      </c>
      <c r="L119" s="14" t="s">
        <v>60</v>
      </c>
      <c r="M119" s="14" t="s">
        <v>2960</v>
      </c>
      <c r="N119" s="14" t="s">
        <v>60</v>
      </c>
      <c r="O119" s="14" t="s">
        <v>172</v>
      </c>
      <c r="P119" s="14" t="s">
        <v>4679</v>
      </c>
      <c r="Q119" s="14" t="s">
        <v>2961</v>
      </c>
      <c r="R119" s="3">
        <v>0</v>
      </c>
      <c r="S119" s="3">
        <f t="shared" si="4"/>
        <v>550</v>
      </c>
      <c r="T119" s="3">
        <f t="shared" si="5"/>
        <v>0</v>
      </c>
      <c r="U119" s="3" t="s">
        <v>60</v>
      </c>
      <c r="V119" s="14" t="s">
        <v>6</v>
      </c>
      <c r="W119" s="14" t="s">
        <v>173</v>
      </c>
      <c r="X119" s="14" t="s">
        <v>60</v>
      </c>
    </row>
    <row r="120" spans="1:24" ht="15" x14ac:dyDescent="0.3">
      <c r="A120" s="3">
        <v>37</v>
      </c>
      <c r="B120" s="3" t="s">
        <v>4680</v>
      </c>
      <c r="C120" s="14" t="s">
        <v>0</v>
      </c>
      <c r="D120" s="14" t="s">
        <v>2962</v>
      </c>
      <c r="E120" s="14" t="s">
        <v>4681</v>
      </c>
      <c r="F120" s="14" t="s">
        <v>2963</v>
      </c>
      <c r="G120" s="14" t="s">
        <v>3</v>
      </c>
      <c r="H120" s="14" t="s">
        <v>4682</v>
      </c>
      <c r="I120" s="14" t="s">
        <v>4683</v>
      </c>
      <c r="J120" s="14" t="s">
        <v>60</v>
      </c>
      <c r="K120" s="14" t="s">
        <v>60</v>
      </c>
      <c r="L120" s="14" t="s">
        <v>60</v>
      </c>
      <c r="M120" s="14" t="s">
        <v>2964</v>
      </c>
      <c r="N120" s="14" t="s">
        <v>60</v>
      </c>
      <c r="O120" s="14" t="s">
        <v>172</v>
      </c>
      <c r="P120" s="14" t="s">
        <v>4684</v>
      </c>
      <c r="Q120" s="14" t="s">
        <v>2151</v>
      </c>
      <c r="R120" s="3">
        <v>0</v>
      </c>
      <c r="S120" s="3">
        <f t="shared" si="4"/>
        <v>550</v>
      </c>
      <c r="T120" s="3">
        <f t="shared" si="5"/>
        <v>0</v>
      </c>
      <c r="U120" s="3" t="s">
        <v>60</v>
      </c>
      <c r="V120" s="14" t="s">
        <v>6</v>
      </c>
      <c r="W120" s="14" t="s">
        <v>173</v>
      </c>
      <c r="X120" s="14" t="s">
        <v>60</v>
      </c>
    </row>
    <row r="121" spans="1:24" ht="15" x14ac:dyDescent="0.3">
      <c r="A121" s="3">
        <v>38</v>
      </c>
      <c r="B121" s="3" t="s">
        <v>4685</v>
      </c>
      <c r="C121" s="14" t="s">
        <v>0</v>
      </c>
      <c r="D121" s="14" t="s">
        <v>2965</v>
      </c>
      <c r="E121" s="14" t="s">
        <v>4308</v>
      </c>
      <c r="F121" s="14" t="s">
        <v>2966</v>
      </c>
      <c r="G121" s="14" t="s">
        <v>3</v>
      </c>
      <c r="H121" s="14" t="s">
        <v>4686</v>
      </c>
      <c r="I121" s="14" t="s">
        <v>4687</v>
      </c>
      <c r="J121" s="14" t="s">
        <v>60</v>
      </c>
      <c r="K121" s="14" t="s">
        <v>60</v>
      </c>
      <c r="L121" s="14" t="s">
        <v>60</v>
      </c>
      <c r="M121" s="14" t="s">
        <v>2967</v>
      </c>
      <c r="N121" s="14" t="s">
        <v>60</v>
      </c>
      <c r="O121" s="14" t="s">
        <v>172</v>
      </c>
      <c r="P121" s="14" t="s">
        <v>4688</v>
      </c>
      <c r="Q121" s="14" t="s">
        <v>11</v>
      </c>
      <c r="R121" s="3">
        <v>0</v>
      </c>
      <c r="S121" s="3">
        <f t="shared" si="4"/>
        <v>550</v>
      </c>
      <c r="T121" s="3">
        <f t="shared" si="5"/>
        <v>0</v>
      </c>
      <c r="U121" s="3" t="s">
        <v>60</v>
      </c>
      <c r="V121" s="14" t="s">
        <v>6</v>
      </c>
      <c r="W121" s="14" t="s">
        <v>173</v>
      </c>
      <c r="X121" s="14" t="s">
        <v>60</v>
      </c>
    </row>
    <row r="122" spans="1:24" ht="15" x14ac:dyDescent="0.3">
      <c r="A122" s="3">
        <v>39</v>
      </c>
      <c r="B122" s="3" t="s">
        <v>4689</v>
      </c>
      <c r="C122" s="14" t="s">
        <v>0</v>
      </c>
      <c r="D122" s="14" t="s">
        <v>2968</v>
      </c>
      <c r="E122" s="14" t="s">
        <v>4690</v>
      </c>
      <c r="F122" s="14" t="s">
        <v>2969</v>
      </c>
      <c r="G122" s="14" t="s">
        <v>3</v>
      </c>
      <c r="H122" s="14" t="s">
        <v>4691</v>
      </c>
      <c r="I122" s="14" t="s">
        <v>4692</v>
      </c>
      <c r="J122" s="14" t="s">
        <v>60</v>
      </c>
      <c r="K122" s="14" t="s">
        <v>60</v>
      </c>
      <c r="L122" s="14" t="s">
        <v>60</v>
      </c>
      <c r="M122" s="14" t="s">
        <v>2971</v>
      </c>
      <c r="N122" s="14" t="s">
        <v>60</v>
      </c>
      <c r="O122" s="14" t="s">
        <v>172</v>
      </c>
      <c r="P122" s="14" t="s">
        <v>4693</v>
      </c>
      <c r="Q122" s="14" t="s">
        <v>5</v>
      </c>
      <c r="R122" s="3">
        <v>0</v>
      </c>
      <c r="S122" s="3">
        <f t="shared" si="4"/>
        <v>550</v>
      </c>
      <c r="T122" s="3">
        <f t="shared" si="5"/>
        <v>0</v>
      </c>
      <c r="U122" s="3" t="s">
        <v>60</v>
      </c>
      <c r="V122" s="14" t="s">
        <v>6</v>
      </c>
      <c r="W122" s="14" t="s">
        <v>173</v>
      </c>
      <c r="X122" s="14" t="s">
        <v>60</v>
      </c>
    </row>
    <row r="123" spans="1:24" ht="15" x14ac:dyDescent="0.3">
      <c r="A123" s="3">
        <v>40</v>
      </c>
      <c r="B123" s="3" t="s">
        <v>4694</v>
      </c>
      <c r="C123" s="14" t="s">
        <v>0</v>
      </c>
      <c r="D123" s="14" t="s">
        <v>2972</v>
      </c>
      <c r="E123" s="14" t="s">
        <v>4695</v>
      </c>
      <c r="F123" s="14" t="s">
        <v>2</v>
      </c>
      <c r="G123" s="14" t="s">
        <v>3</v>
      </c>
      <c r="H123" s="14" t="s">
        <v>4696</v>
      </c>
      <c r="I123" s="14" t="s">
        <v>2973</v>
      </c>
      <c r="J123" s="14" t="s">
        <v>60</v>
      </c>
      <c r="K123" s="14" t="s">
        <v>60</v>
      </c>
      <c r="L123" s="14" t="s">
        <v>60</v>
      </c>
      <c r="M123" s="14" t="s">
        <v>2974</v>
      </c>
      <c r="N123" s="14" t="s">
        <v>60</v>
      </c>
      <c r="O123" s="14" t="s">
        <v>487</v>
      </c>
      <c r="P123" s="14" t="s">
        <v>4697</v>
      </c>
      <c r="Q123" s="14" t="s">
        <v>11</v>
      </c>
      <c r="R123" s="3">
        <v>0</v>
      </c>
      <c r="S123" s="3">
        <f t="shared" si="4"/>
        <v>550</v>
      </c>
      <c r="T123" s="3">
        <f t="shared" si="5"/>
        <v>0</v>
      </c>
      <c r="U123" s="3" t="s">
        <v>4698</v>
      </c>
      <c r="V123" s="14" t="s">
        <v>6</v>
      </c>
      <c r="W123" s="14" t="s">
        <v>4274</v>
      </c>
      <c r="X123" s="14" t="s">
        <v>60</v>
      </c>
    </row>
    <row r="124" spans="1:24" ht="15" x14ac:dyDescent="0.3">
      <c r="A124" s="3">
        <v>41</v>
      </c>
      <c r="B124" s="3" t="s">
        <v>4699</v>
      </c>
      <c r="C124" s="14" t="s">
        <v>0</v>
      </c>
      <c r="D124" s="14" t="s">
        <v>2975</v>
      </c>
      <c r="E124" s="14" t="s">
        <v>4700</v>
      </c>
      <c r="F124" s="14" t="s">
        <v>168</v>
      </c>
      <c r="G124" s="14" t="s">
        <v>3</v>
      </c>
      <c r="H124" s="14" t="s">
        <v>4701</v>
      </c>
      <c r="I124" s="14" t="s">
        <v>2976</v>
      </c>
      <c r="J124" s="14" t="s">
        <v>60</v>
      </c>
      <c r="K124" s="14" t="s">
        <v>60</v>
      </c>
      <c r="L124" s="14" t="s">
        <v>60</v>
      </c>
      <c r="M124" s="14" t="s">
        <v>2977</v>
      </c>
      <c r="N124" s="14" t="s">
        <v>60</v>
      </c>
      <c r="O124" s="14" t="s">
        <v>169</v>
      </c>
      <c r="P124" s="14" t="s">
        <v>4702</v>
      </c>
      <c r="Q124" s="14" t="s">
        <v>170</v>
      </c>
      <c r="R124" s="3">
        <v>0</v>
      </c>
      <c r="S124" s="3">
        <f t="shared" si="4"/>
        <v>550</v>
      </c>
      <c r="T124" s="3">
        <f t="shared" si="5"/>
        <v>0</v>
      </c>
      <c r="U124" s="3" t="s">
        <v>60</v>
      </c>
      <c r="V124" s="14" t="s">
        <v>6</v>
      </c>
      <c r="W124" s="14" t="s">
        <v>4327</v>
      </c>
      <c r="X124" s="14" t="s">
        <v>60</v>
      </c>
    </row>
    <row r="125" spans="1:24" ht="15" x14ac:dyDescent="0.3">
      <c r="A125" s="3">
        <v>42</v>
      </c>
      <c r="B125" s="3" t="s">
        <v>4703</v>
      </c>
      <c r="C125" s="14" t="s">
        <v>0</v>
      </c>
      <c r="D125" s="14" t="s">
        <v>2978</v>
      </c>
      <c r="E125" s="14" t="s">
        <v>2979</v>
      </c>
      <c r="F125" s="14" t="s">
        <v>2980</v>
      </c>
      <c r="G125" s="14" t="s">
        <v>3</v>
      </c>
      <c r="H125" s="14" t="s">
        <v>2981</v>
      </c>
      <c r="I125" s="14" t="s">
        <v>4704</v>
      </c>
      <c r="J125" s="14" t="s">
        <v>60</v>
      </c>
      <c r="K125" s="14" t="s">
        <v>60</v>
      </c>
      <c r="L125" s="14" t="s">
        <v>60</v>
      </c>
      <c r="M125" s="14" t="s">
        <v>2982</v>
      </c>
      <c r="N125" s="14" t="s">
        <v>60</v>
      </c>
      <c r="O125" s="14" t="s">
        <v>4226</v>
      </c>
      <c r="P125" s="14" t="s">
        <v>4705</v>
      </c>
      <c r="Q125" s="14" t="s">
        <v>5</v>
      </c>
      <c r="R125" s="3">
        <v>0</v>
      </c>
      <c r="S125" s="3">
        <f t="shared" si="4"/>
        <v>550</v>
      </c>
      <c r="T125" s="3">
        <f t="shared" si="5"/>
        <v>0</v>
      </c>
      <c r="U125" s="3" t="s">
        <v>60</v>
      </c>
      <c r="V125" s="14" t="s">
        <v>6</v>
      </c>
      <c r="W125" s="14" t="s">
        <v>20</v>
      </c>
      <c r="X125" s="14" t="s">
        <v>60</v>
      </c>
    </row>
    <row r="126" spans="1:24" ht="15" x14ac:dyDescent="0.3">
      <c r="A126" s="3">
        <v>43</v>
      </c>
      <c r="B126" s="3" t="s">
        <v>4706</v>
      </c>
      <c r="C126" s="14" t="s">
        <v>0</v>
      </c>
      <c r="D126" s="14" t="s">
        <v>2983</v>
      </c>
      <c r="E126" s="14" t="s">
        <v>4707</v>
      </c>
      <c r="F126" s="14" t="s">
        <v>2984</v>
      </c>
      <c r="G126" s="14" t="s">
        <v>3</v>
      </c>
      <c r="H126" s="14" t="s">
        <v>4708</v>
      </c>
      <c r="I126" s="14" t="s">
        <v>4709</v>
      </c>
      <c r="J126" s="14" t="s">
        <v>60</v>
      </c>
      <c r="K126" s="14" t="s">
        <v>60</v>
      </c>
      <c r="L126" s="14" t="s">
        <v>60</v>
      </c>
      <c r="M126" s="14" t="s">
        <v>2985</v>
      </c>
      <c r="N126" s="14" t="s">
        <v>60</v>
      </c>
      <c r="O126" s="14" t="s">
        <v>60</v>
      </c>
      <c r="P126" s="14" t="s">
        <v>4710</v>
      </c>
      <c r="Q126" s="14" t="s">
        <v>5</v>
      </c>
      <c r="R126" s="3">
        <v>0</v>
      </c>
      <c r="S126" s="3">
        <f t="shared" si="4"/>
        <v>550</v>
      </c>
      <c r="T126" s="3">
        <f t="shared" si="5"/>
        <v>0</v>
      </c>
      <c r="U126" s="3" t="s">
        <v>60</v>
      </c>
      <c r="V126" s="14" t="s">
        <v>6</v>
      </c>
      <c r="W126" s="14" t="s">
        <v>20</v>
      </c>
      <c r="X126" s="14" t="s">
        <v>60</v>
      </c>
    </row>
    <row r="127" spans="1:24" ht="15" x14ac:dyDescent="0.3">
      <c r="A127" s="3">
        <v>44</v>
      </c>
      <c r="B127" s="3" t="s">
        <v>4711</v>
      </c>
      <c r="C127" s="14" t="s">
        <v>0</v>
      </c>
      <c r="D127" s="14" t="s">
        <v>2986</v>
      </c>
      <c r="E127" s="14" t="s">
        <v>2987</v>
      </c>
      <c r="F127" s="14" t="s">
        <v>2988</v>
      </c>
      <c r="G127" s="14" t="s">
        <v>3</v>
      </c>
      <c r="H127" s="14" t="s">
        <v>2989</v>
      </c>
      <c r="I127" s="14" t="s">
        <v>4712</v>
      </c>
      <c r="J127" s="14" t="s">
        <v>60</v>
      </c>
      <c r="K127" s="14" t="s">
        <v>60</v>
      </c>
      <c r="L127" s="14" t="s">
        <v>60</v>
      </c>
      <c r="M127" s="14" t="s">
        <v>2990</v>
      </c>
      <c r="N127" s="14" t="s">
        <v>60</v>
      </c>
      <c r="O127" s="14" t="s">
        <v>4226</v>
      </c>
      <c r="P127" s="14" t="s">
        <v>4713</v>
      </c>
      <c r="Q127" s="14" t="s">
        <v>5</v>
      </c>
      <c r="R127" s="3">
        <v>0</v>
      </c>
      <c r="S127" s="3">
        <f t="shared" si="4"/>
        <v>550</v>
      </c>
      <c r="T127" s="3">
        <f t="shared" si="5"/>
        <v>0</v>
      </c>
      <c r="U127" s="3" t="s">
        <v>60</v>
      </c>
      <c r="V127" s="14" t="s">
        <v>6</v>
      </c>
      <c r="W127" s="14" t="s">
        <v>20</v>
      </c>
      <c r="X127" s="14" t="s">
        <v>60</v>
      </c>
    </row>
    <row r="128" spans="1:24" ht="15" x14ac:dyDescent="0.3">
      <c r="A128" s="3">
        <v>45</v>
      </c>
      <c r="B128" s="3" t="s">
        <v>4714</v>
      </c>
      <c r="C128" s="14" t="s">
        <v>0</v>
      </c>
      <c r="D128" s="14" t="s">
        <v>2991</v>
      </c>
      <c r="E128" s="14" t="s">
        <v>4715</v>
      </c>
      <c r="F128" s="14" t="s">
        <v>2992</v>
      </c>
      <c r="G128" s="14" t="s">
        <v>3</v>
      </c>
      <c r="H128" s="14" t="s">
        <v>4716</v>
      </c>
      <c r="I128" s="14" t="s">
        <v>4717</v>
      </c>
      <c r="J128" s="14" t="s">
        <v>60</v>
      </c>
      <c r="K128" s="14" t="s">
        <v>60</v>
      </c>
      <c r="L128" s="14" t="s">
        <v>60</v>
      </c>
      <c r="M128" s="14" t="s">
        <v>2993</v>
      </c>
      <c r="N128" s="14" t="s">
        <v>60</v>
      </c>
      <c r="O128" s="14" t="s">
        <v>60</v>
      </c>
      <c r="P128" s="14" t="s">
        <v>4718</v>
      </c>
      <c r="Q128" s="14" t="s">
        <v>11</v>
      </c>
      <c r="R128" s="3">
        <v>0</v>
      </c>
      <c r="S128" s="3">
        <f t="shared" si="4"/>
        <v>550</v>
      </c>
      <c r="T128" s="3">
        <f t="shared" si="5"/>
        <v>0</v>
      </c>
      <c r="U128" s="3" t="s">
        <v>60</v>
      </c>
      <c r="V128" s="14" t="s">
        <v>6</v>
      </c>
      <c r="W128" s="14" t="s">
        <v>20</v>
      </c>
      <c r="X128" s="14" t="s">
        <v>60</v>
      </c>
    </row>
    <row r="129" spans="1:24" ht="15" x14ac:dyDescent="0.3">
      <c r="A129" s="3">
        <v>46</v>
      </c>
      <c r="B129" s="3" t="s">
        <v>4719</v>
      </c>
      <c r="C129" s="14" t="s">
        <v>0</v>
      </c>
      <c r="D129" s="14" t="s">
        <v>2994</v>
      </c>
      <c r="E129" s="14" t="s">
        <v>4205</v>
      </c>
      <c r="F129" s="14" t="s">
        <v>2995</v>
      </c>
      <c r="G129" s="14" t="s">
        <v>3</v>
      </c>
      <c r="H129" s="14" t="s">
        <v>4720</v>
      </c>
      <c r="I129" s="14" t="s">
        <v>4721</v>
      </c>
      <c r="J129" s="14" t="s">
        <v>60</v>
      </c>
      <c r="K129" s="14" t="s">
        <v>60</v>
      </c>
      <c r="L129" s="14" t="s">
        <v>60</v>
      </c>
      <c r="M129" s="14" t="s">
        <v>2996</v>
      </c>
      <c r="N129" s="14" t="s">
        <v>60</v>
      </c>
      <c r="O129" s="14" t="s">
        <v>60</v>
      </c>
      <c r="P129" s="14" t="s">
        <v>4722</v>
      </c>
      <c r="Q129" s="14" t="s">
        <v>5</v>
      </c>
      <c r="R129" s="3">
        <v>0</v>
      </c>
      <c r="S129" s="3">
        <f t="shared" si="4"/>
        <v>550</v>
      </c>
      <c r="T129" s="3">
        <f t="shared" si="5"/>
        <v>0</v>
      </c>
      <c r="U129" s="3" t="s">
        <v>60</v>
      </c>
      <c r="V129" s="14" t="s">
        <v>6</v>
      </c>
      <c r="W129" s="14" t="s">
        <v>20</v>
      </c>
      <c r="X129" s="14" t="s">
        <v>60</v>
      </c>
    </row>
    <row r="130" spans="1:24" ht="15" x14ac:dyDescent="0.3">
      <c r="A130" s="3">
        <v>47</v>
      </c>
      <c r="B130" s="3" t="s">
        <v>4723</v>
      </c>
      <c r="C130" s="14" t="s">
        <v>0</v>
      </c>
      <c r="D130" s="14" t="s">
        <v>2997</v>
      </c>
      <c r="E130" s="14" t="s">
        <v>2998</v>
      </c>
      <c r="F130" s="14" t="s">
        <v>2999</v>
      </c>
      <c r="G130" s="14" t="s">
        <v>3</v>
      </c>
      <c r="H130" s="14" t="s">
        <v>4724</v>
      </c>
      <c r="I130" s="14" t="s">
        <v>4725</v>
      </c>
      <c r="J130" s="14" t="s">
        <v>60</v>
      </c>
      <c r="K130" s="14" t="s">
        <v>60</v>
      </c>
      <c r="L130" s="14" t="s">
        <v>60</v>
      </c>
      <c r="M130" s="14" t="s">
        <v>3000</v>
      </c>
      <c r="N130" s="14" t="s">
        <v>60</v>
      </c>
      <c r="O130" s="14" t="s">
        <v>60</v>
      </c>
      <c r="P130" s="14" t="s">
        <v>4726</v>
      </c>
      <c r="Q130" s="14" t="s">
        <v>5</v>
      </c>
      <c r="R130" s="3">
        <v>0</v>
      </c>
      <c r="S130" s="3">
        <f t="shared" si="4"/>
        <v>550</v>
      </c>
      <c r="T130" s="3">
        <f t="shared" si="5"/>
        <v>0</v>
      </c>
      <c r="U130" s="3" t="s">
        <v>60</v>
      </c>
      <c r="V130" s="14" t="s">
        <v>6</v>
      </c>
      <c r="W130" s="14" t="s">
        <v>20</v>
      </c>
      <c r="X130" s="14" t="s">
        <v>60</v>
      </c>
    </row>
    <row r="131" spans="1:24" ht="15" x14ac:dyDescent="0.3">
      <c r="A131" s="3">
        <v>48</v>
      </c>
      <c r="B131" s="3" t="s">
        <v>4727</v>
      </c>
      <c r="C131" s="14" t="s">
        <v>0</v>
      </c>
      <c r="D131" s="14" t="s">
        <v>3001</v>
      </c>
      <c r="E131" s="14" t="s">
        <v>4728</v>
      </c>
      <c r="F131" s="14" t="s">
        <v>3002</v>
      </c>
      <c r="G131" s="14" t="s">
        <v>3</v>
      </c>
      <c r="H131" s="14" t="s">
        <v>4729</v>
      </c>
      <c r="I131" s="14" t="s">
        <v>3003</v>
      </c>
      <c r="J131" s="14" t="s">
        <v>60</v>
      </c>
      <c r="K131" s="14" t="s">
        <v>60</v>
      </c>
      <c r="L131" s="14" t="s">
        <v>60</v>
      </c>
      <c r="M131" s="14" t="s">
        <v>3004</v>
      </c>
      <c r="N131" s="14" t="s">
        <v>60</v>
      </c>
      <c r="O131" s="14" t="s">
        <v>60</v>
      </c>
      <c r="P131" s="14" t="s">
        <v>4730</v>
      </c>
      <c r="Q131" s="14" t="s">
        <v>3005</v>
      </c>
      <c r="R131" s="3">
        <v>0</v>
      </c>
      <c r="S131" s="3">
        <f t="shared" si="4"/>
        <v>550</v>
      </c>
      <c r="T131" s="3">
        <f t="shared" si="5"/>
        <v>0</v>
      </c>
      <c r="U131" s="3" t="s">
        <v>60</v>
      </c>
      <c r="V131" s="14" t="s">
        <v>6</v>
      </c>
      <c r="W131" s="14" t="s">
        <v>4731</v>
      </c>
      <c r="X131" s="14" t="s">
        <v>60</v>
      </c>
    </row>
    <row r="132" spans="1:24" ht="15" x14ac:dyDescent="0.3">
      <c r="A132" s="3">
        <v>49</v>
      </c>
      <c r="B132" s="3" t="s">
        <v>4732</v>
      </c>
      <c r="C132" s="14" t="s">
        <v>0</v>
      </c>
      <c r="D132" s="14" t="s">
        <v>3006</v>
      </c>
      <c r="E132" s="14" t="s">
        <v>3007</v>
      </c>
      <c r="F132" s="14" t="s">
        <v>3008</v>
      </c>
      <c r="G132" s="14" t="s">
        <v>121</v>
      </c>
      <c r="H132" s="14" t="s">
        <v>4733</v>
      </c>
      <c r="I132" s="14" t="s">
        <v>4734</v>
      </c>
      <c r="J132" s="14" t="s">
        <v>60</v>
      </c>
      <c r="K132" s="14" t="s">
        <v>60</v>
      </c>
      <c r="L132" s="14" t="s">
        <v>60</v>
      </c>
      <c r="M132" s="14" t="s">
        <v>60</v>
      </c>
      <c r="N132" s="14" t="s">
        <v>60</v>
      </c>
      <c r="O132" s="14" t="s">
        <v>4</v>
      </c>
      <c r="P132" s="14" t="s">
        <v>4735</v>
      </c>
      <c r="Q132" s="14" t="s">
        <v>32</v>
      </c>
      <c r="R132" s="3">
        <v>0</v>
      </c>
      <c r="S132" s="3">
        <f t="shared" si="4"/>
        <v>550</v>
      </c>
      <c r="T132" s="3">
        <f t="shared" si="5"/>
        <v>0</v>
      </c>
      <c r="U132" s="3" t="s">
        <v>60</v>
      </c>
      <c r="V132" s="14" t="s">
        <v>6</v>
      </c>
      <c r="W132" s="14" t="s">
        <v>7</v>
      </c>
      <c r="X132" s="14" t="s">
        <v>60</v>
      </c>
    </row>
    <row r="133" spans="1:24" ht="15" x14ac:dyDescent="0.3">
      <c r="A133" s="3">
        <v>50</v>
      </c>
      <c r="B133" s="3" t="s">
        <v>4737</v>
      </c>
      <c r="C133" s="14" t="s">
        <v>0</v>
      </c>
      <c r="D133" s="14" t="s">
        <v>3009</v>
      </c>
      <c r="E133" s="14" t="s">
        <v>4644</v>
      </c>
      <c r="F133" s="14" t="s">
        <v>3010</v>
      </c>
      <c r="G133" s="14" t="s">
        <v>3</v>
      </c>
      <c r="H133" s="14" t="s">
        <v>4738</v>
      </c>
      <c r="I133" s="14" t="s">
        <v>4739</v>
      </c>
      <c r="J133" s="14" t="s">
        <v>60</v>
      </c>
      <c r="K133" s="14" t="s">
        <v>60</v>
      </c>
      <c r="L133" s="14" t="s">
        <v>60</v>
      </c>
      <c r="M133" s="14" t="s">
        <v>60</v>
      </c>
      <c r="N133" s="14" t="s">
        <v>60</v>
      </c>
      <c r="O133" s="14" t="s">
        <v>4</v>
      </c>
      <c r="P133" s="14" t="s">
        <v>4740</v>
      </c>
      <c r="Q133" s="14" t="s">
        <v>11</v>
      </c>
      <c r="R133" s="3">
        <v>0</v>
      </c>
      <c r="S133" s="3">
        <f t="shared" si="4"/>
        <v>550</v>
      </c>
      <c r="T133" s="3">
        <f t="shared" si="5"/>
        <v>0</v>
      </c>
      <c r="U133" s="3" t="s">
        <v>60</v>
      </c>
      <c r="V133" s="14" t="s">
        <v>6</v>
      </c>
      <c r="W133" s="14" t="s">
        <v>7</v>
      </c>
      <c r="X133" s="14" t="s">
        <v>60</v>
      </c>
    </row>
    <row r="134" spans="1:24" ht="15" x14ac:dyDescent="0.3">
      <c r="A134" s="3">
        <v>51</v>
      </c>
      <c r="B134" s="3" t="s">
        <v>4741</v>
      </c>
      <c r="C134" s="14" t="s">
        <v>0</v>
      </c>
      <c r="D134" s="14" t="s">
        <v>3011</v>
      </c>
      <c r="E134" s="14" t="s">
        <v>4742</v>
      </c>
      <c r="F134" s="14" t="s">
        <v>3012</v>
      </c>
      <c r="G134" s="14" t="s">
        <v>3</v>
      </c>
      <c r="H134" s="14" t="s">
        <v>4743</v>
      </c>
      <c r="I134" s="14" t="s">
        <v>3013</v>
      </c>
      <c r="J134" s="14" t="s">
        <v>60</v>
      </c>
      <c r="K134" s="14" t="s">
        <v>60</v>
      </c>
      <c r="L134" s="14" t="s">
        <v>60</v>
      </c>
      <c r="M134" s="14" t="s">
        <v>60</v>
      </c>
      <c r="N134" s="14" t="s">
        <v>60</v>
      </c>
      <c r="O134" s="14" t="s">
        <v>4</v>
      </c>
      <c r="P134" s="14" t="s">
        <v>4744</v>
      </c>
      <c r="Q134" s="14" t="s">
        <v>2266</v>
      </c>
      <c r="R134" s="3">
        <v>0</v>
      </c>
      <c r="S134" s="3">
        <f t="shared" si="4"/>
        <v>550</v>
      </c>
      <c r="T134" s="3">
        <f t="shared" si="5"/>
        <v>0</v>
      </c>
      <c r="U134" s="3" t="s">
        <v>60</v>
      </c>
      <c r="V134" s="14" t="s">
        <v>6</v>
      </c>
      <c r="W134" s="14" t="s">
        <v>7</v>
      </c>
      <c r="X134" s="14" t="s">
        <v>60</v>
      </c>
    </row>
    <row r="135" spans="1:24" ht="15" x14ac:dyDescent="0.3">
      <c r="A135" s="3">
        <v>52</v>
      </c>
      <c r="B135" s="3" t="s">
        <v>4745</v>
      </c>
      <c r="C135" s="14" t="s">
        <v>0</v>
      </c>
      <c r="D135" s="14" t="s">
        <v>3014</v>
      </c>
      <c r="E135" s="14" t="s">
        <v>4746</v>
      </c>
      <c r="F135" s="14" t="s">
        <v>3015</v>
      </c>
      <c r="G135" s="14" t="s">
        <v>121</v>
      </c>
      <c r="H135" s="14" t="s">
        <v>4747</v>
      </c>
      <c r="I135" s="14" t="s">
        <v>3016</v>
      </c>
      <c r="J135" s="14" t="s">
        <v>60</v>
      </c>
      <c r="K135" s="14" t="s">
        <v>60</v>
      </c>
      <c r="L135" s="14" t="s">
        <v>60</v>
      </c>
      <c r="M135" s="14" t="s">
        <v>60</v>
      </c>
      <c r="N135" s="14" t="s">
        <v>60</v>
      </c>
      <c r="O135" s="14" t="s">
        <v>4</v>
      </c>
      <c r="P135" s="14" t="s">
        <v>4748</v>
      </c>
      <c r="Q135" s="14" t="s">
        <v>32</v>
      </c>
      <c r="R135" s="3">
        <v>0</v>
      </c>
      <c r="S135" s="3">
        <f t="shared" si="4"/>
        <v>550</v>
      </c>
      <c r="T135" s="3">
        <f t="shared" si="5"/>
        <v>0</v>
      </c>
      <c r="U135" s="3" t="s">
        <v>60</v>
      </c>
      <c r="V135" s="14" t="s">
        <v>6</v>
      </c>
      <c r="W135" s="14" t="s">
        <v>7</v>
      </c>
      <c r="X135" s="14" t="s">
        <v>60</v>
      </c>
    </row>
    <row r="136" spans="1:24" ht="15" x14ac:dyDescent="0.3">
      <c r="A136" s="3">
        <v>53</v>
      </c>
      <c r="B136" s="3" t="s">
        <v>4749</v>
      </c>
      <c r="C136" s="14" t="s">
        <v>0</v>
      </c>
      <c r="D136" s="14" t="s">
        <v>3017</v>
      </c>
      <c r="E136" s="14" t="s">
        <v>4750</v>
      </c>
      <c r="F136" s="14" t="s">
        <v>3018</v>
      </c>
      <c r="G136" s="14" t="s">
        <v>3</v>
      </c>
      <c r="H136" s="14" t="s">
        <v>4751</v>
      </c>
      <c r="I136" s="14" t="s">
        <v>3019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4</v>
      </c>
      <c r="P136" s="14" t="s">
        <v>4752</v>
      </c>
      <c r="Q136" s="14" t="s">
        <v>32</v>
      </c>
      <c r="R136" s="3">
        <v>0</v>
      </c>
      <c r="S136" s="3">
        <f t="shared" si="4"/>
        <v>550</v>
      </c>
      <c r="T136" s="3">
        <f t="shared" si="5"/>
        <v>0</v>
      </c>
      <c r="U136" s="3" t="s">
        <v>60</v>
      </c>
      <c r="V136" s="14" t="s">
        <v>6</v>
      </c>
      <c r="W136" s="14" t="s">
        <v>7</v>
      </c>
      <c r="X136" s="14" t="s">
        <v>60</v>
      </c>
    </row>
    <row r="137" spans="1:24" ht="15" x14ac:dyDescent="0.3">
      <c r="A137" s="3">
        <v>54</v>
      </c>
      <c r="B137" s="3" t="s">
        <v>4753</v>
      </c>
      <c r="C137" s="14" t="s">
        <v>0</v>
      </c>
      <c r="D137" s="14" t="s">
        <v>3020</v>
      </c>
      <c r="E137" s="14" t="s">
        <v>4754</v>
      </c>
      <c r="F137" s="14" t="s">
        <v>3021</v>
      </c>
      <c r="G137" s="14" t="s">
        <v>3</v>
      </c>
      <c r="H137" s="14" t="s">
        <v>4755</v>
      </c>
      <c r="I137" s="14" t="s">
        <v>3022</v>
      </c>
      <c r="J137" s="14" t="s">
        <v>60</v>
      </c>
      <c r="K137" s="14" t="s">
        <v>60</v>
      </c>
      <c r="L137" s="14" t="s">
        <v>60</v>
      </c>
      <c r="M137" s="14" t="s">
        <v>60</v>
      </c>
      <c r="N137" s="14" t="s">
        <v>60</v>
      </c>
      <c r="O137" s="14" t="s">
        <v>4</v>
      </c>
      <c r="P137" s="14" t="s">
        <v>4756</v>
      </c>
      <c r="Q137" s="14" t="s">
        <v>32</v>
      </c>
      <c r="R137" s="3">
        <v>0</v>
      </c>
      <c r="S137" s="3">
        <f t="shared" si="4"/>
        <v>550</v>
      </c>
      <c r="T137" s="3">
        <f t="shared" si="5"/>
        <v>0</v>
      </c>
      <c r="U137" s="3" t="s">
        <v>60</v>
      </c>
      <c r="V137" s="14" t="s">
        <v>6</v>
      </c>
      <c r="W137" s="14" t="s">
        <v>7</v>
      </c>
      <c r="X137" s="14" t="s">
        <v>60</v>
      </c>
    </row>
    <row r="138" spans="1:24" ht="15" x14ac:dyDescent="0.3">
      <c r="A138" s="3">
        <v>55</v>
      </c>
      <c r="B138" s="3" t="s">
        <v>4757</v>
      </c>
      <c r="C138" s="14" t="s">
        <v>0</v>
      </c>
      <c r="D138" s="14" t="s">
        <v>3023</v>
      </c>
      <c r="E138" s="14" t="s">
        <v>4758</v>
      </c>
      <c r="F138" s="14" t="s">
        <v>3024</v>
      </c>
      <c r="G138" s="14" t="s">
        <v>3</v>
      </c>
      <c r="H138" s="14" t="s">
        <v>4759</v>
      </c>
      <c r="I138" s="14" t="s">
        <v>3025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4</v>
      </c>
      <c r="P138" s="14" t="s">
        <v>4760</v>
      </c>
      <c r="Q138" s="14" t="s">
        <v>2151</v>
      </c>
      <c r="R138" s="3">
        <v>0</v>
      </c>
      <c r="S138" s="3">
        <f t="shared" si="4"/>
        <v>550</v>
      </c>
      <c r="T138" s="3">
        <f t="shared" si="5"/>
        <v>0</v>
      </c>
      <c r="U138" s="3" t="s">
        <v>60</v>
      </c>
      <c r="V138" s="14" t="s">
        <v>6</v>
      </c>
      <c r="W138" s="14" t="s">
        <v>7</v>
      </c>
      <c r="X138" s="14" t="s">
        <v>60</v>
      </c>
    </row>
    <row r="139" spans="1:24" ht="15" x14ac:dyDescent="0.3">
      <c r="A139" s="3">
        <v>56</v>
      </c>
      <c r="B139" s="3" t="s">
        <v>4761</v>
      </c>
      <c r="C139" s="14" t="s">
        <v>0</v>
      </c>
      <c r="D139" s="14" t="s">
        <v>3026</v>
      </c>
      <c r="E139" s="14" t="s">
        <v>4762</v>
      </c>
      <c r="F139" s="14" t="s">
        <v>3027</v>
      </c>
      <c r="G139" s="14" t="s">
        <v>3</v>
      </c>
      <c r="H139" s="14" t="s">
        <v>4763</v>
      </c>
      <c r="I139" s="14" t="s">
        <v>3028</v>
      </c>
      <c r="J139" s="14" t="s">
        <v>60</v>
      </c>
      <c r="K139" s="14" t="s">
        <v>60</v>
      </c>
      <c r="L139" s="14" t="s">
        <v>60</v>
      </c>
      <c r="M139" s="14" t="s">
        <v>60</v>
      </c>
      <c r="N139" s="14" t="s">
        <v>60</v>
      </c>
      <c r="O139" s="14" t="s">
        <v>4</v>
      </c>
      <c r="P139" s="14" t="s">
        <v>4764</v>
      </c>
      <c r="Q139" s="14" t="s">
        <v>32</v>
      </c>
      <c r="R139" s="3">
        <v>0</v>
      </c>
      <c r="S139" s="3">
        <f t="shared" si="4"/>
        <v>550</v>
      </c>
      <c r="T139" s="3">
        <f t="shared" si="5"/>
        <v>0</v>
      </c>
      <c r="U139" s="3" t="s">
        <v>60</v>
      </c>
      <c r="V139" s="14" t="s">
        <v>6</v>
      </c>
      <c r="W139" s="14" t="s">
        <v>7</v>
      </c>
      <c r="X139" s="14" t="s">
        <v>60</v>
      </c>
    </row>
    <row r="140" spans="1:24" ht="15" x14ac:dyDescent="0.3">
      <c r="A140" s="3">
        <v>57</v>
      </c>
      <c r="B140" s="3" t="s">
        <v>4765</v>
      </c>
      <c r="C140" s="14" t="s">
        <v>0</v>
      </c>
      <c r="D140" s="14" t="s">
        <v>3029</v>
      </c>
      <c r="E140" s="14" t="s">
        <v>4766</v>
      </c>
      <c r="F140" s="14" t="s">
        <v>3030</v>
      </c>
      <c r="G140" s="14" t="s">
        <v>121</v>
      </c>
      <c r="H140" s="14" t="s">
        <v>4767</v>
      </c>
      <c r="I140" s="14" t="s">
        <v>3031</v>
      </c>
      <c r="J140" s="14" t="s">
        <v>60</v>
      </c>
      <c r="K140" s="14" t="s">
        <v>60</v>
      </c>
      <c r="L140" s="14" t="s">
        <v>60</v>
      </c>
      <c r="M140" s="14" t="s">
        <v>60</v>
      </c>
      <c r="N140" s="14" t="s">
        <v>60</v>
      </c>
      <c r="O140" s="14" t="s">
        <v>4</v>
      </c>
      <c r="P140" s="14" t="s">
        <v>4768</v>
      </c>
      <c r="Q140" s="14" t="s">
        <v>11</v>
      </c>
      <c r="R140" s="3">
        <v>0</v>
      </c>
      <c r="S140" s="3">
        <f t="shared" si="4"/>
        <v>550</v>
      </c>
      <c r="T140" s="3">
        <f t="shared" si="5"/>
        <v>0</v>
      </c>
      <c r="U140" s="3" t="s">
        <v>60</v>
      </c>
      <c r="V140" s="14" t="s">
        <v>6</v>
      </c>
      <c r="W140" s="14" t="s">
        <v>7</v>
      </c>
      <c r="X140" s="14" t="s">
        <v>60</v>
      </c>
    </row>
    <row r="141" spans="1:24" ht="15" x14ac:dyDescent="0.3">
      <c r="A141" s="3">
        <v>58</v>
      </c>
      <c r="B141" s="3" t="s">
        <v>4769</v>
      </c>
      <c r="C141" s="14" t="s">
        <v>0</v>
      </c>
      <c r="D141" s="14" t="s">
        <v>3032</v>
      </c>
      <c r="E141" s="14" t="s">
        <v>4770</v>
      </c>
      <c r="F141" s="14" t="s">
        <v>3033</v>
      </c>
      <c r="G141" s="14" t="s">
        <v>121</v>
      </c>
      <c r="H141" s="14" t="s">
        <v>4771</v>
      </c>
      <c r="I141" s="14" t="s">
        <v>3034</v>
      </c>
      <c r="J141" s="14" t="s">
        <v>60</v>
      </c>
      <c r="K141" s="14" t="s">
        <v>60</v>
      </c>
      <c r="L141" s="14" t="s">
        <v>60</v>
      </c>
      <c r="M141" s="14" t="s">
        <v>60</v>
      </c>
      <c r="N141" s="14" t="s">
        <v>60</v>
      </c>
      <c r="O141" s="14" t="s">
        <v>4</v>
      </c>
      <c r="P141" s="14" t="s">
        <v>4772</v>
      </c>
      <c r="Q141" s="14" t="s">
        <v>11</v>
      </c>
      <c r="R141" s="3">
        <v>0</v>
      </c>
      <c r="S141" s="3">
        <f t="shared" si="4"/>
        <v>550</v>
      </c>
      <c r="T141" s="3">
        <f t="shared" si="5"/>
        <v>0</v>
      </c>
      <c r="U141" s="3" t="s">
        <v>60</v>
      </c>
      <c r="V141" s="14" t="s">
        <v>6</v>
      </c>
      <c r="W141" s="14" t="s">
        <v>7</v>
      </c>
      <c r="X141" s="14" t="s">
        <v>60</v>
      </c>
    </row>
    <row r="142" spans="1:24" ht="15" x14ac:dyDescent="0.3">
      <c r="A142" s="3">
        <v>59</v>
      </c>
      <c r="B142" s="3" t="s">
        <v>4773</v>
      </c>
      <c r="C142" s="14" t="s">
        <v>14</v>
      </c>
      <c r="D142" s="14" t="s">
        <v>3035</v>
      </c>
      <c r="E142" s="14" t="s">
        <v>4774</v>
      </c>
      <c r="F142" s="14" t="s">
        <v>3036</v>
      </c>
      <c r="G142" s="14" t="s">
        <v>3</v>
      </c>
      <c r="H142" s="14" t="s">
        <v>3037</v>
      </c>
      <c r="I142" s="14" t="s">
        <v>4775</v>
      </c>
      <c r="J142" s="14" t="s">
        <v>60</v>
      </c>
      <c r="K142" s="14" t="s">
        <v>60</v>
      </c>
      <c r="L142" s="14" t="s">
        <v>60</v>
      </c>
      <c r="M142" s="14" t="s">
        <v>60</v>
      </c>
      <c r="N142" s="14" t="s">
        <v>60</v>
      </c>
      <c r="O142" s="14" t="s">
        <v>4</v>
      </c>
      <c r="P142" s="14" t="s">
        <v>4776</v>
      </c>
      <c r="Q142" s="14" t="s">
        <v>2151</v>
      </c>
      <c r="R142" s="3">
        <v>0</v>
      </c>
      <c r="S142" s="3">
        <f t="shared" si="4"/>
        <v>640</v>
      </c>
      <c r="T142" s="3">
        <f t="shared" si="5"/>
        <v>0</v>
      </c>
      <c r="U142" s="3" t="s">
        <v>60</v>
      </c>
      <c r="V142" s="14" t="s">
        <v>6</v>
      </c>
      <c r="W142" s="14" t="s">
        <v>7</v>
      </c>
      <c r="X142" s="14" t="s">
        <v>60</v>
      </c>
    </row>
    <row r="143" spans="1:24" ht="15" x14ac:dyDescent="0.3">
      <c r="A143" s="3">
        <v>60</v>
      </c>
      <c r="B143" s="3" t="s">
        <v>4777</v>
      </c>
      <c r="C143" s="14" t="s">
        <v>0</v>
      </c>
      <c r="D143" s="14" t="s">
        <v>3038</v>
      </c>
      <c r="E143" s="14" t="s">
        <v>4778</v>
      </c>
      <c r="F143" s="14" t="s">
        <v>3039</v>
      </c>
      <c r="G143" s="14" t="s">
        <v>3</v>
      </c>
      <c r="H143" s="14" t="s">
        <v>4779</v>
      </c>
      <c r="I143" s="14" t="s">
        <v>3040</v>
      </c>
      <c r="J143" s="14" t="s">
        <v>60</v>
      </c>
      <c r="K143" s="14" t="s">
        <v>60</v>
      </c>
      <c r="L143" s="14" t="s">
        <v>60</v>
      </c>
      <c r="M143" s="14" t="s">
        <v>3041</v>
      </c>
      <c r="N143" s="14" t="s">
        <v>60</v>
      </c>
      <c r="O143" s="14" t="s">
        <v>395</v>
      </c>
      <c r="P143" s="14" t="s">
        <v>4780</v>
      </c>
      <c r="Q143" s="14" t="s">
        <v>3042</v>
      </c>
      <c r="R143" s="3">
        <v>0</v>
      </c>
      <c r="S143" s="3">
        <f t="shared" si="4"/>
        <v>550</v>
      </c>
      <c r="T143" s="3">
        <f t="shared" si="5"/>
        <v>0</v>
      </c>
      <c r="U143" s="3" t="s">
        <v>4781</v>
      </c>
      <c r="V143" s="14" t="s">
        <v>6</v>
      </c>
      <c r="W143" s="14" t="s">
        <v>4782</v>
      </c>
      <c r="X143" s="14" t="s">
        <v>60</v>
      </c>
    </row>
    <row r="144" spans="1:24" ht="15" x14ac:dyDescent="0.3">
      <c r="A144" s="3">
        <v>61</v>
      </c>
      <c r="B144" s="3" t="s">
        <v>4783</v>
      </c>
      <c r="C144" s="14" t="s">
        <v>0</v>
      </c>
      <c r="D144" s="14" t="s">
        <v>905</v>
      </c>
      <c r="E144" s="14" t="s">
        <v>4644</v>
      </c>
      <c r="F144" s="14" t="s">
        <v>3043</v>
      </c>
      <c r="G144" s="14" t="s">
        <v>3</v>
      </c>
      <c r="H144" s="14" t="s">
        <v>4784</v>
      </c>
      <c r="I144" s="14" t="s">
        <v>3044</v>
      </c>
      <c r="J144" s="14" t="s">
        <v>60</v>
      </c>
      <c r="K144" s="14" t="s">
        <v>60</v>
      </c>
      <c r="L144" s="14" t="s">
        <v>60</v>
      </c>
      <c r="M144" s="14" t="s">
        <v>3045</v>
      </c>
      <c r="N144" s="14" t="s">
        <v>60</v>
      </c>
      <c r="O144" s="14" t="s">
        <v>395</v>
      </c>
      <c r="P144" s="14" t="s">
        <v>4785</v>
      </c>
      <c r="Q144" s="14" t="s">
        <v>11</v>
      </c>
      <c r="R144" s="3">
        <v>0</v>
      </c>
      <c r="S144" s="3">
        <f t="shared" si="4"/>
        <v>550</v>
      </c>
      <c r="T144" s="3">
        <f t="shared" si="5"/>
        <v>0</v>
      </c>
      <c r="U144" s="3" t="s">
        <v>60</v>
      </c>
      <c r="V144" s="14" t="s">
        <v>6</v>
      </c>
      <c r="W144" s="14" t="s">
        <v>4782</v>
      </c>
      <c r="X144" s="14" t="s">
        <v>60</v>
      </c>
    </row>
    <row r="145" spans="1:24" ht="15" x14ac:dyDescent="0.3">
      <c r="A145" s="3">
        <v>62</v>
      </c>
      <c r="B145" s="3" t="s">
        <v>4786</v>
      </c>
      <c r="C145" s="14" t="s">
        <v>0</v>
      </c>
      <c r="D145" s="14" t="s">
        <v>3046</v>
      </c>
      <c r="E145" s="14" t="s">
        <v>4787</v>
      </c>
      <c r="F145" s="14" t="s">
        <v>3047</v>
      </c>
      <c r="G145" s="14" t="s">
        <v>3</v>
      </c>
      <c r="H145" s="14" t="s">
        <v>4788</v>
      </c>
      <c r="I145" s="14" t="s">
        <v>3048</v>
      </c>
      <c r="J145" s="14" t="s">
        <v>60</v>
      </c>
      <c r="K145" s="14" t="s">
        <v>60</v>
      </c>
      <c r="L145" s="14" t="s">
        <v>60</v>
      </c>
      <c r="M145" s="14" t="s">
        <v>3049</v>
      </c>
      <c r="N145" s="14" t="s">
        <v>60</v>
      </c>
      <c r="O145" s="14" t="s">
        <v>395</v>
      </c>
      <c r="P145" s="14" t="s">
        <v>4789</v>
      </c>
      <c r="Q145" s="14" t="s">
        <v>11</v>
      </c>
      <c r="R145" s="3">
        <v>0</v>
      </c>
      <c r="S145" s="3">
        <f t="shared" si="4"/>
        <v>550</v>
      </c>
      <c r="T145" s="3">
        <f t="shared" si="5"/>
        <v>0</v>
      </c>
      <c r="U145" s="3" t="s">
        <v>60</v>
      </c>
      <c r="V145" s="14" t="s">
        <v>6</v>
      </c>
      <c r="W145" s="14" t="s">
        <v>4782</v>
      </c>
      <c r="X145" s="14" t="s">
        <v>60</v>
      </c>
    </row>
    <row r="146" spans="1:24" ht="15" x14ac:dyDescent="0.3">
      <c r="A146" s="3">
        <v>63</v>
      </c>
      <c r="B146" s="3" t="s">
        <v>4791</v>
      </c>
      <c r="C146" s="14" t="s">
        <v>0</v>
      </c>
      <c r="D146" s="14" t="s">
        <v>3050</v>
      </c>
      <c r="E146" s="14" t="s">
        <v>4792</v>
      </c>
      <c r="F146" s="14" t="s">
        <v>3051</v>
      </c>
      <c r="G146" s="14" t="s">
        <v>3</v>
      </c>
      <c r="H146" s="14" t="s">
        <v>4793</v>
      </c>
      <c r="I146" s="14" t="s">
        <v>3052</v>
      </c>
      <c r="J146" s="14" t="s">
        <v>60</v>
      </c>
      <c r="K146" s="14" t="s">
        <v>60</v>
      </c>
      <c r="L146" s="14" t="s">
        <v>60</v>
      </c>
      <c r="M146" s="14" t="s">
        <v>3053</v>
      </c>
      <c r="N146" s="14" t="s">
        <v>60</v>
      </c>
      <c r="O146" s="14" t="s">
        <v>395</v>
      </c>
      <c r="P146" s="14" t="s">
        <v>4794</v>
      </c>
      <c r="Q146" s="14" t="s">
        <v>11</v>
      </c>
      <c r="R146" s="3">
        <v>0</v>
      </c>
      <c r="S146" s="3">
        <f t="shared" si="4"/>
        <v>550</v>
      </c>
      <c r="T146" s="3">
        <f t="shared" si="5"/>
        <v>0</v>
      </c>
      <c r="U146" s="3" t="s">
        <v>60</v>
      </c>
      <c r="V146" s="14" t="s">
        <v>6</v>
      </c>
      <c r="W146" s="14" t="s">
        <v>4782</v>
      </c>
      <c r="X146" s="14" t="s">
        <v>60</v>
      </c>
    </row>
    <row r="147" spans="1:24" ht="15" x14ac:dyDescent="0.3">
      <c r="A147" s="3">
        <v>64</v>
      </c>
      <c r="B147" s="3" t="s">
        <v>4795</v>
      </c>
      <c r="C147" s="14" t="s">
        <v>0</v>
      </c>
      <c r="D147" s="14" t="s">
        <v>3054</v>
      </c>
      <c r="E147" s="14" t="s">
        <v>4308</v>
      </c>
      <c r="F147" s="14" t="s">
        <v>3055</v>
      </c>
      <c r="G147" s="14" t="s">
        <v>3</v>
      </c>
      <c r="H147" s="14" t="s">
        <v>4796</v>
      </c>
      <c r="I147" s="14" t="s">
        <v>3056</v>
      </c>
      <c r="J147" s="14" t="s">
        <v>60</v>
      </c>
      <c r="K147" s="14" t="s">
        <v>60</v>
      </c>
      <c r="L147" s="14" t="s">
        <v>60</v>
      </c>
      <c r="M147" s="14" t="s">
        <v>3057</v>
      </c>
      <c r="N147" s="14" t="s">
        <v>60</v>
      </c>
      <c r="O147" s="14" t="s">
        <v>395</v>
      </c>
      <c r="P147" s="14" t="s">
        <v>4797</v>
      </c>
      <c r="Q147" s="14" t="s">
        <v>11</v>
      </c>
      <c r="R147" s="3">
        <v>0</v>
      </c>
      <c r="S147" s="3">
        <f t="shared" si="4"/>
        <v>550</v>
      </c>
      <c r="T147" s="3">
        <f t="shared" si="5"/>
        <v>0</v>
      </c>
      <c r="U147" s="3" t="s">
        <v>60</v>
      </c>
      <c r="V147" s="14" t="s">
        <v>6</v>
      </c>
      <c r="W147" s="14" t="s">
        <v>4782</v>
      </c>
      <c r="X147" s="14" t="s">
        <v>60</v>
      </c>
    </row>
    <row r="148" spans="1:24" ht="15" x14ac:dyDescent="0.3">
      <c r="A148" s="3">
        <v>65</v>
      </c>
      <c r="B148" s="3" t="s">
        <v>4798</v>
      </c>
      <c r="C148" s="14" t="s">
        <v>0</v>
      </c>
      <c r="D148" s="14" t="s">
        <v>3058</v>
      </c>
      <c r="E148" s="14" t="s">
        <v>4216</v>
      </c>
      <c r="F148" s="14" t="s">
        <v>3059</v>
      </c>
      <c r="G148" s="14" t="s">
        <v>3</v>
      </c>
      <c r="H148" s="14" t="s">
        <v>4799</v>
      </c>
      <c r="I148" s="14" t="s">
        <v>3060</v>
      </c>
      <c r="J148" s="14" t="s">
        <v>60</v>
      </c>
      <c r="K148" s="14" t="s">
        <v>60</v>
      </c>
      <c r="L148" s="14" t="s">
        <v>60</v>
      </c>
      <c r="M148" s="14" t="s">
        <v>3061</v>
      </c>
      <c r="N148" s="14" t="s">
        <v>60</v>
      </c>
      <c r="O148" s="14" t="s">
        <v>395</v>
      </c>
      <c r="P148" s="14" t="s">
        <v>4800</v>
      </c>
      <c r="Q148" s="14" t="s">
        <v>11</v>
      </c>
      <c r="R148" s="3">
        <v>0</v>
      </c>
      <c r="S148" s="3">
        <f t="shared" ref="S148:S167" si="6">IF(RIGHT(C148,3)="MAZ",550,IF(RIGHT(C148,4)="MATE",570,IF(RIGHT(C148,7)="SKD-III",640,IF(RIGHT(C148,6)="SKD-II",770,IF(RIGHT(C148,5)="SKD-I",900,IF(RIGHT(C148,5)="CPDVR",770,""))))))</f>
        <v>550</v>
      </c>
      <c r="T148" s="3">
        <f t="shared" ref="T148:T167" si="7">R148*S148</f>
        <v>0</v>
      </c>
      <c r="U148" s="3" t="s">
        <v>60</v>
      </c>
      <c r="V148" s="14" t="s">
        <v>6</v>
      </c>
      <c r="W148" s="14" t="s">
        <v>4782</v>
      </c>
      <c r="X148" s="14" t="s">
        <v>60</v>
      </c>
    </row>
    <row r="149" spans="1:24" ht="15" x14ac:dyDescent="0.3">
      <c r="A149" s="3">
        <v>66</v>
      </c>
      <c r="B149" s="3" t="s">
        <v>4801</v>
      </c>
      <c r="C149" s="14" t="s">
        <v>0</v>
      </c>
      <c r="D149" s="14" t="s">
        <v>1646</v>
      </c>
      <c r="E149" s="14" t="s">
        <v>4746</v>
      </c>
      <c r="F149" s="14" t="s">
        <v>2387</v>
      </c>
      <c r="G149" s="14" t="s">
        <v>3</v>
      </c>
      <c r="H149" s="14" t="s">
        <v>4802</v>
      </c>
      <c r="I149" s="14" t="s">
        <v>3062</v>
      </c>
      <c r="J149" s="14" t="s">
        <v>60</v>
      </c>
      <c r="K149" s="14" t="s">
        <v>60</v>
      </c>
      <c r="L149" s="14" t="s">
        <v>60</v>
      </c>
      <c r="M149" s="14" t="s">
        <v>3063</v>
      </c>
      <c r="N149" s="14" t="s">
        <v>60</v>
      </c>
      <c r="O149" s="14" t="s">
        <v>395</v>
      </c>
      <c r="P149" s="14" t="s">
        <v>4803</v>
      </c>
      <c r="Q149" s="14" t="s">
        <v>11</v>
      </c>
      <c r="R149" s="3">
        <v>0</v>
      </c>
      <c r="S149" s="3">
        <f t="shared" si="6"/>
        <v>550</v>
      </c>
      <c r="T149" s="3">
        <f t="shared" si="7"/>
        <v>0</v>
      </c>
      <c r="U149" s="3" t="s">
        <v>60</v>
      </c>
      <c r="V149" s="14" t="s">
        <v>6</v>
      </c>
      <c r="W149" s="14" t="s">
        <v>4782</v>
      </c>
      <c r="X149" s="14" t="s">
        <v>60</v>
      </c>
    </row>
    <row r="150" spans="1:24" ht="15" x14ac:dyDescent="0.3">
      <c r="A150" s="3">
        <v>67</v>
      </c>
      <c r="B150" s="3" t="s">
        <v>4804</v>
      </c>
      <c r="C150" s="14" t="s">
        <v>0</v>
      </c>
      <c r="D150" s="14" t="s">
        <v>3064</v>
      </c>
      <c r="E150" s="14" t="s">
        <v>4805</v>
      </c>
      <c r="F150" s="14" t="s">
        <v>2921</v>
      </c>
      <c r="G150" s="14" t="s">
        <v>3</v>
      </c>
      <c r="H150" s="14" t="s">
        <v>4806</v>
      </c>
      <c r="I150" s="14" t="s">
        <v>3065</v>
      </c>
      <c r="J150" s="14" t="s">
        <v>60</v>
      </c>
      <c r="K150" s="14" t="s">
        <v>60</v>
      </c>
      <c r="L150" s="14" t="s">
        <v>60</v>
      </c>
      <c r="M150" s="14" t="s">
        <v>3066</v>
      </c>
      <c r="N150" s="14" t="s">
        <v>60</v>
      </c>
      <c r="O150" s="14" t="s">
        <v>261</v>
      </c>
      <c r="P150" s="14" t="s">
        <v>4807</v>
      </c>
      <c r="Q150" s="14" t="s">
        <v>32</v>
      </c>
      <c r="R150" s="3">
        <v>0</v>
      </c>
      <c r="S150" s="3">
        <f t="shared" si="6"/>
        <v>550</v>
      </c>
      <c r="T150" s="3">
        <f t="shared" si="7"/>
        <v>0</v>
      </c>
      <c r="U150" s="3" t="s">
        <v>60</v>
      </c>
      <c r="V150" s="14" t="s">
        <v>4301</v>
      </c>
      <c r="W150" s="14" t="s">
        <v>4808</v>
      </c>
      <c r="X150" s="14" t="s">
        <v>60</v>
      </c>
    </row>
    <row r="151" spans="1:24" ht="15" x14ac:dyDescent="0.3">
      <c r="A151" s="3">
        <v>68</v>
      </c>
      <c r="B151" s="3" t="s">
        <v>4809</v>
      </c>
      <c r="C151" s="14" t="s">
        <v>0</v>
      </c>
      <c r="D151" s="14" t="s">
        <v>3067</v>
      </c>
      <c r="E151" s="14" t="s">
        <v>4810</v>
      </c>
      <c r="F151" s="14" t="s">
        <v>3068</v>
      </c>
      <c r="G151" s="14" t="s">
        <v>3</v>
      </c>
      <c r="H151" s="14" t="s">
        <v>4811</v>
      </c>
      <c r="I151" s="14" t="s">
        <v>3069</v>
      </c>
      <c r="J151" s="14" t="s">
        <v>60</v>
      </c>
      <c r="K151" s="14" t="s">
        <v>60</v>
      </c>
      <c r="L151" s="14" t="s">
        <v>60</v>
      </c>
      <c r="M151" s="14" t="s">
        <v>3070</v>
      </c>
      <c r="N151" s="14" t="s">
        <v>60</v>
      </c>
      <c r="O151" s="14" t="s">
        <v>261</v>
      </c>
      <c r="P151" s="14" t="s">
        <v>4812</v>
      </c>
      <c r="Q151" s="14" t="s">
        <v>11</v>
      </c>
      <c r="R151" s="3">
        <v>0</v>
      </c>
      <c r="S151" s="3">
        <f t="shared" si="6"/>
        <v>550</v>
      </c>
      <c r="T151" s="3">
        <f t="shared" si="7"/>
        <v>0</v>
      </c>
      <c r="U151" s="3" t="s">
        <v>60</v>
      </c>
      <c r="V151" s="14" t="s">
        <v>4301</v>
      </c>
      <c r="W151" s="14" t="s">
        <v>4813</v>
      </c>
      <c r="X151" s="14" t="s">
        <v>60</v>
      </c>
    </row>
    <row r="152" spans="1:24" ht="15" x14ac:dyDescent="0.3">
      <c r="A152" s="3">
        <v>69</v>
      </c>
      <c r="B152" s="3" t="s">
        <v>4814</v>
      </c>
      <c r="C152" s="14" t="s">
        <v>0</v>
      </c>
      <c r="D152" s="14" t="s">
        <v>3071</v>
      </c>
      <c r="E152" s="14" t="s">
        <v>4815</v>
      </c>
      <c r="F152" s="14" t="s">
        <v>3072</v>
      </c>
      <c r="G152" s="14" t="s">
        <v>3</v>
      </c>
      <c r="H152" s="14" t="s">
        <v>4816</v>
      </c>
      <c r="I152" s="14" t="s">
        <v>4817</v>
      </c>
      <c r="J152" s="14" t="s">
        <v>60</v>
      </c>
      <c r="K152" s="14" t="s">
        <v>60</v>
      </c>
      <c r="L152" s="14" t="s">
        <v>60</v>
      </c>
      <c r="M152" s="14" t="s">
        <v>3073</v>
      </c>
      <c r="N152" s="14" t="s">
        <v>60</v>
      </c>
      <c r="O152" s="14" t="s">
        <v>60</v>
      </c>
      <c r="P152" s="14" t="s">
        <v>4818</v>
      </c>
      <c r="Q152" s="14" t="s">
        <v>5</v>
      </c>
      <c r="R152" s="3">
        <v>0</v>
      </c>
      <c r="S152" s="3">
        <f t="shared" si="6"/>
        <v>550</v>
      </c>
      <c r="T152" s="3">
        <f t="shared" si="7"/>
        <v>0</v>
      </c>
      <c r="U152" s="3" t="s">
        <v>60</v>
      </c>
      <c r="V152" s="14" t="s">
        <v>6</v>
      </c>
      <c r="W152" s="14" t="s">
        <v>20</v>
      </c>
      <c r="X152" s="14" t="s">
        <v>60</v>
      </c>
    </row>
    <row r="153" spans="1:24" ht="15" x14ac:dyDescent="0.3">
      <c r="A153" s="3">
        <v>70</v>
      </c>
      <c r="B153" s="3" t="s">
        <v>4819</v>
      </c>
      <c r="C153" s="14" t="s">
        <v>69</v>
      </c>
      <c r="D153" s="14" t="s">
        <v>3118</v>
      </c>
      <c r="E153" s="14" t="s">
        <v>4820</v>
      </c>
      <c r="F153" s="14" t="s">
        <v>3119</v>
      </c>
      <c r="G153" s="14" t="s">
        <v>3</v>
      </c>
      <c r="H153" s="14" t="s">
        <v>3120</v>
      </c>
      <c r="I153" s="14" t="s">
        <v>3121</v>
      </c>
      <c r="J153" s="14" t="s">
        <v>60</v>
      </c>
      <c r="K153" s="14" t="s">
        <v>60</v>
      </c>
      <c r="L153" s="14" t="s">
        <v>60</v>
      </c>
      <c r="M153" s="14" t="s">
        <v>60</v>
      </c>
      <c r="N153" s="14" t="s">
        <v>60</v>
      </c>
      <c r="O153" s="14" t="s">
        <v>4821</v>
      </c>
      <c r="P153" s="14" t="s">
        <v>4822</v>
      </c>
      <c r="Q153" s="14" t="s">
        <v>32</v>
      </c>
      <c r="R153" s="3">
        <v>0</v>
      </c>
      <c r="S153" s="3">
        <f t="shared" si="6"/>
        <v>570</v>
      </c>
      <c r="T153" s="3">
        <f t="shared" si="7"/>
        <v>0</v>
      </c>
      <c r="U153" s="3" t="s">
        <v>60</v>
      </c>
      <c r="V153" s="14" t="s">
        <v>6</v>
      </c>
      <c r="W153" s="14" t="s">
        <v>4287</v>
      </c>
      <c r="X153" s="14" t="s">
        <v>60</v>
      </c>
    </row>
    <row r="154" spans="1:24" ht="15" x14ac:dyDescent="0.3">
      <c r="A154" s="3">
        <v>71</v>
      </c>
      <c r="B154" s="3" t="s">
        <v>4823</v>
      </c>
      <c r="C154" s="14" t="s">
        <v>0</v>
      </c>
      <c r="D154" s="14" t="s">
        <v>3890</v>
      </c>
      <c r="E154" s="14" t="s">
        <v>4824</v>
      </c>
      <c r="F154" s="14" t="s">
        <v>3899</v>
      </c>
      <c r="G154" s="14" t="s">
        <v>3</v>
      </c>
      <c r="H154" s="14" t="s">
        <v>4013</v>
      </c>
      <c r="I154" s="14" t="s">
        <v>4025</v>
      </c>
      <c r="J154" s="14" t="s">
        <v>60</v>
      </c>
      <c r="K154" s="14" t="s">
        <v>60</v>
      </c>
      <c r="L154" s="14" t="s">
        <v>60</v>
      </c>
      <c r="M154" s="14" t="s">
        <v>4037</v>
      </c>
      <c r="N154" s="14" t="s">
        <v>60</v>
      </c>
      <c r="O154" s="14" t="s">
        <v>60</v>
      </c>
      <c r="P154" s="14" t="s">
        <v>4825</v>
      </c>
      <c r="Q154" s="14" t="s">
        <v>5</v>
      </c>
      <c r="R154" s="3">
        <v>0</v>
      </c>
      <c r="S154" s="3">
        <f t="shared" si="6"/>
        <v>550</v>
      </c>
      <c r="T154" s="3">
        <f t="shared" si="7"/>
        <v>0</v>
      </c>
      <c r="U154" s="3" t="s">
        <v>60</v>
      </c>
      <c r="V154" s="14" t="s">
        <v>6</v>
      </c>
      <c r="W154" s="14" t="s">
        <v>4101</v>
      </c>
      <c r="X154" s="14" t="s">
        <v>60</v>
      </c>
    </row>
    <row r="155" spans="1:24" ht="15" x14ac:dyDescent="0.3">
      <c r="A155" s="3">
        <v>72</v>
      </c>
      <c r="B155" s="3" t="s">
        <v>4826</v>
      </c>
      <c r="C155" s="14" t="s">
        <v>0</v>
      </c>
      <c r="D155" s="14" t="s">
        <v>3891</v>
      </c>
      <c r="E155" s="14" t="s">
        <v>4827</v>
      </c>
      <c r="F155" s="14" t="s">
        <v>3900</v>
      </c>
      <c r="G155" s="14" t="s">
        <v>3</v>
      </c>
      <c r="H155" s="14" t="s">
        <v>4014</v>
      </c>
      <c r="I155" s="14" t="s">
        <v>4026</v>
      </c>
      <c r="J155" s="14" t="s">
        <v>60</v>
      </c>
      <c r="K155" s="14" t="s">
        <v>60</v>
      </c>
      <c r="L155" s="14" t="s">
        <v>60</v>
      </c>
      <c r="M155" s="14" t="s">
        <v>4038</v>
      </c>
      <c r="N155" s="14" t="s">
        <v>60</v>
      </c>
      <c r="O155" s="14" t="s">
        <v>4828</v>
      </c>
      <c r="P155" s="14" t="s">
        <v>4829</v>
      </c>
      <c r="Q155" s="14" t="s">
        <v>5</v>
      </c>
      <c r="R155" s="3">
        <v>0</v>
      </c>
      <c r="S155" s="3">
        <f t="shared" si="6"/>
        <v>550</v>
      </c>
      <c r="T155" s="3">
        <f t="shared" si="7"/>
        <v>0</v>
      </c>
      <c r="U155" s="3" t="s">
        <v>60</v>
      </c>
      <c r="V155" s="14" t="s">
        <v>6</v>
      </c>
      <c r="W155" s="14" t="s">
        <v>4101</v>
      </c>
      <c r="X155" s="14" t="s">
        <v>60</v>
      </c>
    </row>
    <row r="156" spans="1:24" ht="15" x14ac:dyDescent="0.3">
      <c r="A156" s="3">
        <v>73</v>
      </c>
      <c r="B156" s="3" t="s">
        <v>4830</v>
      </c>
      <c r="C156" s="14" t="s">
        <v>0</v>
      </c>
      <c r="D156" s="14" t="s">
        <v>2843</v>
      </c>
      <c r="E156" s="14" t="s">
        <v>4831</v>
      </c>
      <c r="F156" s="14" t="s">
        <v>3901</v>
      </c>
      <c r="G156" s="14" t="s">
        <v>3</v>
      </c>
      <c r="H156" s="14" t="s">
        <v>4015</v>
      </c>
      <c r="I156" s="14" t="s">
        <v>4027</v>
      </c>
      <c r="J156" s="14" t="s">
        <v>60</v>
      </c>
      <c r="K156" s="14" t="s">
        <v>60</v>
      </c>
      <c r="L156" s="14" t="s">
        <v>60</v>
      </c>
      <c r="M156" s="14" t="s">
        <v>4039</v>
      </c>
      <c r="N156" s="14" t="s">
        <v>60</v>
      </c>
      <c r="O156" s="14" t="s">
        <v>4828</v>
      </c>
      <c r="P156" s="14" t="s">
        <v>4832</v>
      </c>
      <c r="Q156" s="14" t="s">
        <v>5</v>
      </c>
      <c r="R156" s="3">
        <v>0</v>
      </c>
      <c r="S156" s="3">
        <f t="shared" si="6"/>
        <v>550</v>
      </c>
      <c r="T156" s="3">
        <f t="shared" si="7"/>
        <v>0</v>
      </c>
      <c r="U156" s="3" t="s">
        <v>60</v>
      </c>
      <c r="V156" s="14" t="s">
        <v>6</v>
      </c>
      <c r="W156" s="14" t="s">
        <v>4101</v>
      </c>
      <c r="X156" s="14" t="s">
        <v>60</v>
      </c>
    </row>
    <row r="157" spans="1:24" ht="15" x14ac:dyDescent="0.3">
      <c r="A157" s="3">
        <v>74</v>
      </c>
      <c r="B157" s="3" t="s">
        <v>4833</v>
      </c>
      <c r="C157" s="14" t="s">
        <v>0</v>
      </c>
      <c r="D157" s="14" t="s">
        <v>4105</v>
      </c>
      <c r="E157" s="14" t="s">
        <v>4834</v>
      </c>
      <c r="F157" s="14" t="s">
        <v>3902</v>
      </c>
      <c r="G157" s="14" t="s">
        <v>3</v>
      </c>
      <c r="H157" s="14" t="s">
        <v>4016</v>
      </c>
      <c r="I157" s="14" t="s">
        <v>4028</v>
      </c>
      <c r="J157" s="14" t="s">
        <v>60</v>
      </c>
      <c r="K157" s="14" t="s">
        <v>60</v>
      </c>
      <c r="L157" s="14" t="s">
        <v>60</v>
      </c>
      <c r="M157" s="14" t="s">
        <v>4040</v>
      </c>
      <c r="N157" s="14" t="s">
        <v>60</v>
      </c>
      <c r="O157" s="14" t="s">
        <v>60</v>
      </c>
      <c r="P157" s="14" t="s">
        <v>4835</v>
      </c>
      <c r="Q157" s="14" t="s">
        <v>4049</v>
      </c>
      <c r="R157" s="3">
        <v>0</v>
      </c>
      <c r="S157" s="3">
        <f t="shared" si="6"/>
        <v>550</v>
      </c>
      <c r="T157" s="3">
        <f t="shared" si="7"/>
        <v>0</v>
      </c>
      <c r="U157" s="3" t="s">
        <v>60</v>
      </c>
      <c r="V157" s="14" t="s">
        <v>6</v>
      </c>
      <c r="W157" s="14" t="s">
        <v>4101</v>
      </c>
      <c r="X157" s="14" t="s">
        <v>60</v>
      </c>
    </row>
    <row r="158" spans="1:24" ht="15" x14ac:dyDescent="0.3">
      <c r="A158" s="3">
        <v>75</v>
      </c>
      <c r="B158" s="3" t="s">
        <v>4836</v>
      </c>
      <c r="C158" s="14" t="s">
        <v>0</v>
      </c>
      <c r="D158" s="14" t="s">
        <v>3892</v>
      </c>
      <c r="E158" s="14" t="s">
        <v>4837</v>
      </c>
      <c r="F158" s="14" t="s">
        <v>3903</v>
      </c>
      <c r="G158" s="14" t="s">
        <v>3</v>
      </c>
      <c r="H158" s="14" t="s">
        <v>4017</v>
      </c>
      <c r="I158" s="14" t="s">
        <v>4029</v>
      </c>
      <c r="J158" s="14" t="s">
        <v>60</v>
      </c>
      <c r="K158" s="14" t="s">
        <v>60</v>
      </c>
      <c r="L158" s="14" t="s">
        <v>60</v>
      </c>
      <c r="M158" s="14" t="s">
        <v>4041</v>
      </c>
      <c r="N158" s="14" t="s">
        <v>60</v>
      </c>
      <c r="O158" s="14" t="s">
        <v>60</v>
      </c>
      <c r="P158" s="14" t="s">
        <v>4838</v>
      </c>
      <c r="Q158" s="14" t="s">
        <v>11</v>
      </c>
      <c r="R158" s="3">
        <v>0</v>
      </c>
      <c r="S158" s="3">
        <f t="shared" si="6"/>
        <v>550</v>
      </c>
      <c r="T158" s="3">
        <f t="shared" si="7"/>
        <v>0</v>
      </c>
      <c r="U158" s="3" t="s">
        <v>60</v>
      </c>
      <c r="V158" s="14" t="s">
        <v>6</v>
      </c>
      <c r="W158" s="14" t="s">
        <v>4101</v>
      </c>
      <c r="X158" s="14" t="s">
        <v>60</v>
      </c>
    </row>
    <row r="159" spans="1:24" ht="15" x14ac:dyDescent="0.3">
      <c r="A159" s="3">
        <v>76</v>
      </c>
      <c r="B159" s="3" t="s">
        <v>4839</v>
      </c>
      <c r="C159" s="14" t="s">
        <v>0</v>
      </c>
      <c r="D159" s="14" t="s">
        <v>3893</v>
      </c>
      <c r="E159" s="14" t="s">
        <v>4840</v>
      </c>
      <c r="F159" s="14" t="s">
        <v>3904</v>
      </c>
      <c r="G159" s="14" t="s">
        <v>3</v>
      </c>
      <c r="H159" s="14" t="s">
        <v>4018</v>
      </c>
      <c r="I159" s="14" t="s">
        <v>4030</v>
      </c>
      <c r="J159" s="14" t="s">
        <v>60</v>
      </c>
      <c r="K159" s="14" t="s">
        <v>60</v>
      </c>
      <c r="L159" s="14" t="s">
        <v>60</v>
      </c>
      <c r="M159" s="14" t="s">
        <v>4042</v>
      </c>
      <c r="N159" s="14" t="s">
        <v>60</v>
      </c>
      <c r="O159" s="14" t="s">
        <v>4828</v>
      </c>
      <c r="P159" s="14" t="s">
        <v>4841</v>
      </c>
      <c r="Q159" s="14" t="s">
        <v>32</v>
      </c>
      <c r="R159" s="3">
        <v>0</v>
      </c>
      <c r="S159" s="3">
        <f t="shared" si="6"/>
        <v>550</v>
      </c>
      <c r="T159" s="3">
        <f t="shared" si="7"/>
        <v>0</v>
      </c>
      <c r="U159" s="3" t="s">
        <v>60</v>
      </c>
      <c r="V159" s="14" t="s">
        <v>6</v>
      </c>
      <c r="W159" s="14" t="s">
        <v>4101</v>
      </c>
      <c r="X159" s="14" t="s">
        <v>60</v>
      </c>
    </row>
    <row r="160" spans="1:24" ht="15" x14ac:dyDescent="0.3">
      <c r="A160" s="3">
        <v>77</v>
      </c>
      <c r="B160" s="3" t="s">
        <v>4842</v>
      </c>
      <c r="C160" s="14" t="s">
        <v>0</v>
      </c>
      <c r="D160" s="14" t="s">
        <v>4843</v>
      </c>
      <c r="E160" s="14" t="s">
        <v>4844</v>
      </c>
      <c r="F160" s="14" t="s">
        <v>3903</v>
      </c>
      <c r="G160" s="14" t="s">
        <v>3</v>
      </c>
      <c r="H160" s="14" t="s">
        <v>4019</v>
      </c>
      <c r="I160" s="14" t="s">
        <v>4031</v>
      </c>
      <c r="J160" s="14" t="s">
        <v>60</v>
      </c>
      <c r="K160" s="14" t="s">
        <v>60</v>
      </c>
      <c r="L160" s="14" t="s">
        <v>60</v>
      </c>
      <c r="M160" s="14" t="s">
        <v>4043</v>
      </c>
      <c r="N160" s="14" t="s">
        <v>60</v>
      </c>
      <c r="O160" s="14" t="s">
        <v>60</v>
      </c>
      <c r="P160" s="14" t="s">
        <v>4845</v>
      </c>
      <c r="Q160" s="14" t="s">
        <v>32</v>
      </c>
      <c r="R160" s="3">
        <v>0</v>
      </c>
      <c r="S160" s="3">
        <f t="shared" si="6"/>
        <v>550</v>
      </c>
      <c r="T160" s="3">
        <f t="shared" si="7"/>
        <v>0</v>
      </c>
      <c r="U160" s="3" t="s">
        <v>60</v>
      </c>
      <c r="V160" s="14" t="s">
        <v>6</v>
      </c>
      <c r="W160" s="14" t="s">
        <v>4101</v>
      </c>
      <c r="X160" s="14" t="s">
        <v>60</v>
      </c>
    </row>
    <row r="161" spans="1:24" ht="15" x14ac:dyDescent="0.3">
      <c r="A161" s="3">
        <v>78</v>
      </c>
      <c r="B161" s="3" t="s">
        <v>4846</v>
      </c>
      <c r="C161" s="14" t="s">
        <v>0</v>
      </c>
      <c r="D161" s="14" t="s">
        <v>3894</v>
      </c>
      <c r="E161" s="14" t="s">
        <v>4847</v>
      </c>
      <c r="F161" s="14" t="s">
        <v>3905</v>
      </c>
      <c r="G161" s="14" t="s">
        <v>3</v>
      </c>
      <c r="H161" s="14" t="s">
        <v>4020</v>
      </c>
      <c r="I161" s="14" t="s">
        <v>4032</v>
      </c>
      <c r="J161" s="14" t="s">
        <v>60</v>
      </c>
      <c r="K161" s="14" t="s">
        <v>60</v>
      </c>
      <c r="L161" s="14" t="s">
        <v>60</v>
      </c>
      <c r="M161" s="14" t="s">
        <v>4044</v>
      </c>
      <c r="N161" s="14" t="s">
        <v>60</v>
      </c>
      <c r="O161" s="14" t="s">
        <v>60</v>
      </c>
      <c r="P161" s="14" t="s">
        <v>4848</v>
      </c>
      <c r="Q161" s="14" t="s">
        <v>32</v>
      </c>
      <c r="R161" s="3">
        <v>0</v>
      </c>
      <c r="S161" s="3">
        <f t="shared" si="6"/>
        <v>550</v>
      </c>
      <c r="T161" s="3">
        <f t="shared" si="7"/>
        <v>0</v>
      </c>
      <c r="U161" s="3" t="s">
        <v>60</v>
      </c>
      <c r="V161" s="14" t="s">
        <v>6</v>
      </c>
      <c r="W161" s="14" t="s">
        <v>4101</v>
      </c>
      <c r="X161" s="14" t="s">
        <v>60</v>
      </c>
    </row>
    <row r="162" spans="1:24" ht="15" x14ac:dyDescent="0.3">
      <c r="A162" s="3">
        <v>79</v>
      </c>
      <c r="B162" s="3" t="s">
        <v>4849</v>
      </c>
      <c r="C162" s="14" t="s">
        <v>0</v>
      </c>
      <c r="D162" s="14" t="s">
        <v>3895</v>
      </c>
      <c r="E162" s="14" t="s">
        <v>4850</v>
      </c>
      <c r="F162" s="14" t="s">
        <v>2969</v>
      </c>
      <c r="G162" s="14" t="s">
        <v>3</v>
      </c>
      <c r="H162" s="14" t="s">
        <v>4021</v>
      </c>
      <c r="I162" s="14" t="s">
        <v>4033</v>
      </c>
      <c r="J162" s="14" t="s">
        <v>60</v>
      </c>
      <c r="K162" s="14" t="s">
        <v>60</v>
      </c>
      <c r="L162" s="14" t="s">
        <v>60</v>
      </c>
      <c r="M162" s="14" t="s">
        <v>4045</v>
      </c>
      <c r="N162" s="14" t="s">
        <v>60</v>
      </c>
      <c r="O162" s="14" t="s">
        <v>60</v>
      </c>
      <c r="P162" s="14" t="s">
        <v>4851</v>
      </c>
      <c r="Q162" s="14" t="s">
        <v>5</v>
      </c>
      <c r="R162" s="3">
        <v>0</v>
      </c>
      <c r="S162" s="3">
        <f t="shared" si="6"/>
        <v>550</v>
      </c>
      <c r="T162" s="3">
        <f t="shared" si="7"/>
        <v>0</v>
      </c>
      <c r="U162" s="3" t="s">
        <v>60</v>
      </c>
      <c r="V162" s="14" t="s">
        <v>6</v>
      </c>
      <c r="W162" s="14" t="s">
        <v>4101</v>
      </c>
      <c r="X162" s="14" t="s">
        <v>60</v>
      </c>
    </row>
    <row r="163" spans="1:24" ht="15" x14ac:dyDescent="0.3">
      <c r="A163" s="3">
        <v>80</v>
      </c>
      <c r="B163" s="3" t="s">
        <v>4852</v>
      </c>
      <c r="C163" s="14" t="s">
        <v>0</v>
      </c>
      <c r="D163" s="14" t="s">
        <v>3896</v>
      </c>
      <c r="E163" s="14" t="s">
        <v>4853</v>
      </c>
      <c r="F163" s="14" t="s">
        <v>3906</v>
      </c>
      <c r="G163" s="14" t="s">
        <v>3</v>
      </c>
      <c r="H163" s="14" t="s">
        <v>4022</v>
      </c>
      <c r="I163" s="14" t="s">
        <v>4034</v>
      </c>
      <c r="J163" s="14" t="s">
        <v>60</v>
      </c>
      <c r="K163" s="14" t="s">
        <v>60</v>
      </c>
      <c r="L163" s="14" t="s">
        <v>60</v>
      </c>
      <c r="M163" s="14" t="s">
        <v>4046</v>
      </c>
      <c r="N163" s="14" t="s">
        <v>60</v>
      </c>
      <c r="O163" s="14" t="s">
        <v>60</v>
      </c>
      <c r="P163" s="14" t="s">
        <v>4854</v>
      </c>
      <c r="Q163" s="14" t="s">
        <v>5</v>
      </c>
      <c r="R163" s="3">
        <v>0</v>
      </c>
      <c r="S163" s="3">
        <f t="shared" si="6"/>
        <v>550</v>
      </c>
      <c r="T163" s="3">
        <f t="shared" si="7"/>
        <v>0</v>
      </c>
      <c r="U163" s="3" t="s">
        <v>4855</v>
      </c>
      <c r="V163" s="14" t="s">
        <v>6</v>
      </c>
      <c r="W163" s="14" t="s">
        <v>4101</v>
      </c>
      <c r="X163" s="14" t="s">
        <v>60</v>
      </c>
    </row>
    <row r="164" spans="1:24" ht="15" x14ac:dyDescent="0.3">
      <c r="A164" s="3">
        <v>81</v>
      </c>
      <c r="B164" s="3" t="s">
        <v>4856</v>
      </c>
      <c r="C164" s="14" t="s">
        <v>0</v>
      </c>
      <c r="D164" s="14" t="s">
        <v>3897</v>
      </c>
      <c r="E164" s="14" t="s">
        <v>4857</v>
      </c>
      <c r="F164" s="14" t="s">
        <v>3117</v>
      </c>
      <c r="G164" s="14" t="s">
        <v>3</v>
      </c>
      <c r="H164" s="14" t="s">
        <v>4023</v>
      </c>
      <c r="I164" s="14" t="s">
        <v>4035</v>
      </c>
      <c r="J164" s="14" t="s">
        <v>60</v>
      </c>
      <c r="K164" s="14" t="s">
        <v>60</v>
      </c>
      <c r="L164" s="14" t="s">
        <v>60</v>
      </c>
      <c r="M164" s="14" t="s">
        <v>4047</v>
      </c>
      <c r="N164" s="14" t="s">
        <v>60</v>
      </c>
      <c r="O164" s="14" t="s">
        <v>60</v>
      </c>
      <c r="P164" s="14" t="s">
        <v>4858</v>
      </c>
      <c r="Q164" s="14" t="s">
        <v>11</v>
      </c>
      <c r="R164" s="3">
        <v>0</v>
      </c>
      <c r="S164" s="3">
        <f t="shared" si="6"/>
        <v>550</v>
      </c>
      <c r="T164" s="3">
        <f t="shared" si="7"/>
        <v>0</v>
      </c>
      <c r="U164" s="3" t="s">
        <v>60</v>
      </c>
      <c r="V164" s="14" t="s">
        <v>6</v>
      </c>
      <c r="W164" s="14" t="s">
        <v>4101</v>
      </c>
      <c r="X164" s="14" t="s">
        <v>60</v>
      </c>
    </row>
    <row r="165" spans="1:24" ht="15" x14ac:dyDescent="0.3">
      <c r="A165" s="3">
        <v>82</v>
      </c>
      <c r="B165" s="3" t="s">
        <v>4859</v>
      </c>
      <c r="C165" s="14" t="s">
        <v>0</v>
      </c>
      <c r="D165" s="14" t="s">
        <v>3898</v>
      </c>
      <c r="E165" s="14" t="s">
        <v>4860</v>
      </c>
      <c r="F165" s="14" t="s">
        <v>3169</v>
      </c>
      <c r="G165" s="14" t="s">
        <v>3</v>
      </c>
      <c r="H165" s="14" t="s">
        <v>4024</v>
      </c>
      <c r="I165" s="14" t="s">
        <v>4036</v>
      </c>
      <c r="J165" s="14" t="s">
        <v>60</v>
      </c>
      <c r="K165" s="14" t="s">
        <v>60</v>
      </c>
      <c r="L165" s="14" t="s">
        <v>60</v>
      </c>
      <c r="M165" s="14" t="s">
        <v>4048</v>
      </c>
      <c r="N165" s="14" t="s">
        <v>60</v>
      </c>
      <c r="O165" s="14" t="s">
        <v>60</v>
      </c>
      <c r="P165" s="14" t="s">
        <v>4861</v>
      </c>
      <c r="Q165" s="14" t="s">
        <v>2905</v>
      </c>
      <c r="R165" s="3">
        <v>0</v>
      </c>
      <c r="S165" s="3">
        <f t="shared" si="6"/>
        <v>550</v>
      </c>
      <c r="T165" s="3">
        <f t="shared" si="7"/>
        <v>0</v>
      </c>
      <c r="U165" s="3" t="s">
        <v>60</v>
      </c>
      <c r="V165" s="14" t="s">
        <v>6</v>
      </c>
      <c r="W165" s="14" t="s">
        <v>4101</v>
      </c>
      <c r="X165" s="14" t="s">
        <v>60</v>
      </c>
    </row>
    <row r="166" spans="1:24" ht="15.6" x14ac:dyDescent="0.3">
      <c r="A166" s="3">
        <v>83</v>
      </c>
      <c r="B166" s="25" t="s">
        <v>4863</v>
      </c>
      <c r="C166" s="14" t="s">
        <v>0</v>
      </c>
      <c r="D166" s="14" t="s">
        <v>4106</v>
      </c>
      <c r="E166" s="14" t="s">
        <v>4864</v>
      </c>
      <c r="F166" s="14" t="s">
        <v>4865</v>
      </c>
      <c r="G166" s="14" t="s">
        <v>3</v>
      </c>
      <c r="H166" s="14" t="s">
        <v>4866</v>
      </c>
      <c r="I166" s="14" t="s">
        <v>4867</v>
      </c>
      <c r="J166" s="14" t="s">
        <v>60</v>
      </c>
      <c r="K166" s="14" t="s">
        <v>60</v>
      </c>
      <c r="L166" s="14" t="s">
        <v>60</v>
      </c>
      <c r="M166" s="14" t="s">
        <v>4868</v>
      </c>
      <c r="N166" s="14" t="s">
        <v>60</v>
      </c>
      <c r="O166" s="14" t="s">
        <v>60</v>
      </c>
      <c r="P166" s="14" t="s">
        <v>4869</v>
      </c>
      <c r="Q166" s="14" t="s">
        <v>11</v>
      </c>
      <c r="R166" s="3">
        <v>0</v>
      </c>
      <c r="S166" s="3">
        <f t="shared" si="6"/>
        <v>550</v>
      </c>
      <c r="T166" s="3">
        <f t="shared" si="7"/>
        <v>0</v>
      </c>
      <c r="U166" s="3" t="s">
        <v>60</v>
      </c>
      <c r="V166" s="14" t="s">
        <v>6</v>
      </c>
      <c r="W166" s="14" t="s">
        <v>4870</v>
      </c>
      <c r="X166" s="14" t="s">
        <v>60</v>
      </c>
    </row>
    <row r="167" spans="1:24" ht="15.6" x14ac:dyDescent="0.3">
      <c r="A167" s="3">
        <v>84</v>
      </c>
      <c r="B167" s="25" t="s">
        <v>4871</v>
      </c>
      <c r="C167" s="14" t="s">
        <v>0</v>
      </c>
      <c r="D167" s="14" t="s">
        <v>4107</v>
      </c>
      <c r="E167" s="14" t="s">
        <v>4872</v>
      </c>
      <c r="F167" s="14" t="s">
        <v>2939</v>
      </c>
      <c r="G167" s="14" t="s">
        <v>3</v>
      </c>
      <c r="H167" s="14" t="s">
        <v>4873</v>
      </c>
      <c r="I167" s="14" t="s">
        <v>4874</v>
      </c>
      <c r="J167" s="14" t="s">
        <v>60</v>
      </c>
      <c r="K167" s="14" t="s">
        <v>60</v>
      </c>
      <c r="L167" s="14" t="s">
        <v>60</v>
      </c>
      <c r="M167" s="14" t="s">
        <v>4875</v>
      </c>
      <c r="N167" s="14" t="s">
        <v>60</v>
      </c>
      <c r="O167" s="14" t="s">
        <v>60</v>
      </c>
      <c r="P167" s="14" t="s">
        <v>4876</v>
      </c>
      <c r="Q167" s="14" t="s">
        <v>11</v>
      </c>
      <c r="R167" s="3">
        <v>0</v>
      </c>
      <c r="S167" s="3">
        <f t="shared" si="6"/>
        <v>550</v>
      </c>
      <c r="T167" s="3">
        <f t="shared" si="7"/>
        <v>0</v>
      </c>
      <c r="U167" s="3" t="s">
        <v>4877</v>
      </c>
      <c r="V167" s="14" t="s">
        <v>6</v>
      </c>
      <c r="W167" s="14" t="s">
        <v>4870</v>
      </c>
      <c r="X167" s="14" t="s">
        <v>60</v>
      </c>
    </row>
    <row r="168" spans="1:24" ht="15.6" x14ac:dyDescent="0.3">
      <c r="A168" s="26" t="s">
        <v>60</v>
      </c>
      <c r="B168" s="26" t="s">
        <v>60</v>
      </c>
      <c r="C168" s="27" t="s">
        <v>60</v>
      </c>
      <c r="D168" s="27" t="s">
        <v>60</v>
      </c>
      <c r="E168" s="27" t="s">
        <v>60</v>
      </c>
      <c r="F168" s="27" t="s">
        <v>60</v>
      </c>
      <c r="G168" s="27" t="s">
        <v>60</v>
      </c>
      <c r="H168" s="27" t="s">
        <v>60</v>
      </c>
      <c r="I168" s="27" t="s">
        <v>60</v>
      </c>
      <c r="J168" s="27" t="s">
        <v>60</v>
      </c>
      <c r="K168" s="27" t="s">
        <v>60</v>
      </c>
      <c r="L168" s="27" t="s">
        <v>60</v>
      </c>
      <c r="M168" s="27" t="s">
        <v>60</v>
      </c>
      <c r="N168" s="27" t="s">
        <v>60</v>
      </c>
      <c r="O168" s="27" t="s">
        <v>60</v>
      </c>
      <c r="P168" s="27" t="s">
        <v>60</v>
      </c>
      <c r="Q168" s="27" t="s">
        <v>60</v>
      </c>
      <c r="R168" s="35" t="s">
        <v>2009</v>
      </c>
      <c r="S168" s="35" t="s">
        <v>60</v>
      </c>
      <c r="T168" s="26">
        <f>SUM(T83:T167)</f>
        <v>0</v>
      </c>
      <c r="U168" s="26" t="s">
        <v>4878</v>
      </c>
      <c r="V168" s="14"/>
      <c r="W168" s="27" t="s">
        <v>60</v>
      </c>
      <c r="X168" s="27" t="s">
        <v>60</v>
      </c>
    </row>
    <row r="169" spans="1:24" ht="15.6" x14ac:dyDescent="0.3">
      <c r="A169" s="34" t="s">
        <v>4879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spans="1:24" ht="109.2" x14ac:dyDescent="0.3">
      <c r="A170" s="23" t="s">
        <v>42</v>
      </c>
      <c r="B170" s="23" t="s">
        <v>43</v>
      </c>
      <c r="C170" s="24" t="s">
        <v>44</v>
      </c>
      <c r="D170" s="24" t="s">
        <v>4154</v>
      </c>
      <c r="E170" s="24" t="s">
        <v>4155</v>
      </c>
      <c r="F170" s="24" t="s">
        <v>4156</v>
      </c>
      <c r="G170" s="24" t="s">
        <v>45</v>
      </c>
      <c r="H170" s="24" t="s">
        <v>4157</v>
      </c>
      <c r="I170" s="24" t="s">
        <v>46</v>
      </c>
      <c r="J170" s="24" t="s">
        <v>4158</v>
      </c>
      <c r="K170" s="24" t="s">
        <v>4159</v>
      </c>
      <c r="L170" s="24" t="s">
        <v>4160</v>
      </c>
      <c r="M170" s="24" t="s">
        <v>4161</v>
      </c>
      <c r="N170" s="24" t="s">
        <v>47</v>
      </c>
      <c r="O170" s="24" t="s">
        <v>48</v>
      </c>
      <c r="P170" s="24" t="s">
        <v>49</v>
      </c>
      <c r="Q170" s="24" t="s">
        <v>50</v>
      </c>
      <c r="R170" s="23" t="s">
        <v>4162</v>
      </c>
      <c r="S170" s="23" t="s">
        <v>4163</v>
      </c>
      <c r="T170" s="23" t="s">
        <v>4164</v>
      </c>
      <c r="U170" s="23" t="s">
        <v>4165</v>
      </c>
      <c r="V170" s="24" t="s">
        <v>51</v>
      </c>
      <c r="W170" s="24" t="s">
        <v>52</v>
      </c>
      <c r="X170" s="24" t="s">
        <v>53</v>
      </c>
    </row>
    <row r="171" spans="1:24" ht="15" x14ac:dyDescent="0.3">
      <c r="A171" s="3">
        <v>1</v>
      </c>
      <c r="B171" s="3" t="s">
        <v>4880</v>
      </c>
      <c r="C171" s="14" t="s">
        <v>0</v>
      </c>
      <c r="D171" s="14" t="s">
        <v>177</v>
      </c>
      <c r="E171" s="14" t="s">
        <v>4881</v>
      </c>
      <c r="F171" s="14" t="s">
        <v>178</v>
      </c>
      <c r="G171" s="14" t="s">
        <v>3</v>
      </c>
      <c r="H171" s="14" t="s">
        <v>4882</v>
      </c>
      <c r="I171" s="14" t="s">
        <v>4883</v>
      </c>
      <c r="J171" s="14" t="s">
        <v>60</v>
      </c>
      <c r="K171" s="14" t="s">
        <v>60</v>
      </c>
      <c r="L171" s="14" t="s">
        <v>60</v>
      </c>
      <c r="M171" s="14" t="s">
        <v>60</v>
      </c>
      <c r="N171" s="14" t="s">
        <v>60</v>
      </c>
      <c r="O171" s="14" t="s">
        <v>179</v>
      </c>
      <c r="P171" s="14" t="s">
        <v>4884</v>
      </c>
      <c r="Q171" s="14" t="s">
        <v>180</v>
      </c>
      <c r="R171" s="3">
        <v>0</v>
      </c>
      <c r="S171" s="3">
        <f t="shared" ref="S171:S207" si="8">IF(RIGHT(C171,3)="MAZ",550,IF(RIGHT(C171,4)="MATE",570,IF(RIGHT(C171,7)="SKD-III",640,IF(RIGHT(C171,6)="SKD-II",770,IF(RIGHT(C171,5)="SKD-I",900,IF(RIGHT(C171,5)="CPDVR",770,""))))))</f>
        <v>550</v>
      </c>
      <c r="T171" s="3">
        <f t="shared" ref="T171:T207" si="9">R171*S171</f>
        <v>0</v>
      </c>
      <c r="U171" s="3" t="s">
        <v>60</v>
      </c>
      <c r="V171" s="14" t="s">
        <v>6</v>
      </c>
      <c r="W171" s="14" t="s">
        <v>4287</v>
      </c>
      <c r="X171" s="14" t="s">
        <v>60</v>
      </c>
    </row>
    <row r="172" spans="1:24" ht="15" x14ac:dyDescent="0.3">
      <c r="A172" s="3">
        <v>2</v>
      </c>
      <c r="B172" s="3" t="s">
        <v>4885</v>
      </c>
      <c r="C172" s="14" t="s">
        <v>0</v>
      </c>
      <c r="D172" s="14" t="s">
        <v>181</v>
      </c>
      <c r="E172" s="14" t="s">
        <v>4886</v>
      </c>
      <c r="F172" s="14" t="s">
        <v>182</v>
      </c>
      <c r="G172" s="14" t="s">
        <v>121</v>
      </c>
      <c r="H172" s="14" t="s">
        <v>4887</v>
      </c>
      <c r="I172" s="14" t="s">
        <v>183</v>
      </c>
      <c r="J172" s="14" t="s">
        <v>60</v>
      </c>
      <c r="K172" s="14" t="s">
        <v>60</v>
      </c>
      <c r="L172" s="14" t="s">
        <v>60</v>
      </c>
      <c r="M172" s="14" t="s">
        <v>60</v>
      </c>
      <c r="N172" s="14" t="s">
        <v>60</v>
      </c>
      <c r="O172" s="14" t="s">
        <v>184</v>
      </c>
      <c r="P172" s="14" t="s">
        <v>4888</v>
      </c>
      <c r="Q172" s="14" t="s">
        <v>185</v>
      </c>
      <c r="R172" s="3">
        <v>0</v>
      </c>
      <c r="S172" s="3">
        <f t="shared" si="8"/>
        <v>550</v>
      </c>
      <c r="T172" s="3">
        <f t="shared" si="9"/>
        <v>0</v>
      </c>
      <c r="U172" s="3" t="s">
        <v>60</v>
      </c>
      <c r="V172" s="14" t="s">
        <v>6</v>
      </c>
      <c r="W172" s="14" t="s">
        <v>4287</v>
      </c>
      <c r="X172" s="14" t="s">
        <v>60</v>
      </c>
    </row>
    <row r="173" spans="1:24" ht="15" x14ac:dyDescent="0.3">
      <c r="A173" s="3">
        <v>3</v>
      </c>
      <c r="B173" s="3" t="s">
        <v>4889</v>
      </c>
      <c r="C173" s="14" t="s">
        <v>0</v>
      </c>
      <c r="D173" s="14" t="s">
        <v>186</v>
      </c>
      <c r="E173" s="14" t="s">
        <v>4890</v>
      </c>
      <c r="F173" s="14" t="s">
        <v>187</v>
      </c>
      <c r="G173" s="14" t="s">
        <v>121</v>
      </c>
      <c r="H173" s="14" t="s">
        <v>4891</v>
      </c>
      <c r="I173" s="14" t="s">
        <v>188</v>
      </c>
      <c r="J173" s="14" t="s">
        <v>60</v>
      </c>
      <c r="K173" s="14" t="s">
        <v>60</v>
      </c>
      <c r="L173" s="14" t="s">
        <v>60</v>
      </c>
      <c r="M173" s="14" t="s">
        <v>60</v>
      </c>
      <c r="N173" s="14" t="s">
        <v>60</v>
      </c>
      <c r="O173" s="14" t="s">
        <v>189</v>
      </c>
      <c r="P173" s="14" t="s">
        <v>4892</v>
      </c>
      <c r="Q173" s="14" t="s">
        <v>185</v>
      </c>
      <c r="R173" s="3">
        <v>0</v>
      </c>
      <c r="S173" s="3">
        <f t="shared" si="8"/>
        <v>550</v>
      </c>
      <c r="T173" s="3">
        <f t="shared" si="9"/>
        <v>0</v>
      </c>
      <c r="U173" s="3" t="s">
        <v>60</v>
      </c>
      <c r="V173" s="14" t="s">
        <v>6</v>
      </c>
      <c r="W173" s="14" t="s">
        <v>4893</v>
      </c>
      <c r="X173" s="14" t="s">
        <v>60</v>
      </c>
    </row>
    <row r="174" spans="1:24" ht="15" x14ac:dyDescent="0.3">
      <c r="A174" s="3">
        <v>4</v>
      </c>
      <c r="B174" s="3" t="s">
        <v>4894</v>
      </c>
      <c r="C174" s="14" t="s">
        <v>0</v>
      </c>
      <c r="D174" s="14" t="s">
        <v>190</v>
      </c>
      <c r="E174" s="14" t="s">
        <v>4895</v>
      </c>
      <c r="F174" s="14" t="s">
        <v>191</v>
      </c>
      <c r="G174" s="14" t="s">
        <v>3</v>
      </c>
      <c r="H174" s="14" t="s">
        <v>4896</v>
      </c>
      <c r="I174" s="14" t="s">
        <v>4897</v>
      </c>
      <c r="J174" s="14" t="s">
        <v>60</v>
      </c>
      <c r="K174" s="14" t="s">
        <v>60</v>
      </c>
      <c r="L174" s="14" t="s">
        <v>60</v>
      </c>
      <c r="M174" s="14" t="s">
        <v>192</v>
      </c>
      <c r="N174" s="14" t="s">
        <v>60</v>
      </c>
      <c r="O174" s="14" t="s">
        <v>193</v>
      </c>
      <c r="P174" s="14" t="s">
        <v>4898</v>
      </c>
      <c r="Q174" s="14" t="s">
        <v>185</v>
      </c>
      <c r="R174" s="3">
        <v>0</v>
      </c>
      <c r="S174" s="3">
        <f t="shared" si="8"/>
        <v>550</v>
      </c>
      <c r="T174" s="3">
        <f t="shared" si="9"/>
        <v>0</v>
      </c>
      <c r="U174" s="3" t="s">
        <v>60</v>
      </c>
      <c r="V174" s="14" t="s">
        <v>6</v>
      </c>
      <c r="W174" s="14" t="s">
        <v>4287</v>
      </c>
      <c r="X174" s="14" t="s">
        <v>60</v>
      </c>
    </row>
    <row r="175" spans="1:24" ht="15" x14ac:dyDescent="0.3">
      <c r="A175" s="3">
        <v>5</v>
      </c>
      <c r="B175" s="3" t="s">
        <v>194</v>
      </c>
      <c r="C175" s="14" t="s">
        <v>0</v>
      </c>
      <c r="D175" s="14" t="s">
        <v>195</v>
      </c>
      <c r="E175" s="14" t="s">
        <v>4899</v>
      </c>
      <c r="F175" s="14" t="s">
        <v>196</v>
      </c>
      <c r="G175" s="14" t="s">
        <v>3</v>
      </c>
      <c r="H175" s="14" t="s">
        <v>4900</v>
      </c>
      <c r="I175" s="14" t="s">
        <v>4901</v>
      </c>
      <c r="J175" s="14" t="s">
        <v>60</v>
      </c>
      <c r="K175" s="14" t="s">
        <v>60</v>
      </c>
      <c r="L175" s="14" t="s">
        <v>60</v>
      </c>
      <c r="M175" s="14" t="s">
        <v>197</v>
      </c>
      <c r="N175" s="14" t="s">
        <v>60</v>
      </c>
      <c r="O175" s="14" t="s">
        <v>193</v>
      </c>
      <c r="P175" s="14" t="s">
        <v>4902</v>
      </c>
      <c r="Q175" s="14" t="s">
        <v>185</v>
      </c>
      <c r="R175" s="3">
        <v>0</v>
      </c>
      <c r="S175" s="3">
        <f t="shared" si="8"/>
        <v>550</v>
      </c>
      <c r="T175" s="3">
        <f t="shared" si="9"/>
        <v>0</v>
      </c>
      <c r="U175" s="3" t="s">
        <v>60</v>
      </c>
      <c r="V175" s="14" t="s">
        <v>6</v>
      </c>
      <c r="W175" s="14" t="s">
        <v>4287</v>
      </c>
      <c r="X175" s="14" t="s">
        <v>60</v>
      </c>
    </row>
    <row r="176" spans="1:24" ht="15" x14ac:dyDescent="0.3">
      <c r="A176" s="3">
        <v>6</v>
      </c>
      <c r="B176" s="3" t="s">
        <v>198</v>
      </c>
      <c r="C176" s="14" t="s">
        <v>0</v>
      </c>
      <c r="D176" s="14" t="s">
        <v>199</v>
      </c>
      <c r="E176" s="14" t="s">
        <v>4903</v>
      </c>
      <c r="F176" s="14" t="s">
        <v>200</v>
      </c>
      <c r="G176" s="14" t="s">
        <v>3</v>
      </c>
      <c r="H176" s="14" t="s">
        <v>4904</v>
      </c>
      <c r="I176" s="14" t="s">
        <v>4905</v>
      </c>
      <c r="J176" s="14" t="s">
        <v>60</v>
      </c>
      <c r="K176" s="14" t="s">
        <v>60</v>
      </c>
      <c r="L176" s="14" t="s">
        <v>60</v>
      </c>
      <c r="M176" s="14" t="s">
        <v>201</v>
      </c>
      <c r="N176" s="14" t="s">
        <v>60</v>
      </c>
      <c r="O176" s="14" t="s">
        <v>193</v>
      </c>
      <c r="P176" s="14" t="s">
        <v>4906</v>
      </c>
      <c r="Q176" s="14" t="s">
        <v>185</v>
      </c>
      <c r="R176" s="3">
        <v>0</v>
      </c>
      <c r="S176" s="3">
        <f t="shared" si="8"/>
        <v>550</v>
      </c>
      <c r="T176" s="3">
        <f t="shared" si="9"/>
        <v>0</v>
      </c>
      <c r="U176" s="3" t="s">
        <v>60</v>
      </c>
      <c r="V176" s="14" t="s">
        <v>6</v>
      </c>
      <c r="W176" s="14" t="s">
        <v>4287</v>
      </c>
      <c r="X176" s="14" t="s">
        <v>60</v>
      </c>
    </row>
    <row r="177" spans="1:24" ht="15" x14ac:dyDescent="0.3">
      <c r="A177" s="3">
        <v>7</v>
      </c>
      <c r="B177" s="3" t="s">
        <v>202</v>
      </c>
      <c r="C177" s="14" t="s">
        <v>0</v>
      </c>
      <c r="D177" s="14" t="s">
        <v>203</v>
      </c>
      <c r="E177" s="14" t="s">
        <v>4907</v>
      </c>
      <c r="F177" s="14" t="s">
        <v>204</v>
      </c>
      <c r="G177" s="14" t="s">
        <v>3</v>
      </c>
      <c r="H177" s="14" t="s">
        <v>4908</v>
      </c>
      <c r="I177" s="14" t="s">
        <v>4909</v>
      </c>
      <c r="J177" s="14" t="s">
        <v>60</v>
      </c>
      <c r="K177" s="14" t="s">
        <v>60</v>
      </c>
      <c r="L177" s="14" t="s">
        <v>60</v>
      </c>
      <c r="M177" s="14" t="s">
        <v>205</v>
      </c>
      <c r="N177" s="14" t="s">
        <v>60</v>
      </c>
      <c r="O177" s="14" t="s">
        <v>193</v>
      </c>
      <c r="P177" s="14" t="s">
        <v>4910</v>
      </c>
      <c r="Q177" s="14" t="s">
        <v>185</v>
      </c>
      <c r="R177" s="3">
        <v>0</v>
      </c>
      <c r="S177" s="3">
        <f t="shared" si="8"/>
        <v>550</v>
      </c>
      <c r="T177" s="3">
        <f t="shared" si="9"/>
        <v>0</v>
      </c>
      <c r="U177" s="3" t="s">
        <v>60</v>
      </c>
      <c r="V177" s="14" t="s">
        <v>6</v>
      </c>
      <c r="W177" s="14" t="s">
        <v>4287</v>
      </c>
      <c r="X177" s="14" t="s">
        <v>60</v>
      </c>
    </row>
    <row r="178" spans="1:24" ht="15" x14ac:dyDescent="0.3">
      <c r="A178" s="3">
        <v>8</v>
      </c>
      <c r="B178" s="3" t="s">
        <v>206</v>
      </c>
      <c r="C178" s="14" t="s">
        <v>0</v>
      </c>
      <c r="D178" s="14" t="s">
        <v>207</v>
      </c>
      <c r="E178" s="14" t="s">
        <v>4644</v>
      </c>
      <c r="F178" s="14" t="s">
        <v>208</v>
      </c>
      <c r="G178" s="14" t="s">
        <v>3</v>
      </c>
      <c r="H178" s="14" t="s">
        <v>4911</v>
      </c>
      <c r="I178" s="14" t="s">
        <v>209</v>
      </c>
      <c r="J178" s="14" t="s">
        <v>60</v>
      </c>
      <c r="K178" s="14" t="s">
        <v>60</v>
      </c>
      <c r="L178" s="14" t="s">
        <v>60</v>
      </c>
      <c r="M178" s="14" t="s">
        <v>4912</v>
      </c>
      <c r="N178" s="14" t="s">
        <v>60</v>
      </c>
      <c r="O178" s="14" t="s">
        <v>193</v>
      </c>
      <c r="P178" s="14" t="s">
        <v>4913</v>
      </c>
      <c r="Q178" s="14" t="s">
        <v>185</v>
      </c>
      <c r="R178" s="3">
        <v>0</v>
      </c>
      <c r="S178" s="3">
        <f t="shared" si="8"/>
        <v>550</v>
      </c>
      <c r="T178" s="3">
        <f t="shared" si="9"/>
        <v>0</v>
      </c>
      <c r="U178" s="3" t="s">
        <v>60</v>
      </c>
      <c r="V178" s="14" t="s">
        <v>6</v>
      </c>
      <c r="W178" s="14" t="s">
        <v>4287</v>
      </c>
      <c r="X178" s="14" t="s">
        <v>60</v>
      </c>
    </row>
    <row r="179" spans="1:24" ht="15" x14ac:dyDescent="0.3">
      <c r="A179" s="3">
        <v>9</v>
      </c>
      <c r="B179" s="3" t="s">
        <v>210</v>
      </c>
      <c r="C179" s="14" t="s">
        <v>0</v>
      </c>
      <c r="D179" s="14" t="s">
        <v>211</v>
      </c>
      <c r="E179" s="14" t="s">
        <v>4914</v>
      </c>
      <c r="F179" s="14" t="s">
        <v>212</v>
      </c>
      <c r="G179" s="14" t="s">
        <v>3</v>
      </c>
      <c r="H179" s="14" t="s">
        <v>4915</v>
      </c>
      <c r="I179" s="14" t="s">
        <v>4916</v>
      </c>
      <c r="J179" s="14" t="s">
        <v>60</v>
      </c>
      <c r="K179" s="14" t="s">
        <v>60</v>
      </c>
      <c r="L179" s="14" t="s">
        <v>60</v>
      </c>
      <c r="M179" s="14" t="s">
        <v>60</v>
      </c>
      <c r="N179" s="14" t="s">
        <v>60</v>
      </c>
      <c r="O179" s="14" t="s">
        <v>193</v>
      </c>
      <c r="P179" s="14" t="s">
        <v>4917</v>
      </c>
      <c r="Q179" s="14" t="s">
        <v>213</v>
      </c>
      <c r="R179" s="3">
        <v>0</v>
      </c>
      <c r="S179" s="3">
        <f t="shared" si="8"/>
        <v>550</v>
      </c>
      <c r="T179" s="3">
        <f t="shared" si="9"/>
        <v>0</v>
      </c>
      <c r="U179" s="3" t="s">
        <v>60</v>
      </c>
      <c r="V179" s="14" t="s">
        <v>6</v>
      </c>
      <c r="W179" s="14" t="s">
        <v>4287</v>
      </c>
      <c r="X179" s="14" t="s">
        <v>60</v>
      </c>
    </row>
    <row r="180" spans="1:24" ht="15" x14ac:dyDescent="0.3">
      <c r="A180" s="3">
        <v>10</v>
      </c>
      <c r="B180" s="3" t="s">
        <v>214</v>
      </c>
      <c r="C180" s="14" t="s">
        <v>0</v>
      </c>
      <c r="D180" s="14" t="s">
        <v>215</v>
      </c>
      <c r="E180" s="14" t="s">
        <v>4918</v>
      </c>
      <c r="F180" s="14" t="s">
        <v>216</v>
      </c>
      <c r="G180" s="14" t="s">
        <v>3</v>
      </c>
      <c r="H180" s="14" t="s">
        <v>4919</v>
      </c>
      <c r="I180" s="14" t="s">
        <v>4920</v>
      </c>
      <c r="J180" s="14" t="s">
        <v>60</v>
      </c>
      <c r="K180" s="14" t="s">
        <v>60</v>
      </c>
      <c r="L180" s="14" t="s">
        <v>60</v>
      </c>
      <c r="M180" s="14" t="s">
        <v>217</v>
      </c>
      <c r="N180" s="14" t="s">
        <v>60</v>
      </c>
      <c r="O180" s="14" t="s">
        <v>179</v>
      </c>
      <c r="P180" s="14" t="s">
        <v>4921</v>
      </c>
      <c r="Q180" s="14" t="s">
        <v>218</v>
      </c>
      <c r="R180" s="3">
        <v>0</v>
      </c>
      <c r="S180" s="3">
        <f t="shared" si="8"/>
        <v>550</v>
      </c>
      <c r="T180" s="3">
        <f t="shared" si="9"/>
        <v>0</v>
      </c>
      <c r="U180" s="3" t="s">
        <v>60</v>
      </c>
      <c r="V180" s="14" t="s">
        <v>6</v>
      </c>
      <c r="W180" s="14" t="s">
        <v>4287</v>
      </c>
      <c r="X180" s="14" t="s">
        <v>60</v>
      </c>
    </row>
    <row r="181" spans="1:24" ht="15" x14ac:dyDescent="0.3">
      <c r="A181" s="3">
        <v>11</v>
      </c>
      <c r="B181" s="3" t="s">
        <v>4922</v>
      </c>
      <c r="C181" s="14" t="s">
        <v>0</v>
      </c>
      <c r="D181" s="14" t="s">
        <v>219</v>
      </c>
      <c r="E181" s="14" t="s">
        <v>4923</v>
      </c>
      <c r="F181" s="14" t="s">
        <v>220</v>
      </c>
      <c r="G181" s="14" t="s">
        <v>3</v>
      </c>
      <c r="H181" s="14" t="s">
        <v>4924</v>
      </c>
      <c r="I181" s="14" t="s">
        <v>4925</v>
      </c>
      <c r="J181" s="14" t="s">
        <v>60</v>
      </c>
      <c r="K181" s="14" t="s">
        <v>60</v>
      </c>
      <c r="L181" s="14" t="s">
        <v>60</v>
      </c>
      <c r="M181" s="14" t="s">
        <v>60</v>
      </c>
      <c r="N181" s="14" t="s">
        <v>60</v>
      </c>
      <c r="O181" s="14" t="s">
        <v>193</v>
      </c>
      <c r="P181" s="14" t="s">
        <v>4926</v>
      </c>
      <c r="Q181" s="14" t="s">
        <v>185</v>
      </c>
      <c r="R181" s="3">
        <v>0</v>
      </c>
      <c r="S181" s="3">
        <f t="shared" si="8"/>
        <v>550</v>
      </c>
      <c r="T181" s="3">
        <f t="shared" si="9"/>
        <v>0</v>
      </c>
      <c r="U181" s="3" t="s">
        <v>60</v>
      </c>
      <c r="V181" s="14" t="s">
        <v>6</v>
      </c>
      <c r="W181" s="14" t="s">
        <v>4287</v>
      </c>
      <c r="X181" s="14" t="s">
        <v>60</v>
      </c>
    </row>
    <row r="182" spans="1:24" ht="15" x14ac:dyDescent="0.3">
      <c r="A182" s="3">
        <v>12</v>
      </c>
      <c r="B182" s="3" t="s">
        <v>4927</v>
      </c>
      <c r="C182" s="14" t="s">
        <v>0</v>
      </c>
      <c r="D182" s="14" t="s">
        <v>221</v>
      </c>
      <c r="E182" s="14" t="s">
        <v>4928</v>
      </c>
      <c r="F182" s="14" t="s">
        <v>222</v>
      </c>
      <c r="G182" s="14" t="s">
        <v>3</v>
      </c>
      <c r="H182" s="14" t="s">
        <v>4929</v>
      </c>
      <c r="I182" s="14" t="s">
        <v>223</v>
      </c>
      <c r="J182" s="14" t="s">
        <v>60</v>
      </c>
      <c r="K182" s="14" t="s">
        <v>60</v>
      </c>
      <c r="L182" s="14" t="s">
        <v>60</v>
      </c>
      <c r="M182" s="14" t="s">
        <v>60</v>
      </c>
      <c r="N182" s="14" t="s">
        <v>60</v>
      </c>
      <c r="O182" s="14" t="s">
        <v>224</v>
      </c>
      <c r="P182" s="14" t="s">
        <v>4930</v>
      </c>
      <c r="Q182" s="14" t="s">
        <v>11</v>
      </c>
      <c r="R182" s="3">
        <v>0</v>
      </c>
      <c r="S182" s="3">
        <f t="shared" si="8"/>
        <v>550</v>
      </c>
      <c r="T182" s="3">
        <f t="shared" si="9"/>
        <v>0</v>
      </c>
      <c r="U182" s="3" t="s">
        <v>60</v>
      </c>
      <c r="V182" s="14" t="s">
        <v>6</v>
      </c>
      <c r="W182" s="14" t="s">
        <v>4931</v>
      </c>
      <c r="X182" s="14" t="s">
        <v>60</v>
      </c>
    </row>
    <row r="183" spans="1:24" ht="15" x14ac:dyDescent="0.3">
      <c r="A183" s="3">
        <v>13</v>
      </c>
      <c r="B183" s="3" t="s">
        <v>4932</v>
      </c>
      <c r="C183" s="14" t="s">
        <v>0</v>
      </c>
      <c r="D183" s="14" t="s">
        <v>225</v>
      </c>
      <c r="E183" s="14" t="s">
        <v>4205</v>
      </c>
      <c r="F183" s="14" t="s">
        <v>226</v>
      </c>
      <c r="G183" s="14" t="s">
        <v>3</v>
      </c>
      <c r="H183" s="14" t="s">
        <v>4933</v>
      </c>
      <c r="I183" s="14" t="s">
        <v>227</v>
      </c>
      <c r="J183" s="14" t="s">
        <v>228</v>
      </c>
      <c r="K183" s="14" t="s">
        <v>60</v>
      </c>
      <c r="L183" s="14" t="s">
        <v>60</v>
      </c>
      <c r="M183" s="14" t="s">
        <v>229</v>
      </c>
      <c r="N183" s="14" t="s">
        <v>60</v>
      </c>
      <c r="O183" s="14" t="s">
        <v>193</v>
      </c>
      <c r="P183" s="14" t="s">
        <v>4934</v>
      </c>
      <c r="Q183" s="14" t="s">
        <v>11</v>
      </c>
      <c r="R183" s="3">
        <v>0</v>
      </c>
      <c r="S183" s="3">
        <f t="shared" si="8"/>
        <v>550</v>
      </c>
      <c r="T183" s="3">
        <f t="shared" si="9"/>
        <v>0</v>
      </c>
      <c r="U183" s="3" t="s">
        <v>60</v>
      </c>
      <c r="V183" s="14" t="s">
        <v>6</v>
      </c>
      <c r="W183" s="14" t="s">
        <v>4287</v>
      </c>
      <c r="X183" s="14" t="s">
        <v>60</v>
      </c>
    </row>
    <row r="184" spans="1:24" ht="15" x14ac:dyDescent="0.3">
      <c r="A184" s="3">
        <v>14</v>
      </c>
      <c r="B184" s="3" t="s">
        <v>4935</v>
      </c>
      <c r="C184" s="14" t="s">
        <v>0</v>
      </c>
      <c r="D184" s="14" t="s">
        <v>230</v>
      </c>
      <c r="E184" s="14" t="s">
        <v>4936</v>
      </c>
      <c r="F184" s="14" t="s">
        <v>231</v>
      </c>
      <c r="G184" s="14" t="s">
        <v>3</v>
      </c>
      <c r="H184" s="14" t="s">
        <v>4937</v>
      </c>
      <c r="I184" s="14" t="s">
        <v>232</v>
      </c>
      <c r="J184" s="14" t="s">
        <v>60</v>
      </c>
      <c r="K184" s="14" t="s">
        <v>60</v>
      </c>
      <c r="L184" s="14" t="s">
        <v>60</v>
      </c>
      <c r="M184" s="14" t="s">
        <v>233</v>
      </c>
      <c r="N184" s="14" t="s">
        <v>60</v>
      </c>
      <c r="O184" s="14" t="s">
        <v>4938</v>
      </c>
      <c r="P184" s="14" t="s">
        <v>4939</v>
      </c>
      <c r="Q184" s="14" t="s">
        <v>11</v>
      </c>
      <c r="R184" s="3">
        <v>0</v>
      </c>
      <c r="S184" s="3">
        <f t="shared" si="8"/>
        <v>550</v>
      </c>
      <c r="T184" s="3">
        <f t="shared" si="9"/>
        <v>0</v>
      </c>
      <c r="U184" s="3" t="s">
        <v>60</v>
      </c>
      <c r="V184" s="14" t="s">
        <v>6</v>
      </c>
      <c r="W184" s="14" t="s">
        <v>4557</v>
      </c>
      <c r="X184" s="14" t="s">
        <v>60</v>
      </c>
    </row>
    <row r="185" spans="1:24" ht="15" x14ac:dyDescent="0.3">
      <c r="A185" s="3">
        <v>15</v>
      </c>
      <c r="B185" s="3" t="s">
        <v>4940</v>
      </c>
      <c r="C185" s="14" t="s">
        <v>0</v>
      </c>
      <c r="D185" s="14" t="s">
        <v>350</v>
      </c>
      <c r="E185" s="14" t="s">
        <v>4941</v>
      </c>
      <c r="F185" s="14" t="s">
        <v>351</v>
      </c>
      <c r="G185" s="14" t="s">
        <v>3</v>
      </c>
      <c r="H185" s="14" t="s">
        <v>4942</v>
      </c>
      <c r="I185" s="14" t="s">
        <v>352</v>
      </c>
      <c r="J185" s="14" t="s">
        <v>60</v>
      </c>
      <c r="K185" s="14" t="s">
        <v>60</v>
      </c>
      <c r="L185" s="14" t="s">
        <v>60</v>
      </c>
      <c r="M185" s="14" t="s">
        <v>353</v>
      </c>
      <c r="N185" s="14" t="s">
        <v>60</v>
      </c>
      <c r="O185" s="14" t="s">
        <v>60</v>
      </c>
      <c r="P185" s="14" t="s">
        <v>4943</v>
      </c>
      <c r="Q185" s="14" t="s">
        <v>11</v>
      </c>
      <c r="R185" s="3">
        <v>0</v>
      </c>
      <c r="S185" s="3">
        <f t="shared" si="8"/>
        <v>550</v>
      </c>
      <c r="T185" s="3">
        <f t="shared" si="9"/>
        <v>0</v>
      </c>
      <c r="U185" s="3" t="s">
        <v>60</v>
      </c>
      <c r="V185" s="14" t="s">
        <v>6</v>
      </c>
      <c r="W185" s="14" t="s">
        <v>4944</v>
      </c>
      <c r="X185" s="14" t="s">
        <v>60</v>
      </c>
    </row>
    <row r="186" spans="1:24" ht="15" x14ac:dyDescent="0.3">
      <c r="A186" s="3">
        <v>16</v>
      </c>
      <c r="B186" s="3" t="s">
        <v>4945</v>
      </c>
      <c r="C186" s="14" t="s">
        <v>3532</v>
      </c>
      <c r="D186" s="14" t="s">
        <v>236</v>
      </c>
      <c r="E186" s="14" t="s">
        <v>4946</v>
      </c>
      <c r="F186" s="14" t="s">
        <v>237</v>
      </c>
      <c r="G186" s="14" t="s">
        <v>3</v>
      </c>
      <c r="H186" s="14" t="s">
        <v>238</v>
      </c>
      <c r="I186" s="14" t="s">
        <v>4947</v>
      </c>
      <c r="J186" s="14" t="s">
        <v>60</v>
      </c>
      <c r="K186" s="14" t="s">
        <v>60</v>
      </c>
      <c r="L186" s="14" t="s">
        <v>60</v>
      </c>
      <c r="M186" s="14" t="s">
        <v>239</v>
      </c>
      <c r="N186" s="14" t="s">
        <v>60</v>
      </c>
      <c r="O186" s="14" t="s">
        <v>193</v>
      </c>
      <c r="P186" s="14" t="s">
        <v>4948</v>
      </c>
      <c r="Q186" s="14" t="s">
        <v>185</v>
      </c>
      <c r="R186" s="3">
        <v>0</v>
      </c>
      <c r="S186" s="3">
        <f t="shared" si="8"/>
        <v>640</v>
      </c>
      <c r="T186" s="3">
        <f t="shared" si="9"/>
        <v>0</v>
      </c>
      <c r="U186" s="3" t="s">
        <v>60</v>
      </c>
      <c r="V186" s="14" t="s">
        <v>6</v>
      </c>
      <c r="W186" s="14" t="s">
        <v>4287</v>
      </c>
      <c r="X186" s="14" t="s">
        <v>60</v>
      </c>
    </row>
    <row r="187" spans="1:24" ht="15" x14ac:dyDescent="0.3">
      <c r="A187" s="3">
        <v>17</v>
      </c>
      <c r="B187" s="3" t="s">
        <v>4949</v>
      </c>
      <c r="C187" s="14" t="s">
        <v>0</v>
      </c>
      <c r="D187" s="14" t="s">
        <v>247</v>
      </c>
      <c r="E187" s="14" t="s">
        <v>4950</v>
      </c>
      <c r="F187" s="14" t="s">
        <v>248</v>
      </c>
      <c r="G187" s="14" t="s">
        <v>121</v>
      </c>
      <c r="H187" s="14" t="s">
        <v>4951</v>
      </c>
      <c r="I187" s="14" t="s">
        <v>249</v>
      </c>
      <c r="J187" s="14" t="s">
        <v>60</v>
      </c>
      <c r="K187" s="14" t="s">
        <v>60</v>
      </c>
      <c r="L187" s="14" t="s">
        <v>60</v>
      </c>
      <c r="M187" s="14" t="s">
        <v>60</v>
      </c>
      <c r="N187" s="14" t="s">
        <v>60</v>
      </c>
      <c r="O187" s="14" t="s">
        <v>86</v>
      </c>
      <c r="P187" s="14" t="s">
        <v>4952</v>
      </c>
      <c r="Q187" s="14" t="s">
        <v>185</v>
      </c>
      <c r="R187" s="3">
        <v>0</v>
      </c>
      <c r="S187" s="3">
        <f t="shared" si="8"/>
        <v>550</v>
      </c>
      <c r="T187" s="3">
        <f t="shared" si="9"/>
        <v>0</v>
      </c>
      <c r="U187" s="3" t="s">
        <v>60</v>
      </c>
      <c r="V187" s="14" t="s">
        <v>6</v>
      </c>
      <c r="W187" s="14" t="s">
        <v>4953</v>
      </c>
      <c r="X187" s="14" t="s">
        <v>60</v>
      </c>
    </row>
    <row r="188" spans="1:24" ht="15" x14ac:dyDescent="0.3">
      <c r="A188" s="3">
        <v>18</v>
      </c>
      <c r="B188" s="3" t="s">
        <v>4954</v>
      </c>
      <c r="C188" s="14" t="s">
        <v>0</v>
      </c>
      <c r="D188" s="14" t="s">
        <v>250</v>
      </c>
      <c r="E188" s="14" t="s">
        <v>4778</v>
      </c>
      <c r="F188" s="14" t="s">
        <v>251</v>
      </c>
      <c r="G188" s="14" t="s">
        <v>3</v>
      </c>
      <c r="H188" s="14" t="s">
        <v>4955</v>
      </c>
      <c r="I188" s="14" t="s">
        <v>252</v>
      </c>
      <c r="J188" s="14" t="s">
        <v>60</v>
      </c>
      <c r="K188" s="14" t="s">
        <v>60</v>
      </c>
      <c r="L188" s="14" t="s">
        <v>60</v>
      </c>
      <c r="M188" s="14" t="s">
        <v>253</v>
      </c>
      <c r="N188" s="14" t="s">
        <v>60</v>
      </c>
      <c r="O188" s="14" t="s">
        <v>60</v>
      </c>
      <c r="P188" s="14" t="s">
        <v>4956</v>
      </c>
      <c r="Q188" s="14" t="s">
        <v>11</v>
      </c>
      <c r="R188" s="3">
        <v>0</v>
      </c>
      <c r="S188" s="3">
        <f t="shared" si="8"/>
        <v>550</v>
      </c>
      <c r="T188" s="3">
        <f t="shared" si="9"/>
        <v>0</v>
      </c>
      <c r="U188" s="3" t="s">
        <v>60</v>
      </c>
      <c r="V188" s="14" t="s">
        <v>4957</v>
      </c>
      <c r="W188" s="14" t="s">
        <v>4958</v>
      </c>
      <c r="X188" s="14" t="s">
        <v>60</v>
      </c>
    </row>
    <row r="189" spans="1:24" ht="15" x14ac:dyDescent="0.3">
      <c r="A189" s="3">
        <v>19</v>
      </c>
      <c r="B189" s="3" t="s">
        <v>4959</v>
      </c>
      <c r="C189" s="14" t="s">
        <v>0</v>
      </c>
      <c r="D189" s="14" t="s">
        <v>258</v>
      </c>
      <c r="E189" s="14" t="s">
        <v>4960</v>
      </c>
      <c r="F189" s="14" t="s">
        <v>259</v>
      </c>
      <c r="G189" s="14" t="s">
        <v>121</v>
      </c>
      <c r="H189" s="14" t="s">
        <v>4961</v>
      </c>
      <c r="I189" s="14" t="s">
        <v>260</v>
      </c>
      <c r="J189" s="14" t="s">
        <v>60</v>
      </c>
      <c r="K189" s="14" t="s">
        <v>60</v>
      </c>
      <c r="L189" s="14" t="s">
        <v>60</v>
      </c>
      <c r="M189" s="14" t="s">
        <v>60</v>
      </c>
      <c r="N189" s="14" t="s">
        <v>60</v>
      </c>
      <c r="O189" s="14" t="s">
        <v>261</v>
      </c>
      <c r="P189" s="14" t="s">
        <v>4962</v>
      </c>
      <c r="Q189" s="14" t="s">
        <v>11</v>
      </c>
      <c r="R189" s="3">
        <v>0</v>
      </c>
      <c r="S189" s="3">
        <f t="shared" si="8"/>
        <v>550</v>
      </c>
      <c r="T189" s="3">
        <f t="shared" si="9"/>
        <v>0</v>
      </c>
      <c r="U189" s="3" t="s">
        <v>60</v>
      </c>
      <c r="V189" s="14" t="s">
        <v>4301</v>
      </c>
      <c r="W189" s="14" t="s">
        <v>4813</v>
      </c>
      <c r="X189" s="14" t="s">
        <v>60</v>
      </c>
    </row>
    <row r="190" spans="1:24" ht="15" x14ac:dyDescent="0.3">
      <c r="A190" s="3">
        <v>20</v>
      </c>
      <c r="B190" s="3" t="s">
        <v>4963</v>
      </c>
      <c r="C190" s="14" t="s">
        <v>0</v>
      </c>
      <c r="D190" s="14" t="s">
        <v>262</v>
      </c>
      <c r="E190" s="14" t="s">
        <v>4964</v>
      </c>
      <c r="F190" s="14" t="s">
        <v>263</v>
      </c>
      <c r="G190" s="14" t="s">
        <v>3</v>
      </c>
      <c r="H190" s="14" t="s">
        <v>4965</v>
      </c>
      <c r="I190" s="14" t="s">
        <v>264</v>
      </c>
      <c r="J190" s="14" t="s">
        <v>60</v>
      </c>
      <c r="K190" s="14" t="s">
        <v>60</v>
      </c>
      <c r="L190" s="14" t="s">
        <v>60</v>
      </c>
      <c r="M190" s="14" t="s">
        <v>60</v>
      </c>
      <c r="N190" s="14" t="s">
        <v>60</v>
      </c>
      <c r="O190" s="14" t="s">
        <v>114</v>
      </c>
      <c r="P190" s="14" t="s">
        <v>4966</v>
      </c>
      <c r="Q190" s="14" t="s">
        <v>11</v>
      </c>
      <c r="R190" s="3">
        <v>0</v>
      </c>
      <c r="S190" s="3">
        <f t="shared" si="8"/>
        <v>550</v>
      </c>
      <c r="T190" s="3">
        <f t="shared" si="9"/>
        <v>0</v>
      </c>
      <c r="U190" s="3" t="s">
        <v>4967</v>
      </c>
      <c r="V190" s="14" t="s">
        <v>6</v>
      </c>
      <c r="W190" s="14" t="s">
        <v>4968</v>
      </c>
      <c r="X190" s="14" t="s">
        <v>60</v>
      </c>
    </row>
    <row r="191" spans="1:24" ht="15" x14ac:dyDescent="0.3">
      <c r="A191" s="3">
        <v>21</v>
      </c>
      <c r="B191" s="3" t="s">
        <v>4969</v>
      </c>
      <c r="C191" s="14" t="s">
        <v>0</v>
      </c>
      <c r="D191" s="14" t="s">
        <v>265</v>
      </c>
      <c r="E191" s="14" t="s">
        <v>4970</v>
      </c>
      <c r="F191" s="14" t="s">
        <v>266</v>
      </c>
      <c r="G191" s="14" t="s">
        <v>3</v>
      </c>
      <c r="H191" s="14" t="s">
        <v>4971</v>
      </c>
      <c r="I191" s="14" t="s">
        <v>267</v>
      </c>
      <c r="J191" s="14" t="s">
        <v>60</v>
      </c>
      <c r="K191" s="14" t="s">
        <v>60</v>
      </c>
      <c r="L191" s="14" t="s">
        <v>60</v>
      </c>
      <c r="M191" s="14" t="s">
        <v>60</v>
      </c>
      <c r="N191" s="14" t="s">
        <v>60</v>
      </c>
      <c r="O191" s="14" t="s">
        <v>114</v>
      </c>
      <c r="P191" s="14" t="s">
        <v>4972</v>
      </c>
      <c r="Q191" s="14" t="s">
        <v>11</v>
      </c>
      <c r="R191" s="3">
        <v>0</v>
      </c>
      <c r="S191" s="3">
        <f t="shared" si="8"/>
        <v>550</v>
      </c>
      <c r="T191" s="3">
        <f t="shared" si="9"/>
        <v>0</v>
      </c>
      <c r="U191" s="3" t="s">
        <v>60</v>
      </c>
      <c r="V191" s="14" t="s">
        <v>6</v>
      </c>
      <c r="W191" s="14" t="s">
        <v>4968</v>
      </c>
      <c r="X191" s="14" t="s">
        <v>60</v>
      </c>
    </row>
    <row r="192" spans="1:24" ht="15" x14ac:dyDescent="0.3">
      <c r="A192" s="3">
        <v>22</v>
      </c>
      <c r="B192" s="3" t="s">
        <v>4973</v>
      </c>
      <c r="C192" s="14" t="s">
        <v>0</v>
      </c>
      <c r="D192" s="14" t="s">
        <v>268</v>
      </c>
      <c r="E192" s="14" t="s">
        <v>4974</v>
      </c>
      <c r="F192" s="14" t="s">
        <v>269</v>
      </c>
      <c r="G192" s="14" t="s">
        <v>3</v>
      </c>
      <c r="H192" s="14" t="s">
        <v>4975</v>
      </c>
      <c r="I192" s="14" t="s">
        <v>270</v>
      </c>
      <c r="J192" s="14" t="s">
        <v>60</v>
      </c>
      <c r="K192" s="14" t="s">
        <v>60</v>
      </c>
      <c r="L192" s="14" t="s">
        <v>60</v>
      </c>
      <c r="M192" s="14" t="s">
        <v>60</v>
      </c>
      <c r="N192" s="14" t="s">
        <v>60</v>
      </c>
      <c r="O192" s="14" t="s">
        <v>114</v>
      </c>
      <c r="P192" s="14" t="s">
        <v>4976</v>
      </c>
      <c r="Q192" s="14" t="s">
        <v>11</v>
      </c>
      <c r="R192" s="3">
        <v>0</v>
      </c>
      <c r="S192" s="3">
        <f t="shared" si="8"/>
        <v>550</v>
      </c>
      <c r="T192" s="3">
        <f t="shared" si="9"/>
        <v>0</v>
      </c>
      <c r="U192" s="3" t="s">
        <v>60</v>
      </c>
      <c r="V192" s="14" t="s">
        <v>6</v>
      </c>
      <c r="W192" s="14" t="s">
        <v>4968</v>
      </c>
      <c r="X192" s="14" t="s">
        <v>60</v>
      </c>
    </row>
    <row r="193" spans="1:24" ht="15" x14ac:dyDescent="0.3">
      <c r="A193" s="3">
        <v>23</v>
      </c>
      <c r="B193" s="3" t="s">
        <v>4977</v>
      </c>
      <c r="C193" s="14" t="s">
        <v>0</v>
      </c>
      <c r="D193" s="14" t="s">
        <v>271</v>
      </c>
      <c r="E193" s="14" t="s">
        <v>4815</v>
      </c>
      <c r="F193" s="14" t="s">
        <v>272</v>
      </c>
      <c r="G193" s="14" t="s">
        <v>3</v>
      </c>
      <c r="H193" s="14" t="s">
        <v>4978</v>
      </c>
      <c r="I193" s="14" t="s">
        <v>273</v>
      </c>
      <c r="J193" s="14" t="s">
        <v>60</v>
      </c>
      <c r="K193" s="14" t="s">
        <v>60</v>
      </c>
      <c r="L193" s="14" t="s">
        <v>60</v>
      </c>
      <c r="M193" s="14" t="s">
        <v>60</v>
      </c>
      <c r="N193" s="14" t="s">
        <v>60</v>
      </c>
      <c r="O193" s="14" t="s">
        <v>274</v>
      </c>
      <c r="P193" s="14" t="s">
        <v>4979</v>
      </c>
      <c r="Q193" s="14" t="s">
        <v>11</v>
      </c>
      <c r="R193" s="3">
        <v>0</v>
      </c>
      <c r="S193" s="3">
        <f t="shared" si="8"/>
        <v>550</v>
      </c>
      <c r="T193" s="3">
        <f t="shared" si="9"/>
        <v>0</v>
      </c>
      <c r="U193" s="3" t="s">
        <v>60</v>
      </c>
      <c r="V193" s="14" t="s">
        <v>6</v>
      </c>
      <c r="W193" s="14" t="s">
        <v>4980</v>
      </c>
      <c r="X193" s="14" t="s">
        <v>60</v>
      </c>
    </row>
    <row r="194" spans="1:24" ht="15" x14ac:dyDescent="0.3">
      <c r="A194" s="3">
        <v>24</v>
      </c>
      <c r="B194" s="3" t="s">
        <v>4981</v>
      </c>
      <c r="C194" s="14" t="s">
        <v>0</v>
      </c>
      <c r="D194" s="14" t="s">
        <v>279</v>
      </c>
      <c r="E194" s="14" t="s">
        <v>4982</v>
      </c>
      <c r="F194" s="14" t="s">
        <v>280</v>
      </c>
      <c r="G194" s="14" t="s">
        <v>121</v>
      </c>
      <c r="H194" s="14" t="s">
        <v>4983</v>
      </c>
      <c r="I194" s="14" t="s">
        <v>281</v>
      </c>
      <c r="J194" s="14" t="s">
        <v>60</v>
      </c>
      <c r="K194" s="14" t="s">
        <v>60</v>
      </c>
      <c r="L194" s="14" t="s">
        <v>60</v>
      </c>
      <c r="M194" s="14" t="s">
        <v>60</v>
      </c>
      <c r="N194" s="14" t="s">
        <v>60</v>
      </c>
      <c r="O194" s="14" t="s">
        <v>25</v>
      </c>
      <c r="P194" s="14" t="s">
        <v>4984</v>
      </c>
      <c r="Q194" s="14" t="s">
        <v>11</v>
      </c>
      <c r="R194" s="3">
        <v>0</v>
      </c>
      <c r="S194" s="3">
        <f t="shared" si="8"/>
        <v>550</v>
      </c>
      <c r="T194" s="3">
        <f t="shared" si="9"/>
        <v>0</v>
      </c>
      <c r="U194" s="3" t="s">
        <v>60</v>
      </c>
      <c r="V194" s="14" t="s">
        <v>6</v>
      </c>
      <c r="W194" s="14" t="s">
        <v>4985</v>
      </c>
      <c r="X194" s="14" t="s">
        <v>60</v>
      </c>
    </row>
    <row r="195" spans="1:24" ht="15" x14ac:dyDescent="0.3">
      <c r="A195" s="3">
        <v>25</v>
      </c>
      <c r="B195" s="3" t="s">
        <v>4986</v>
      </c>
      <c r="C195" s="14" t="s">
        <v>0</v>
      </c>
      <c r="D195" s="14" t="s">
        <v>286</v>
      </c>
      <c r="E195" s="14" t="s">
        <v>4304</v>
      </c>
      <c r="F195" s="14" t="s">
        <v>234</v>
      </c>
      <c r="G195" s="14" t="s">
        <v>3</v>
      </c>
      <c r="H195" s="14" t="s">
        <v>4987</v>
      </c>
      <c r="I195" s="14" t="s">
        <v>287</v>
      </c>
      <c r="J195" s="14" t="s">
        <v>60</v>
      </c>
      <c r="K195" s="14" t="s">
        <v>60</v>
      </c>
      <c r="L195" s="14" t="s">
        <v>60</v>
      </c>
      <c r="M195" s="14" t="s">
        <v>60</v>
      </c>
      <c r="N195" s="14" t="s">
        <v>60</v>
      </c>
      <c r="O195" s="14" t="s">
        <v>288</v>
      </c>
      <c r="P195" s="14" t="s">
        <v>4988</v>
      </c>
      <c r="Q195" s="14" t="s">
        <v>11</v>
      </c>
      <c r="R195" s="3">
        <v>0</v>
      </c>
      <c r="S195" s="3">
        <f t="shared" si="8"/>
        <v>550</v>
      </c>
      <c r="T195" s="3">
        <f t="shared" si="9"/>
        <v>0</v>
      </c>
      <c r="U195" s="3" t="s">
        <v>60</v>
      </c>
      <c r="V195" s="14" t="s">
        <v>6</v>
      </c>
      <c r="W195" s="14" t="s">
        <v>4980</v>
      </c>
      <c r="X195" s="14" t="s">
        <v>60</v>
      </c>
    </row>
    <row r="196" spans="1:24" ht="15" x14ac:dyDescent="0.3">
      <c r="A196" s="3">
        <v>26</v>
      </c>
      <c r="B196" s="3" t="s">
        <v>4989</v>
      </c>
      <c r="C196" s="14" t="s">
        <v>0</v>
      </c>
      <c r="D196" s="14" t="s">
        <v>289</v>
      </c>
      <c r="E196" s="14" t="s">
        <v>4990</v>
      </c>
      <c r="F196" s="14" t="s">
        <v>290</v>
      </c>
      <c r="G196" s="14" t="s">
        <v>3</v>
      </c>
      <c r="H196" s="14" t="s">
        <v>4991</v>
      </c>
      <c r="I196" s="14" t="s">
        <v>291</v>
      </c>
      <c r="J196" s="14" t="s">
        <v>60</v>
      </c>
      <c r="K196" s="14" t="s">
        <v>60</v>
      </c>
      <c r="L196" s="14" t="s">
        <v>60</v>
      </c>
      <c r="M196" s="14" t="s">
        <v>60</v>
      </c>
      <c r="N196" s="14" t="s">
        <v>60</v>
      </c>
      <c r="O196" s="14" t="s">
        <v>60</v>
      </c>
      <c r="P196" s="14" t="s">
        <v>4992</v>
      </c>
      <c r="Q196" s="14" t="s">
        <v>11</v>
      </c>
      <c r="R196" s="3">
        <v>0</v>
      </c>
      <c r="S196" s="3">
        <f t="shared" si="8"/>
        <v>550</v>
      </c>
      <c r="T196" s="3">
        <f t="shared" si="9"/>
        <v>0</v>
      </c>
      <c r="U196" s="3" t="s">
        <v>60</v>
      </c>
      <c r="V196" s="14" t="s">
        <v>6</v>
      </c>
      <c r="W196" s="14" t="s">
        <v>4980</v>
      </c>
      <c r="X196" s="14" t="s">
        <v>60</v>
      </c>
    </row>
    <row r="197" spans="1:24" ht="15" x14ac:dyDescent="0.3">
      <c r="A197" s="3">
        <v>27</v>
      </c>
      <c r="B197" s="3" t="s">
        <v>4993</v>
      </c>
      <c r="C197" s="14" t="s">
        <v>0</v>
      </c>
      <c r="D197" s="14" t="s">
        <v>292</v>
      </c>
      <c r="E197" s="14" t="s">
        <v>4304</v>
      </c>
      <c r="F197" s="14" t="s">
        <v>293</v>
      </c>
      <c r="G197" s="14" t="s">
        <v>3</v>
      </c>
      <c r="H197" s="14" t="s">
        <v>4994</v>
      </c>
      <c r="I197" s="14" t="s">
        <v>294</v>
      </c>
      <c r="J197" s="14" t="s">
        <v>60</v>
      </c>
      <c r="K197" s="14" t="s">
        <v>60</v>
      </c>
      <c r="L197" s="14" t="s">
        <v>60</v>
      </c>
      <c r="M197" s="14" t="s">
        <v>60</v>
      </c>
      <c r="N197" s="14" t="s">
        <v>60</v>
      </c>
      <c r="O197" s="14" t="s">
        <v>295</v>
      </c>
      <c r="P197" s="14" t="s">
        <v>4995</v>
      </c>
      <c r="Q197" s="14" t="s">
        <v>11</v>
      </c>
      <c r="R197" s="3">
        <v>0</v>
      </c>
      <c r="S197" s="3">
        <f t="shared" si="8"/>
        <v>550</v>
      </c>
      <c r="T197" s="3">
        <f t="shared" si="9"/>
        <v>0</v>
      </c>
      <c r="U197" s="3" t="s">
        <v>60</v>
      </c>
      <c r="V197" s="14" t="s">
        <v>6</v>
      </c>
      <c r="W197" s="14" t="s">
        <v>4980</v>
      </c>
      <c r="X197" s="14" t="s">
        <v>60</v>
      </c>
    </row>
    <row r="198" spans="1:24" ht="15" x14ac:dyDescent="0.3">
      <c r="A198" s="3">
        <v>28</v>
      </c>
      <c r="B198" s="3" t="s">
        <v>4996</v>
      </c>
      <c r="C198" s="14" t="s">
        <v>0</v>
      </c>
      <c r="D198" s="14" t="s">
        <v>296</v>
      </c>
      <c r="E198" s="14" t="s">
        <v>4778</v>
      </c>
      <c r="F198" s="14" t="s">
        <v>235</v>
      </c>
      <c r="G198" s="14" t="s">
        <v>3</v>
      </c>
      <c r="H198" s="14" t="s">
        <v>4997</v>
      </c>
      <c r="I198" s="14" t="s">
        <v>297</v>
      </c>
      <c r="J198" s="14" t="s">
        <v>60</v>
      </c>
      <c r="K198" s="14" t="s">
        <v>60</v>
      </c>
      <c r="L198" s="14" t="s">
        <v>60</v>
      </c>
      <c r="M198" s="14" t="s">
        <v>298</v>
      </c>
      <c r="N198" s="14" t="s">
        <v>60</v>
      </c>
      <c r="O198" s="14" t="s">
        <v>60</v>
      </c>
      <c r="P198" s="14" t="s">
        <v>4998</v>
      </c>
      <c r="Q198" s="14" t="s">
        <v>11</v>
      </c>
      <c r="R198" s="3">
        <v>0</v>
      </c>
      <c r="S198" s="3">
        <f t="shared" si="8"/>
        <v>550</v>
      </c>
      <c r="T198" s="3">
        <f t="shared" si="9"/>
        <v>0</v>
      </c>
      <c r="U198" s="3" t="s">
        <v>60</v>
      </c>
      <c r="V198" s="14" t="s">
        <v>6</v>
      </c>
      <c r="W198" s="14" t="s">
        <v>4999</v>
      </c>
      <c r="X198" s="14" t="s">
        <v>60</v>
      </c>
    </row>
    <row r="199" spans="1:24" ht="15" x14ac:dyDescent="0.3">
      <c r="A199" s="3">
        <v>29</v>
      </c>
      <c r="B199" s="3" t="s">
        <v>5000</v>
      </c>
      <c r="C199" s="14" t="s">
        <v>0</v>
      </c>
      <c r="D199" s="14" t="s">
        <v>299</v>
      </c>
      <c r="E199" s="14" t="s">
        <v>5001</v>
      </c>
      <c r="F199" s="14" t="s">
        <v>242</v>
      </c>
      <c r="G199" s="14" t="s">
        <v>3</v>
      </c>
      <c r="H199" s="14" t="s">
        <v>5002</v>
      </c>
      <c r="I199" s="14" t="s">
        <v>300</v>
      </c>
      <c r="J199" s="14" t="s">
        <v>60</v>
      </c>
      <c r="K199" s="14" t="s">
        <v>60</v>
      </c>
      <c r="L199" s="14" t="s">
        <v>60</v>
      </c>
      <c r="M199" s="14" t="s">
        <v>301</v>
      </c>
      <c r="N199" s="14" t="s">
        <v>60</v>
      </c>
      <c r="O199" s="14" t="s">
        <v>60</v>
      </c>
      <c r="P199" s="14" t="s">
        <v>5003</v>
      </c>
      <c r="Q199" s="14" t="s">
        <v>11</v>
      </c>
      <c r="R199" s="3">
        <v>0</v>
      </c>
      <c r="S199" s="3">
        <f t="shared" si="8"/>
        <v>550</v>
      </c>
      <c r="T199" s="3">
        <f t="shared" si="9"/>
        <v>0</v>
      </c>
      <c r="U199" s="3" t="s">
        <v>60</v>
      </c>
      <c r="V199" s="14" t="s">
        <v>6</v>
      </c>
      <c r="W199" s="14" t="s">
        <v>4999</v>
      </c>
      <c r="X199" s="14" t="s">
        <v>60</v>
      </c>
    </row>
    <row r="200" spans="1:24" ht="15" x14ac:dyDescent="0.3">
      <c r="A200" s="3">
        <v>30</v>
      </c>
      <c r="B200" s="3" t="s">
        <v>5004</v>
      </c>
      <c r="C200" s="14" t="s">
        <v>0</v>
      </c>
      <c r="D200" s="14" t="s">
        <v>302</v>
      </c>
      <c r="E200" s="14" t="s">
        <v>4778</v>
      </c>
      <c r="F200" s="14" t="s">
        <v>283</v>
      </c>
      <c r="G200" s="14" t="s">
        <v>3</v>
      </c>
      <c r="H200" s="14" t="s">
        <v>5005</v>
      </c>
      <c r="I200" s="14" t="s">
        <v>303</v>
      </c>
      <c r="J200" s="14" t="s">
        <v>60</v>
      </c>
      <c r="K200" s="14" t="s">
        <v>60</v>
      </c>
      <c r="L200" s="14" t="s">
        <v>60</v>
      </c>
      <c r="M200" s="14" t="s">
        <v>304</v>
      </c>
      <c r="N200" s="14" t="s">
        <v>60</v>
      </c>
      <c r="O200" s="14" t="s">
        <v>60</v>
      </c>
      <c r="P200" s="14" t="s">
        <v>5006</v>
      </c>
      <c r="Q200" s="14" t="s">
        <v>11</v>
      </c>
      <c r="R200" s="3">
        <v>0</v>
      </c>
      <c r="S200" s="3">
        <f t="shared" si="8"/>
        <v>550</v>
      </c>
      <c r="T200" s="3">
        <f t="shared" si="9"/>
        <v>0</v>
      </c>
      <c r="U200" s="3" t="s">
        <v>60</v>
      </c>
      <c r="V200" s="14" t="s">
        <v>6</v>
      </c>
      <c r="W200" s="14" t="s">
        <v>4999</v>
      </c>
      <c r="X200" s="14" t="s">
        <v>60</v>
      </c>
    </row>
    <row r="201" spans="1:24" ht="15" x14ac:dyDescent="0.3">
      <c r="A201" s="3">
        <v>31</v>
      </c>
      <c r="B201" s="3" t="s">
        <v>5007</v>
      </c>
      <c r="C201" s="14" t="s">
        <v>0</v>
      </c>
      <c r="D201" s="14" t="s">
        <v>305</v>
      </c>
      <c r="E201" s="14" t="s">
        <v>5008</v>
      </c>
      <c r="F201" s="14" t="s">
        <v>306</v>
      </c>
      <c r="G201" s="14" t="s">
        <v>3</v>
      </c>
      <c r="H201" s="14" t="s">
        <v>5009</v>
      </c>
      <c r="I201" s="14" t="s">
        <v>307</v>
      </c>
      <c r="J201" s="14" t="s">
        <v>60</v>
      </c>
      <c r="K201" s="14" t="s">
        <v>60</v>
      </c>
      <c r="L201" s="14" t="s">
        <v>60</v>
      </c>
      <c r="M201" s="14" t="s">
        <v>308</v>
      </c>
      <c r="N201" s="14" t="s">
        <v>60</v>
      </c>
      <c r="O201" s="14" t="s">
        <v>60</v>
      </c>
      <c r="P201" s="14" t="s">
        <v>5010</v>
      </c>
      <c r="Q201" s="14" t="s">
        <v>11</v>
      </c>
      <c r="R201" s="3">
        <v>0</v>
      </c>
      <c r="S201" s="3">
        <f t="shared" si="8"/>
        <v>550</v>
      </c>
      <c r="T201" s="3">
        <f t="shared" si="9"/>
        <v>0</v>
      </c>
      <c r="U201" s="3" t="s">
        <v>60</v>
      </c>
      <c r="V201" s="14" t="s">
        <v>6</v>
      </c>
      <c r="W201" s="14" t="s">
        <v>4999</v>
      </c>
      <c r="X201" s="14" t="s">
        <v>60</v>
      </c>
    </row>
    <row r="202" spans="1:24" ht="15" x14ac:dyDescent="0.3">
      <c r="A202" s="3">
        <v>32</v>
      </c>
      <c r="B202" s="3" t="s">
        <v>5011</v>
      </c>
      <c r="C202" s="14" t="s">
        <v>5012</v>
      </c>
      <c r="D202" s="14" t="s">
        <v>334</v>
      </c>
      <c r="E202" s="14" t="s">
        <v>5013</v>
      </c>
      <c r="F202" s="14" t="s">
        <v>335</v>
      </c>
      <c r="G202" s="14" t="s">
        <v>3</v>
      </c>
      <c r="H202" s="14" t="s">
        <v>336</v>
      </c>
      <c r="I202" s="14" t="s">
        <v>337</v>
      </c>
      <c r="J202" s="14" t="s">
        <v>60</v>
      </c>
      <c r="K202" s="14" t="s">
        <v>60</v>
      </c>
      <c r="L202" s="14" t="s">
        <v>60</v>
      </c>
      <c r="M202" s="14" t="s">
        <v>338</v>
      </c>
      <c r="N202" s="14" t="s">
        <v>60</v>
      </c>
      <c r="O202" s="14" t="s">
        <v>339</v>
      </c>
      <c r="P202" s="14" t="s">
        <v>5014</v>
      </c>
      <c r="Q202" s="14" t="s">
        <v>11</v>
      </c>
      <c r="R202" s="3">
        <v>0</v>
      </c>
      <c r="S202" s="3">
        <f t="shared" si="8"/>
        <v>570</v>
      </c>
      <c r="T202" s="3">
        <f t="shared" si="9"/>
        <v>0</v>
      </c>
      <c r="U202" s="3" t="s">
        <v>60</v>
      </c>
      <c r="V202" s="14" t="s">
        <v>6</v>
      </c>
      <c r="W202" s="14" t="s">
        <v>5015</v>
      </c>
      <c r="X202" s="14" t="s">
        <v>60</v>
      </c>
    </row>
    <row r="203" spans="1:24" ht="15" x14ac:dyDescent="0.3">
      <c r="A203" s="3">
        <v>33</v>
      </c>
      <c r="B203" s="3" t="s">
        <v>5016</v>
      </c>
      <c r="C203" s="14" t="s">
        <v>0</v>
      </c>
      <c r="D203" s="14" t="s">
        <v>396</v>
      </c>
      <c r="E203" s="14" t="s">
        <v>4778</v>
      </c>
      <c r="F203" s="14" t="s">
        <v>397</v>
      </c>
      <c r="G203" s="14" t="s">
        <v>3</v>
      </c>
      <c r="H203" s="14" t="s">
        <v>5017</v>
      </c>
      <c r="I203" s="14" t="s">
        <v>398</v>
      </c>
      <c r="J203" s="14" t="s">
        <v>60</v>
      </c>
      <c r="K203" s="14" t="s">
        <v>60</v>
      </c>
      <c r="L203" s="14" t="s">
        <v>60</v>
      </c>
      <c r="M203" s="14" t="s">
        <v>399</v>
      </c>
      <c r="N203" s="14" t="s">
        <v>60</v>
      </c>
      <c r="O203" s="14" t="s">
        <v>246</v>
      </c>
      <c r="P203" s="14" t="s">
        <v>5018</v>
      </c>
      <c r="Q203" s="14" t="s">
        <v>11</v>
      </c>
      <c r="R203" s="3">
        <v>0</v>
      </c>
      <c r="S203" s="3">
        <f t="shared" si="8"/>
        <v>550</v>
      </c>
      <c r="T203" s="3">
        <f t="shared" si="9"/>
        <v>0</v>
      </c>
      <c r="U203" s="3" t="s">
        <v>60</v>
      </c>
      <c r="V203" s="14" t="s">
        <v>6</v>
      </c>
      <c r="W203" s="14" t="s">
        <v>5019</v>
      </c>
      <c r="X203" s="14" t="s">
        <v>60</v>
      </c>
    </row>
    <row r="204" spans="1:24" ht="15" x14ac:dyDescent="0.3">
      <c r="A204" s="3">
        <v>34</v>
      </c>
      <c r="B204" s="3" t="s">
        <v>5020</v>
      </c>
      <c r="C204" s="14" t="s">
        <v>0</v>
      </c>
      <c r="D204" s="14" t="s">
        <v>400</v>
      </c>
      <c r="E204" s="14" t="s">
        <v>4200</v>
      </c>
      <c r="F204" s="14" t="s">
        <v>324</v>
      </c>
      <c r="G204" s="14" t="s">
        <v>3</v>
      </c>
      <c r="H204" s="14" t="s">
        <v>5021</v>
      </c>
      <c r="I204" s="14" t="s">
        <v>401</v>
      </c>
      <c r="J204" s="14" t="s">
        <v>60</v>
      </c>
      <c r="K204" s="14" t="s">
        <v>60</v>
      </c>
      <c r="L204" s="14" t="s">
        <v>60</v>
      </c>
      <c r="M204" s="14" t="s">
        <v>60</v>
      </c>
      <c r="N204" s="14" t="s">
        <v>60</v>
      </c>
      <c r="O204" s="14" t="s">
        <v>169</v>
      </c>
      <c r="P204" s="14" t="s">
        <v>5022</v>
      </c>
      <c r="Q204" s="14" t="s">
        <v>389</v>
      </c>
      <c r="R204" s="3">
        <v>0</v>
      </c>
      <c r="S204" s="3">
        <f t="shared" si="8"/>
        <v>550</v>
      </c>
      <c r="T204" s="3">
        <f t="shared" si="9"/>
        <v>0</v>
      </c>
      <c r="U204" s="3" t="s">
        <v>60</v>
      </c>
      <c r="V204" s="14" t="s">
        <v>6</v>
      </c>
      <c r="W204" s="14" t="s">
        <v>4327</v>
      </c>
      <c r="X204" s="14" t="s">
        <v>60</v>
      </c>
    </row>
    <row r="205" spans="1:24" ht="15" x14ac:dyDescent="0.3">
      <c r="A205" s="3">
        <v>35</v>
      </c>
      <c r="B205" s="3" t="s">
        <v>5023</v>
      </c>
      <c r="C205" s="14" t="s">
        <v>0</v>
      </c>
      <c r="D205" s="14" t="s">
        <v>282</v>
      </c>
      <c r="E205" s="14" t="s">
        <v>4658</v>
      </c>
      <c r="F205" s="14" t="s">
        <v>283</v>
      </c>
      <c r="G205" s="14" t="s">
        <v>3</v>
      </c>
      <c r="H205" s="14" t="s">
        <v>5024</v>
      </c>
      <c r="I205" s="14" t="s">
        <v>284</v>
      </c>
      <c r="J205" s="14" t="s">
        <v>60</v>
      </c>
      <c r="K205" s="14" t="s">
        <v>60</v>
      </c>
      <c r="L205" s="14" t="s">
        <v>60</v>
      </c>
      <c r="M205" s="14" t="s">
        <v>285</v>
      </c>
      <c r="N205" s="14" t="s">
        <v>60</v>
      </c>
      <c r="O205" s="14" t="s">
        <v>25</v>
      </c>
      <c r="P205" s="14" t="s">
        <v>5025</v>
      </c>
      <c r="Q205" s="14" t="s">
        <v>11</v>
      </c>
      <c r="R205" s="3">
        <v>0</v>
      </c>
      <c r="S205" s="3">
        <f t="shared" si="8"/>
        <v>550</v>
      </c>
      <c r="T205" s="3">
        <f t="shared" si="9"/>
        <v>0</v>
      </c>
      <c r="U205" s="3" t="s">
        <v>60</v>
      </c>
      <c r="V205" s="14" t="s">
        <v>6</v>
      </c>
      <c r="W205" s="14" t="s">
        <v>4999</v>
      </c>
      <c r="X205" s="14" t="s">
        <v>60</v>
      </c>
    </row>
    <row r="206" spans="1:24" ht="15" x14ac:dyDescent="0.3">
      <c r="A206" s="3">
        <v>36</v>
      </c>
      <c r="B206" s="3" t="s">
        <v>5026</v>
      </c>
      <c r="C206" s="14" t="s">
        <v>0</v>
      </c>
      <c r="D206" s="14" t="s">
        <v>309</v>
      </c>
      <c r="E206" s="14" t="s">
        <v>4928</v>
      </c>
      <c r="F206" s="14" t="s">
        <v>310</v>
      </c>
      <c r="G206" s="14" t="s">
        <v>3</v>
      </c>
      <c r="H206" s="14" t="s">
        <v>5027</v>
      </c>
      <c r="I206" s="14" t="s">
        <v>311</v>
      </c>
      <c r="J206" s="14" t="s">
        <v>60</v>
      </c>
      <c r="K206" s="14" t="s">
        <v>60</v>
      </c>
      <c r="L206" s="14" t="s">
        <v>60</v>
      </c>
      <c r="M206" s="14" t="s">
        <v>60</v>
      </c>
      <c r="N206" s="14" t="s">
        <v>60</v>
      </c>
      <c r="O206" s="14" t="s">
        <v>312</v>
      </c>
      <c r="P206" s="14" t="s">
        <v>5028</v>
      </c>
      <c r="Q206" s="14" t="s">
        <v>11</v>
      </c>
      <c r="R206" s="3">
        <v>0</v>
      </c>
      <c r="S206" s="3">
        <f t="shared" si="8"/>
        <v>550</v>
      </c>
      <c r="T206" s="3">
        <f t="shared" si="9"/>
        <v>0</v>
      </c>
      <c r="U206" s="3" t="s">
        <v>60</v>
      </c>
      <c r="V206" s="14" t="s">
        <v>6</v>
      </c>
      <c r="W206" s="14" t="s">
        <v>4980</v>
      </c>
      <c r="X206" s="14" t="s">
        <v>60</v>
      </c>
    </row>
    <row r="207" spans="1:24" ht="15" x14ac:dyDescent="0.3">
      <c r="A207" s="3">
        <v>37</v>
      </c>
      <c r="B207" s="3" t="s">
        <v>5029</v>
      </c>
      <c r="C207" s="14" t="s">
        <v>0</v>
      </c>
      <c r="D207" s="14" t="s">
        <v>314</v>
      </c>
      <c r="E207" s="14" t="s">
        <v>4308</v>
      </c>
      <c r="F207" s="14" t="s">
        <v>315</v>
      </c>
      <c r="G207" s="14" t="s">
        <v>3</v>
      </c>
      <c r="H207" s="14" t="s">
        <v>5030</v>
      </c>
      <c r="I207" s="14" t="s">
        <v>316</v>
      </c>
      <c r="J207" s="14" t="s">
        <v>60</v>
      </c>
      <c r="K207" s="14" t="s">
        <v>60</v>
      </c>
      <c r="L207" s="14" t="s">
        <v>60</v>
      </c>
      <c r="M207" s="14" t="s">
        <v>317</v>
      </c>
      <c r="N207" s="14" t="s">
        <v>60</v>
      </c>
      <c r="O207" s="14" t="s">
        <v>114</v>
      </c>
      <c r="P207" s="14" t="s">
        <v>5031</v>
      </c>
      <c r="Q207" s="14" t="s">
        <v>11</v>
      </c>
      <c r="R207" s="3">
        <v>0</v>
      </c>
      <c r="S207" s="3">
        <f t="shared" si="8"/>
        <v>550</v>
      </c>
      <c r="T207" s="3">
        <f t="shared" si="9"/>
        <v>0</v>
      </c>
      <c r="U207" s="3" t="s">
        <v>5032</v>
      </c>
      <c r="V207" s="14" t="s">
        <v>6</v>
      </c>
      <c r="W207" s="14" t="s">
        <v>4980</v>
      </c>
      <c r="X207" s="14" t="s">
        <v>60</v>
      </c>
    </row>
    <row r="208" spans="1:24" ht="15.6" x14ac:dyDescent="0.3">
      <c r="A208" s="26" t="s">
        <v>60</v>
      </c>
      <c r="B208" s="26" t="s">
        <v>60</v>
      </c>
      <c r="C208" s="27" t="s">
        <v>60</v>
      </c>
      <c r="D208" s="27" t="s">
        <v>60</v>
      </c>
      <c r="E208" s="27" t="s">
        <v>60</v>
      </c>
      <c r="F208" s="27" t="s">
        <v>60</v>
      </c>
      <c r="G208" s="27" t="s">
        <v>60</v>
      </c>
      <c r="H208" s="27" t="s">
        <v>60</v>
      </c>
      <c r="I208" s="27" t="s">
        <v>60</v>
      </c>
      <c r="J208" s="27" t="s">
        <v>60</v>
      </c>
      <c r="K208" s="27" t="s">
        <v>60</v>
      </c>
      <c r="L208" s="27" t="s">
        <v>60</v>
      </c>
      <c r="M208" s="27" t="s">
        <v>60</v>
      </c>
      <c r="N208" s="27" t="s">
        <v>60</v>
      </c>
      <c r="O208" s="27" t="s">
        <v>60</v>
      </c>
      <c r="P208" s="27" t="s">
        <v>60</v>
      </c>
      <c r="Q208" s="27" t="s">
        <v>60</v>
      </c>
      <c r="R208" s="35" t="s">
        <v>2009</v>
      </c>
      <c r="S208" s="35" t="s">
        <v>60</v>
      </c>
      <c r="T208" s="26">
        <f>SUM(T170:T207)</f>
        <v>0</v>
      </c>
      <c r="U208" s="26" t="s">
        <v>5033</v>
      </c>
      <c r="V208" s="27" t="s">
        <v>60</v>
      </c>
      <c r="W208" s="27" t="s">
        <v>60</v>
      </c>
      <c r="X208" s="27" t="s">
        <v>60</v>
      </c>
    </row>
    <row r="209" spans="1:24" ht="15.6" x14ac:dyDescent="0.3">
      <c r="A209" s="34" t="s">
        <v>5034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spans="1:24" ht="109.2" x14ac:dyDescent="0.3">
      <c r="A210" s="23" t="s">
        <v>42</v>
      </c>
      <c r="B210" s="23" t="s">
        <v>43</v>
      </c>
      <c r="C210" s="24" t="s">
        <v>44</v>
      </c>
      <c r="D210" s="24" t="s">
        <v>4154</v>
      </c>
      <c r="E210" s="24" t="s">
        <v>4155</v>
      </c>
      <c r="F210" s="24" t="s">
        <v>4156</v>
      </c>
      <c r="G210" s="24" t="s">
        <v>45</v>
      </c>
      <c r="H210" s="24" t="s">
        <v>4157</v>
      </c>
      <c r="I210" s="24" t="s">
        <v>46</v>
      </c>
      <c r="J210" s="24" t="s">
        <v>4158</v>
      </c>
      <c r="K210" s="24" t="s">
        <v>4159</v>
      </c>
      <c r="L210" s="24" t="s">
        <v>4160</v>
      </c>
      <c r="M210" s="24" t="s">
        <v>4161</v>
      </c>
      <c r="N210" s="24" t="s">
        <v>47</v>
      </c>
      <c r="O210" s="24" t="s">
        <v>48</v>
      </c>
      <c r="P210" s="24" t="s">
        <v>49</v>
      </c>
      <c r="Q210" s="24" t="s">
        <v>50</v>
      </c>
      <c r="R210" s="23" t="s">
        <v>4162</v>
      </c>
      <c r="S210" s="23" t="s">
        <v>4163</v>
      </c>
      <c r="T210" s="23" t="s">
        <v>4164</v>
      </c>
      <c r="U210" s="23" t="s">
        <v>4165</v>
      </c>
      <c r="V210" s="24" t="s">
        <v>51</v>
      </c>
      <c r="W210" s="24" t="s">
        <v>52</v>
      </c>
      <c r="X210" s="24" t="s">
        <v>53</v>
      </c>
    </row>
    <row r="211" spans="1:24" ht="15" x14ac:dyDescent="0.3">
      <c r="A211" s="3">
        <v>1</v>
      </c>
      <c r="B211" s="3" t="s">
        <v>5035</v>
      </c>
      <c r="C211" s="14" t="s">
        <v>14</v>
      </c>
      <c r="D211" s="14" t="s">
        <v>5036</v>
      </c>
      <c r="E211" s="14" t="s">
        <v>5037</v>
      </c>
      <c r="F211" s="14" t="s">
        <v>346</v>
      </c>
      <c r="G211" s="14" t="s">
        <v>3</v>
      </c>
      <c r="H211" s="14" t="s">
        <v>5038</v>
      </c>
      <c r="I211" s="14" t="s">
        <v>347</v>
      </c>
      <c r="J211" s="14" t="s">
        <v>60</v>
      </c>
      <c r="K211" s="14" t="s">
        <v>60</v>
      </c>
      <c r="L211" s="14" t="s">
        <v>60</v>
      </c>
      <c r="M211" s="14" t="s">
        <v>348</v>
      </c>
      <c r="N211" s="14" t="s">
        <v>60</v>
      </c>
      <c r="O211" s="14" t="s">
        <v>60</v>
      </c>
      <c r="P211" s="14" t="s">
        <v>5039</v>
      </c>
      <c r="Q211" s="14" t="s">
        <v>349</v>
      </c>
      <c r="R211" s="3">
        <v>0</v>
      </c>
      <c r="S211" s="3">
        <f t="shared" ref="S211:S245" si="10">IF(RIGHT(C211,3)="MAZ",550,IF(RIGHT(C211,4)="MATE",570,IF(RIGHT(C211,7)="SKD-III",640,IF(RIGHT(C211,6)="SKD-II",770,IF(RIGHT(C211,5)="SKD-I",900,IF(RIGHT(C211,5)="CPDVR",770,""))))))</f>
        <v>640</v>
      </c>
      <c r="T211" s="3">
        <f t="shared" ref="T211:T245" si="11">R211*S211</f>
        <v>0</v>
      </c>
      <c r="U211" s="3" t="s">
        <v>60</v>
      </c>
      <c r="V211" s="14" t="s">
        <v>6</v>
      </c>
      <c r="W211" s="14" t="s">
        <v>5040</v>
      </c>
      <c r="X211" s="14" t="s">
        <v>60</v>
      </c>
    </row>
    <row r="212" spans="1:24" ht="15" x14ac:dyDescent="0.3">
      <c r="A212" s="3">
        <v>2</v>
      </c>
      <c r="B212" s="3" t="s">
        <v>5041</v>
      </c>
      <c r="C212" s="14" t="s">
        <v>26</v>
      </c>
      <c r="D212" s="14" t="s">
        <v>391</v>
      </c>
      <c r="E212" s="14" t="s">
        <v>4430</v>
      </c>
      <c r="F212" s="14" t="s">
        <v>392</v>
      </c>
      <c r="G212" s="14" t="s">
        <v>3</v>
      </c>
      <c r="H212" s="14" t="s">
        <v>5042</v>
      </c>
      <c r="I212" s="14" t="s">
        <v>393</v>
      </c>
      <c r="J212" s="14" t="s">
        <v>60</v>
      </c>
      <c r="K212" s="14" t="s">
        <v>60</v>
      </c>
      <c r="L212" s="14" t="s">
        <v>60</v>
      </c>
      <c r="M212" s="14" t="s">
        <v>394</v>
      </c>
      <c r="N212" s="14" t="s">
        <v>60</v>
      </c>
      <c r="O212" s="14" t="s">
        <v>388</v>
      </c>
      <c r="P212" s="14" t="s">
        <v>5043</v>
      </c>
      <c r="Q212" s="14" t="s">
        <v>11</v>
      </c>
      <c r="R212" s="3">
        <v>0</v>
      </c>
      <c r="S212" s="3">
        <f t="shared" si="10"/>
        <v>770</v>
      </c>
      <c r="T212" s="3">
        <f t="shared" si="11"/>
        <v>0</v>
      </c>
      <c r="U212" s="3" t="s">
        <v>60</v>
      </c>
      <c r="V212" s="14" t="s">
        <v>6</v>
      </c>
      <c r="W212" s="14" t="s">
        <v>5044</v>
      </c>
      <c r="X212" s="14" t="s">
        <v>60</v>
      </c>
    </row>
    <row r="213" spans="1:24" ht="15" x14ac:dyDescent="0.3">
      <c r="A213" s="3">
        <v>3</v>
      </c>
      <c r="B213" s="3" t="s">
        <v>5045</v>
      </c>
      <c r="C213" s="14" t="s">
        <v>26</v>
      </c>
      <c r="D213" s="14" t="s">
        <v>340</v>
      </c>
      <c r="E213" s="14" t="s">
        <v>5046</v>
      </c>
      <c r="F213" s="14" t="s">
        <v>341</v>
      </c>
      <c r="G213" s="14" t="s">
        <v>3</v>
      </c>
      <c r="H213" s="14" t="s">
        <v>342</v>
      </c>
      <c r="I213" s="14" t="s">
        <v>343</v>
      </c>
      <c r="J213" s="14" t="s">
        <v>60</v>
      </c>
      <c r="K213" s="14" t="s">
        <v>60</v>
      </c>
      <c r="L213" s="14" t="s">
        <v>60</v>
      </c>
      <c r="M213" s="14" t="s">
        <v>344</v>
      </c>
      <c r="N213" s="14" t="s">
        <v>60</v>
      </c>
      <c r="O213" s="14" t="s">
        <v>345</v>
      </c>
      <c r="P213" s="14" t="s">
        <v>5047</v>
      </c>
      <c r="Q213" s="14" t="s">
        <v>11</v>
      </c>
      <c r="R213" s="3">
        <v>0</v>
      </c>
      <c r="S213" s="3">
        <f t="shared" si="10"/>
        <v>770</v>
      </c>
      <c r="T213" s="3">
        <f t="shared" si="11"/>
        <v>0</v>
      </c>
      <c r="U213" s="3" t="s">
        <v>60</v>
      </c>
      <c r="V213" s="14" t="s">
        <v>6</v>
      </c>
      <c r="W213" s="14" t="s">
        <v>5048</v>
      </c>
      <c r="X213" s="14" t="s">
        <v>60</v>
      </c>
    </row>
    <row r="214" spans="1:24" ht="15" x14ac:dyDescent="0.3">
      <c r="A214" s="3">
        <v>4</v>
      </c>
      <c r="B214" s="3" t="s">
        <v>5049</v>
      </c>
      <c r="C214" s="14" t="s">
        <v>0</v>
      </c>
      <c r="D214" s="14" t="s">
        <v>275</v>
      </c>
      <c r="E214" s="14" t="s">
        <v>5050</v>
      </c>
      <c r="F214" s="14" t="s">
        <v>276</v>
      </c>
      <c r="G214" s="14" t="s">
        <v>3</v>
      </c>
      <c r="H214" s="14" t="s">
        <v>5051</v>
      </c>
      <c r="I214" s="14" t="s">
        <v>277</v>
      </c>
      <c r="J214" s="14" t="s">
        <v>60</v>
      </c>
      <c r="K214" s="14" t="s">
        <v>60</v>
      </c>
      <c r="L214" s="14" t="s">
        <v>60</v>
      </c>
      <c r="M214" s="14" t="s">
        <v>278</v>
      </c>
      <c r="N214" s="14" t="s">
        <v>60</v>
      </c>
      <c r="O214" s="14" t="s">
        <v>5052</v>
      </c>
      <c r="P214" s="14" t="s">
        <v>5053</v>
      </c>
      <c r="Q214" s="14" t="s">
        <v>240</v>
      </c>
      <c r="R214" s="3">
        <v>0</v>
      </c>
      <c r="S214" s="3">
        <f t="shared" si="10"/>
        <v>550</v>
      </c>
      <c r="T214" s="3">
        <f t="shared" si="11"/>
        <v>0</v>
      </c>
      <c r="U214" s="3" t="s">
        <v>60</v>
      </c>
      <c r="V214" s="14" t="s">
        <v>6</v>
      </c>
      <c r="W214" s="14" t="s">
        <v>4287</v>
      </c>
      <c r="X214" s="14" t="s">
        <v>60</v>
      </c>
    </row>
    <row r="215" spans="1:24" ht="15" x14ac:dyDescent="0.3">
      <c r="A215" s="3">
        <v>5</v>
      </c>
      <c r="B215" s="3" t="s">
        <v>5054</v>
      </c>
      <c r="C215" s="14" t="s">
        <v>0</v>
      </c>
      <c r="D215" s="14" t="s">
        <v>3534</v>
      </c>
      <c r="E215" s="14" t="s">
        <v>5055</v>
      </c>
      <c r="F215" s="14" t="s">
        <v>3539</v>
      </c>
      <c r="G215" s="14" t="s">
        <v>3</v>
      </c>
      <c r="H215" s="14" t="s">
        <v>5056</v>
      </c>
      <c r="I215" s="14" t="s">
        <v>3654</v>
      </c>
      <c r="J215" s="14" t="s">
        <v>60</v>
      </c>
      <c r="K215" s="14" t="s">
        <v>60</v>
      </c>
      <c r="L215" s="14" t="s">
        <v>60</v>
      </c>
      <c r="M215" s="14" t="s">
        <v>3655</v>
      </c>
      <c r="N215" s="14" t="s">
        <v>60</v>
      </c>
      <c r="O215" s="14" t="s">
        <v>60</v>
      </c>
      <c r="P215" s="14" t="s">
        <v>5057</v>
      </c>
      <c r="Q215" s="14" t="s">
        <v>11</v>
      </c>
      <c r="R215" s="3">
        <v>0</v>
      </c>
      <c r="S215" s="3">
        <f t="shared" si="10"/>
        <v>550</v>
      </c>
      <c r="T215" s="3">
        <f t="shared" si="11"/>
        <v>0</v>
      </c>
      <c r="U215" s="3" t="s">
        <v>60</v>
      </c>
      <c r="V215" s="14" t="s">
        <v>6</v>
      </c>
      <c r="W215" s="14" t="s">
        <v>5058</v>
      </c>
      <c r="X215" s="14" t="s">
        <v>60</v>
      </c>
    </row>
    <row r="216" spans="1:24" ht="15" x14ac:dyDescent="0.3">
      <c r="A216" s="3">
        <v>6</v>
      </c>
      <c r="B216" s="3" t="s">
        <v>5059</v>
      </c>
      <c r="C216" s="14" t="s">
        <v>0</v>
      </c>
      <c r="D216" s="14" t="s">
        <v>3535</v>
      </c>
      <c r="E216" s="14" t="s">
        <v>5060</v>
      </c>
      <c r="F216" s="14" t="s">
        <v>3540</v>
      </c>
      <c r="G216" s="14" t="s">
        <v>3</v>
      </c>
      <c r="H216" s="14" t="s">
        <v>5061</v>
      </c>
      <c r="I216" s="14" t="s">
        <v>3656</v>
      </c>
      <c r="J216" s="14" t="s">
        <v>60</v>
      </c>
      <c r="K216" s="14" t="s">
        <v>60</v>
      </c>
      <c r="L216" s="14" t="s">
        <v>60</v>
      </c>
      <c r="M216" s="14" t="s">
        <v>3657</v>
      </c>
      <c r="N216" s="14" t="s">
        <v>60</v>
      </c>
      <c r="O216" s="14" t="s">
        <v>60</v>
      </c>
      <c r="P216" s="14" t="s">
        <v>5062</v>
      </c>
      <c r="Q216" s="14" t="s">
        <v>180</v>
      </c>
      <c r="R216" s="3">
        <v>0</v>
      </c>
      <c r="S216" s="3">
        <f t="shared" si="10"/>
        <v>550</v>
      </c>
      <c r="T216" s="3">
        <f t="shared" si="11"/>
        <v>0</v>
      </c>
      <c r="U216" s="3" t="s">
        <v>60</v>
      </c>
      <c r="V216" s="14" t="s">
        <v>6</v>
      </c>
      <c r="W216" s="14" t="s">
        <v>5058</v>
      </c>
      <c r="X216" s="14" t="s">
        <v>60</v>
      </c>
    </row>
    <row r="217" spans="1:24" ht="15" x14ac:dyDescent="0.3">
      <c r="A217" s="3">
        <v>7</v>
      </c>
      <c r="B217" s="3" t="s">
        <v>5063</v>
      </c>
      <c r="C217" s="14" t="s">
        <v>0</v>
      </c>
      <c r="D217" s="14" t="s">
        <v>3536</v>
      </c>
      <c r="E217" s="14" t="s">
        <v>5064</v>
      </c>
      <c r="F217" s="14" t="s">
        <v>3541</v>
      </c>
      <c r="G217" s="14" t="s">
        <v>3</v>
      </c>
      <c r="H217" s="14" t="s">
        <v>5065</v>
      </c>
      <c r="I217" s="14" t="s">
        <v>3658</v>
      </c>
      <c r="J217" s="14" t="s">
        <v>60</v>
      </c>
      <c r="K217" s="14" t="s">
        <v>60</v>
      </c>
      <c r="L217" s="14" t="s">
        <v>60</v>
      </c>
      <c r="M217" s="14" t="s">
        <v>3659</v>
      </c>
      <c r="N217" s="14" t="s">
        <v>60</v>
      </c>
      <c r="O217" s="14" t="s">
        <v>60</v>
      </c>
      <c r="P217" s="14" t="s">
        <v>5066</v>
      </c>
      <c r="Q217" s="14" t="s">
        <v>761</v>
      </c>
      <c r="R217" s="3">
        <v>0</v>
      </c>
      <c r="S217" s="3">
        <f t="shared" si="10"/>
        <v>550</v>
      </c>
      <c r="T217" s="3">
        <f t="shared" si="11"/>
        <v>0</v>
      </c>
      <c r="U217" s="3" t="s">
        <v>60</v>
      </c>
      <c r="V217" s="14" t="s">
        <v>6</v>
      </c>
      <c r="W217" s="14" t="s">
        <v>5067</v>
      </c>
      <c r="X217" s="14" t="s">
        <v>60</v>
      </c>
    </row>
    <row r="218" spans="1:24" ht="15" x14ac:dyDescent="0.3">
      <c r="A218" s="3">
        <v>8</v>
      </c>
      <c r="B218" s="3" t="s">
        <v>5068</v>
      </c>
      <c r="C218" s="14" t="s">
        <v>0</v>
      </c>
      <c r="D218" s="14" t="s">
        <v>3537</v>
      </c>
      <c r="E218" s="14" t="s">
        <v>5069</v>
      </c>
      <c r="F218" s="14" t="s">
        <v>3542</v>
      </c>
      <c r="G218" s="14" t="s">
        <v>3</v>
      </c>
      <c r="H218" s="14" t="s">
        <v>5070</v>
      </c>
      <c r="I218" s="14" t="s">
        <v>3660</v>
      </c>
      <c r="J218" s="14" t="s">
        <v>60</v>
      </c>
      <c r="K218" s="14" t="s">
        <v>60</v>
      </c>
      <c r="L218" s="14" t="s">
        <v>60</v>
      </c>
      <c r="M218" s="14" t="s">
        <v>3661</v>
      </c>
      <c r="N218" s="14" t="s">
        <v>60</v>
      </c>
      <c r="O218" s="14" t="s">
        <v>60</v>
      </c>
      <c r="P218" s="14" t="s">
        <v>5071</v>
      </c>
      <c r="Q218" s="14" t="s">
        <v>180</v>
      </c>
      <c r="R218" s="3">
        <v>0</v>
      </c>
      <c r="S218" s="3">
        <f t="shared" si="10"/>
        <v>550</v>
      </c>
      <c r="T218" s="3">
        <f t="shared" si="11"/>
        <v>0</v>
      </c>
      <c r="U218" s="3" t="s">
        <v>60</v>
      </c>
      <c r="V218" s="14" t="s">
        <v>6</v>
      </c>
      <c r="W218" s="14" t="s">
        <v>5072</v>
      </c>
      <c r="X218" s="14" t="s">
        <v>60</v>
      </c>
    </row>
    <row r="219" spans="1:24" ht="15" x14ac:dyDescent="0.3">
      <c r="A219" s="3">
        <v>9</v>
      </c>
      <c r="B219" s="3" t="s">
        <v>322</v>
      </c>
      <c r="C219" s="14" t="s">
        <v>26</v>
      </c>
      <c r="D219" s="14" t="s">
        <v>323</v>
      </c>
      <c r="E219" s="14" t="s">
        <v>5073</v>
      </c>
      <c r="F219" s="14" t="s">
        <v>324</v>
      </c>
      <c r="G219" s="14" t="s">
        <v>3</v>
      </c>
      <c r="H219" s="14" t="s">
        <v>325</v>
      </c>
      <c r="I219" s="14" t="s">
        <v>326</v>
      </c>
      <c r="J219" s="14" t="s">
        <v>60</v>
      </c>
      <c r="K219" s="14" t="s">
        <v>60</v>
      </c>
      <c r="L219" s="14" t="s">
        <v>60</v>
      </c>
      <c r="M219" s="14" t="s">
        <v>327</v>
      </c>
      <c r="N219" s="14" t="s">
        <v>60</v>
      </c>
      <c r="O219" s="14" t="s">
        <v>328</v>
      </c>
      <c r="P219" s="14" t="s">
        <v>5074</v>
      </c>
      <c r="Q219" s="14" t="s">
        <v>11</v>
      </c>
      <c r="R219" s="3">
        <v>0</v>
      </c>
      <c r="S219" s="3">
        <f t="shared" si="10"/>
        <v>770</v>
      </c>
      <c r="T219" s="3">
        <f t="shared" si="11"/>
        <v>0</v>
      </c>
      <c r="U219" s="3" t="s">
        <v>60</v>
      </c>
      <c r="V219" s="14" t="s">
        <v>6</v>
      </c>
      <c r="W219" s="14" t="s">
        <v>4287</v>
      </c>
      <c r="X219" s="14" t="s">
        <v>60</v>
      </c>
    </row>
    <row r="220" spans="1:24" ht="15" x14ac:dyDescent="0.3">
      <c r="A220" s="3">
        <v>10</v>
      </c>
      <c r="B220" s="3" t="s">
        <v>5075</v>
      </c>
      <c r="C220" s="14" t="s">
        <v>0</v>
      </c>
      <c r="D220" s="14" t="s">
        <v>359</v>
      </c>
      <c r="E220" s="14" t="s">
        <v>5076</v>
      </c>
      <c r="F220" s="14" t="s">
        <v>360</v>
      </c>
      <c r="G220" s="14" t="s">
        <v>3</v>
      </c>
      <c r="H220" s="14" t="s">
        <v>5077</v>
      </c>
      <c r="I220" s="14" t="s">
        <v>5078</v>
      </c>
      <c r="J220" s="14" t="s">
        <v>60</v>
      </c>
      <c r="K220" s="14" t="s">
        <v>60</v>
      </c>
      <c r="L220" s="14" t="s">
        <v>60</v>
      </c>
      <c r="M220" s="14" t="s">
        <v>361</v>
      </c>
      <c r="N220" s="14" t="s">
        <v>60</v>
      </c>
      <c r="O220" s="14" t="s">
        <v>179</v>
      </c>
      <c r="P220" s="14" t="s">
        <v>5079</v>
      </c>
      <c r="Q220" s="14" t="s">
        <v>185</v>
      </c>
      <c r="R220" s="3">
        <v>0</v>
      </c>
      <c r="S220" s="3">
        <f t="shared" si="10"/>
        <v>550</v>
      </c>
      <c r="T220" s="3">
        <f t="shared" si="11"/>
        <v>0</v>
      </c>
      <c r="U220" s="3" t="s">
        <v>60</v>
      </c>
      <c r="V220" s="14" t="s">
        <v>6</v>
      </c>
      <c r="W220" s="14" t="s">
        <v>4287</v>
      </c>
      <c r="X220" s="14" t="s">
        <v>60</v>
      </c>
    </row>
    <row r="221" spans="1:24" ht="15" x14ac:dyDescent="0.3">
      <c r="A221" s="3">
        <v>11</v>
      </c>
      <c r="B221" s="3" t="s">
        <v>5080</v>
      </c>
      <c r="C221" s="14" t="s">
        <v>0</v>
      </c>
      <c r="D221" s="14" t="s">
        <v>362</v>
      </c>
      <c r="E221" s="14" t="s">
        <v>5081</v>
      </c>
      <c r="F221" s="14" t="s">
        <v>363</v>
      </c>
      <c r="G221" s="14" t="s">
        <v>3</v>
      </c>
      <c r="H221" s="14" t="s">
        <v>364</v>
      </c>
      <c r="I221" s="14" t="s">
        <v>5082</v>
      </c>
      <c r="J221" s="14" t="s">
        <v>60</v>
      </c>
      <c r="K221" s="14" t="s">
        <v>60</v>
      </c>
      <c r="L221" s="14" t="s">
        <v>60</v>
      </c>
      <c r="M221" s="14" t="s">
        <v>365</v>
      </c>
      <c r="N221" s="14" t="s">
        <v>60</v>
      </c>
      <c r="O221" s="14" t="s">
        <v>179</v>
      </c>
      <c r="P221" s="14" t="s">
        <v>5083</v>
      </c>
      <c r="Q221" s="14" t="s">
        <v>180</v>
      </c>
      <c r="R221" s="3">
        <v>0</v>
      </c>
      <c r="S221" s="3">
        <f t="shared" si="10"/>
        <v>550</v>
      </c>
      <c r="T221" s="3">
        <f t="shared" si="11"/>
        <v>0</v>
      </c>
      <c r="U221" s="3" t="s">
        <v>60</v>
      </c>
      <c r="V221" s="14" t="s">
        <v>6</v>
      </c>
      <c r="W221" s="14" t="s">
        <v>4287</v>
      </c>
      <c r="X221" s="14" t="s">
        <v>5085</v>
      </c>
    </row>
    <row r="222" spans="1:24" ht="15" x14ac:dyDescent="0.3">
      <c r="A222" s="3">
        <v>12</v>
      </c>
      <c r="B222" s="3" t="s">
        <v>5086</v>
      </c>
      <c r="C222" s="14" t="s">
        <v>0</v>
      </c>
      <c r="D222" s="14" t="s">
        <v>366</v>
      </c>
      <c r="E222" s="14" t="s">
        <v>5087</v>
      </c>
      <c r="F222" s="14" t="s">
        <v>367</v>
      </c>
      <c r="G222" s="14" t="s">
        <v>3</v>
      </c>
      <c r="H222" s="14" t="s">
        <v>5088</v>
      </c>
      <c r="I222" s="14" t="s">
        <v>368</v>
      </c>
      <c r="J222" s="14" t="s">
        <v>60</v>
      </c>
      <c r="K222" s="14" t="s">
        <v>60</v>
      </c>
      <c r="L222" s="14" t="s">
        <v>60</v>
      </c>
      <c r="M222" s="14" t="s">
        <v>369</v>
      </c>
      <c r="N222" s="14" t="s">
        <v>60</v>
      </c>
      <c r="O222" s="14" t="s">
        <v>370</v>
      </c>
      <c r="P222" s="14" t="s">
        <v>5089</v>
      </c>
      <c r="Q222" s="14" t="s">
        <v>349</v>
      </c>
      <c r="R222" s="3">
        <v>0</v>
      </c>
      <c r="S222" s="3">
        <f t="shared" si="10"/>
        <v>550</v>
      </c>
      <c r="T222" s="3">
        <f t="shared" si="11"/>
        <v>0</v>
      </c>
      <c r="U222" s="3" t="s">
        <v>60</v>
      </c>
      <c r="V222" s="14" t="s">
        <v>6</v>
      </c>
      <c r="W222" s="14" t="s">
        <v>5090</v>
      </c>
      <c r="X222" s="14" t="s">
        <v>60</v>
      </c>
    </row>
    <row r="223" spans="1:24" ht="15" x14ac:dyDescent="0.3">
      <c r="A223" s="3">
        <v>13</v>
      </c>
      <c r="B223" s="3" t="s">
        <v>5091</v>
      </c>
      <c r="C223" s="14" t="s">
        <v>0</v>
      </c>
      <c r="D223" s="14" t="s">
        <v>371</v>
      </c>
      <c r="E223" s="14" t="s">
        <v>4658</v>
      </c>
      <c r="F223" s="14" t="s">
        <v>372</v>
      </c>
      <c r="G223" s="14" t="s">
        <v>3</v>
      </c>
      <c r="H223" s="14" t="s">
        <v>5092</v>
      </c>
      <c r="I223" s="14" t="s">
        <v>373</v>
      </c>
      <c r="J223" s="14" t="s">
        <v>60</v>
      </c>
      <c r="K223" s="14" t="s">
        <v>60</v>
      </c>
      <c r="L223" s="14" t="s">
        <v>60</v>
      </c>
      <c r="M223" s="14" t="s">
        <v>60</v>
      </c>
      <c r="N223" s="14" t="s">
        <v>60</v>
      </c>
      <c r="O223" s="14" t="s">
        <v>374</v>
      </c>
      <c r="P223" s="14" t="s">
        <v>5093</v>
      </c>
      <c r="Q223" s="14" t="s">
        <v>11</v>
      </c>
      <c r="R223" s="3">
        <v>0</v>
      </c>
      <c r="S223" s="3">
        <f t="shared" si="10"/>
        <v>550</v>
      </c>
      <c r="T223" s="3">
        <f t="shared" si="11"/>
        <v>0</v>
      </c>
      <c r="U223" s="3" t="s">
        <v>60</v>
      </c>
      <c r="V223" s="14" t="s">
        <v>6</v>
      </c>
      <c r="W223" s="14" t="s">
        <v>4980</v>
      </c>
      <c r="X223" s="14" t="s">
        <v>60</v>
      </c>
    </row>
    <row r="224" spans="1:24" ht="15" x14ac:dyDescent="0.3">
      <c r="A224" s="3">
        <v>14</v>
      </c>
      <c r="B224" s="3" t="s">
        <v>5094</v>
      </c>
      <c r="C224" s="14" t="s">
        <v>0</v>
      </c>
      <c r="D224" s="14" t="s">
        <v>375</v>
      </c>
      <c r="E224" s="14" t="s">
        <v>5095</v>
      </c>
      <c r="F224" s="14" t="s">
        <v>376</v>
      </c>
      <c r="G224" s="14" t="s">
        <v>3</v>
      </c>
      <c r="H224" s="14" t="s">
        <v>5096</v>
      </c>
      <c r="I224" s="14" t="s">
        <v>377</v>
      </c>
      <c r="J224" s="14" t="s">
        <v>60</v>
      </c>
      <c r="K224" s="14" t="s">
        <v>60</v>
      </c>
      <c r="L224" s="14" t="s">
        <v>60</v>
      </c>
      <c r="M224" s="14" t="s">
        <v>378</v>
      </c>
      <c r="N224" s="14" t="s">
        <v>60</v>
      </c>
      <c r="O224" s="14" t="s">
        <v>60</v>
      </c>
      <c r="P224" s="14" t="s">
        <v>5097</v>
      </c>
      <c r="Q224" s="14" t="s">
        <v>11</v>
      </c>
      <c r="R224" s="3">
        <v>0</v>
      </c>
      <c r="S224" s="3">
        <f t="shared" si="10"/>
        <v>550</v>
      </c>
      <c r="T224" s="3">
        <f t="shared" si="11"/>
        <v>0</v>
      </c>
      <c r="U224" s="3" t="s">
        <v>60</v>
      </c>
      <c r="V224" s="14" t="s">
        <v>6</v>
      </c>
      <c r="W224" s="14" t="s">
        <v>5098</v>
      </c>
      <c r="X224" s="14" t="s">
        <v>60</v>
      </c>
    </row>
    <row r="225" spans="1:24" ht="15" x14ac:dyDescent="0.3">
      <c r="A225" s="3">
        <v>15</v>
      </c>
      <c r="B225" s="3" t="s">
        <v>5099</v>
      </c>
      <c r="C225" s="14" t="s">
        <v>0</v>
      </c>
      <c r="D225" s="14" t="s">
        <v>379</v>
      </c>
      <c r="E225" s="14" t="s">
        <v>5073</v>
      </c>
      <c r="F225" s="14" t="s">
        <v>380</v>
      </c>
      <c r="G225" s="14" t="s">
        <v>3</v>
      </c>
      <c r="H225" s="14" t="s">
        <v>5100</v>
      </c>
      <c r="I225" s="14" t="s">
        <v>381</v>
      </c>
      <c r="J225" s="14" t="s">
        <v>60</v>
      </c>
      <c r="K225" s="14" t="s">
        <v>60</v>
      </c>
      <c r="L225" s="14" t="s">
        <v>60</v>
      </c>
      <c r="M225" s="14" t="s">
        <v>382</v>
      </c>
      <c r="N225" s="14" t="s">
        <v>60</v>
      </c>
      <c r="O225" s="14" t="s">
        <v>60</v>
      </c>
      <c r="P225" s="14" t="s">
        <v>5101</v>
      </c>
      <c r="Q225" s="14" t="s">
        <v>11</v>
      </c>
      <c r="R225" s="3">
        <v>0</v>
      </c>
      <c r="S225" s="3">
        <f t="shared" si="10"/>
        <v>550</v>
      </c>
      <c r="T225" s="3">
        <f t="shared" si="11"/>
        <v>0</v>
      </c>
      <c r="U225" s="3" t="s">
        <v>60</v>
      </c>
      <c r="V225" s="14" t="s">
        <v>6</v>
      </c>
      <c r="W225" s="14" t="s">
        <v>5098</v>
      </c>
      <c r="X225" s="14" t="s">
        <v>60</v>
      </c>
    </row>
    <row r="226" spans="1:24" ht="15" x14ac:dyDescent="0.3">
      <c r="A226" s="3">
        <v>16</v>
      </c>
      <c r="B226" s="3" t="s">
        <v>5102</v>
      </c>
      <c r="C226" s="14" t="s">
        <v>354</v>
      </c>
      <c r="D226" s="14" t="s">
        <v>241</v>
      </c>
      <c r="E226" s="14" t="s">
        <v>4367</v>
      </c>
      <c r="F226" s="14" t="s">
        <v>242</v>
      </c>
      <c r="G226" s="14" t="s">
        <v>3</v>
      </c>
      <c r="H226" s="14" t="s">
        <v>243</v>
      </c>
      <c r="I226" s="14" t="s">
        <v>244</v>
      </c>
      <c r="J226" s="14" t="s">
        <v>60</v>
      </c>
      <c r="K226" s="14" t="s">
        <v>60</v>
      </c>
      <c r="L226" s="14" t="s">
        <v>60</v>
      </c>
      <c r="M226" s="14" t="s">
        <v>60</v>
      </c>
      <c r="N226" s="14" t="s">
        <v>60</v>
      </c>
      <c r="O226" s="14" t="s">
        <v>245</v>
      </c>
      <c r="P226" s="14" t="s">
        <v>5103</v>
      </c>
      <c r="Q226" s="14" t="s">
        <v>11</v>
      </c>
      <c r="R226" s="3">
        <v>0</v>
      </c>
      <c r="S226" s="3">
        <f t="shared" si="10"/>
        <v>550</v>
      </c>
      <c r="T226" s="3">
        <f t="shared" si="11"/>
        <v>0</v>
      </c>
      <c r="U226" s="3" t="s">
        <v>60</v>
      </c>
      <c r="V226" s="14" t="s">
        <v>6</v>
      </c>
      <c r="W226" s="14" t="s">
        <v>4980</v>
      </c>
      <c r="X226" s="14" t="s">
        <v>60</v>
      </c>
    </row>
    <row r="227" spans="1:24" ht="15" x14ac:dyDescent="0.3">
      <c r="A227" s="3">
        <v>17</v>
      </c>
      <c r="B227" s="3" t="s">
        <v>5104</v>
      </c>
      <c r="C227" s="14" t="s">
        <v>2079</v>
      </c>
      <c r="D227" s="14" t="s">
        <v>5105</v>
      </c>
      <c r="E227" s="14" t="s">
        <v>5106</v>
      </c>
      <c r="F227" s="14" t="s">
        <v>355</v>
      </c>
      <c r="G227" s="14" t="s">
        <v>3</v>
      </c>
      <c r="H227" s="14" t="s">
        <v>356</v>
      </c>
      <c r="I227" s="14" t="s">
        <v>357</v>
      </c>
      <c r="J227" s="14" t="s">
        <v>60</v>
      </c>
      <c r="K227" s="14" t="s">
        <v>60</v>
      </c>
      <c r="L227" s="14" t="s">
        <v>60</v>
      </c>
      <c r="M227" s="14" t="s">
        <v>358</v>
      </c>
      <c r="N227" s="14" t="s">
        <v>60</v>
      </c>
      <c r="O227" s="14" t="s">
        <v>255</v>
      </c>
      <c r="P227" s="14" t="s">
        <v>5107</v>
      </c>
      <c r="Q227" s="14" t="s">
        <v>11</v>
      </c>
      <c r="R227" s="3">
        <v>0</v>
      </c>
      <c r="S227" s="3">
        <f t="shared" si="10"/>
        <v>640</v>
      </c>
      <c r="T227" s="3">
        <f t="shared" si="11"/>
        <v>0</v>
      </c>
      <c r="U227" s="3" t="s">
        <v>60</v>
      </c>
      <c r="V227" s="14" t="s">
        <v>3889</v>
      </c>
      <c r="W227" s="14" t="s">
        <v>4958</v>
      </c>
      <c r="X227" s="14" t="s">
        <v>60</v>
      </c>
    </row>
    <row r="228" spans="1:24" ht="15" x14ac:dyDescent="0.3">
      <c r="A228" s="3">
        <v>18</v>
      </c>
      <c r="B228" s="3" t="s">
        <v>5108</v>
      </c>
      <c r="C228" s="14" t="s">
        <v>91</v>
      </c>
      <c r="D228" s="14" t="s">
        <v>329</v>
      </c>
      <c r="E228" s="14" t="s">
        <v>5109</v>
      </c>
      <c r="F228" s="14" t="s">
        <v>330</v>
      </c>
      <c r="G228" s="14" t="s">
        <v>3</v>
      </c>
      <c r="H228" s="14" t="s">
        <v>331</v>
      </c>
      <c r="I228" s="14" t="s">
        <v>332</v>
      </c>
      <c r="J228" s="14" t="s">
        <v>60</v>
      </c>
      <c r="K228" s="14" t="s">
        <v>60</v>
      </c>
      <c r="L228" s="14" t="s">
        <v>60</v>
      </c>
      <c r="M228" s="14" t="s">
        <v>333</v>
      </c>
      <c r="N228" s="14" t="s">
        <v>60</v>
      </c>
      <c r="O228" s="14" t="s">
        <v>261</v>
      </c>
      <c r="P228" s="14" t="s">
        <v>5110</v>
      </c>
      <c r="Q228" s="14" t="s">
        <v>185</v>
      </c>
      <c r="R228" s="3">
        <v>0</v>
      </c>
      <c r="S228" s="3">
        <f t="shared" si="10"/>
        <v>770</v>
      </c>
      <c r="T228" s="3">
        <f t="shared" si="11"/>
        <v>0</v>
      </c>
      <c r="U228" s="3" t="s">
        <v>60</v>
      </c>
      <c r="V228" s="14" t="s">
        <v>5111</v>
      </c>
      <c r="W228" s="14" t="s">
        <v>5112</v>
      </c>
      <c r="X228" s="14" t="s">
        <v>60</v>
      </c>
    </row>
    <row r="229" spans="1:24" ht="15" x14ac:dyDescent="0.3">
      <c r="A229" s="3">
        <v>19</v>
      </c>
      <c r="B229" s="3" t="s">
        <v>5113</v>
      </c>
      <c r="C229" s="14" t="s">
        <v>0</v>
      </c>
      <c r="D229" s="14" t="s">
        <v>318</v>
      </c>
      <c r="E229" s="14" t="s">
        <v>4440</v>
      </c>
      <c r="F229" s="14" t="s">
        <v>319</v>
      </c>
      <c r="G229" s="14" t="s">
        <v>3</v>
      </c>
      <c r="H229" s="14" t="s">
        <v>5114</v>
      </c>
      <c r="I229" s="14" t="s">
        <v>320</v>
      </c>
      <c r="J229" s="14" t="s">
        <v>60</v>
      </c>
      <c r="K229" s="14" t="s">
        <v>60</v>
      </c>
      <c r="L229" s="14" t="s">
        <v>60</v>
      </c>
      <c r="M229" s="14" t="s">
        <v>321</v>
      </c>
      <c r="N229" s="14" t="s">
        <v>60</v>
      </c>
      <c r="O229" s="14" t="s">
        <v>114</v>
      </c>
      <c r="P229" s="14" t="s">
        <v>5115</v>
      </c>
      <c r="Q229" s="14" t="s">
        <v>11</v>
      </c>
      <c r="R229" s="3">
        <v>0</v>
      </c>
      <c r="S229" s="3">
        <f t="shared" si="10"/>
        <v>550</v>
      </c>
      <c r="T229" s="3">
        <f t="shared" si="11"/>
        <v>0</v>
      </c>
      <c r="U229" s="3" t="s">
        <v>60</v>
      </c>
      <c r="V229" s="14" t="s">
        <v>6</v>
      </c>
      <c r="W229" s="14" t="s">
        <v>4980</v>
      </c>
      <c r="X229" s="14" t="s">
        <v>60</v>
      </c>
    </row>
    <row r="230" spans="1:24" ht="15.6" x14ac:dyDescent="0.3">
      <c r="A230" s="6">
        <v>20</v>
      </c>
      <c r="B230" s="13">
        <v>8172</v>
      </c>
      <c r="C230" s="14" t="s">
        <v>0</v>
      </c>
      <c r="D230" s="15" t="s">
        <v>383</v>
      </c>
      <c r="E230" s="12">
        <v>31810</v>
      </c>
      <c r="F230" s="5" t="s">
        <v>384</v>
      </c>
      <c r="G230" s="5" t="s">
        <v>3</v>
      </c>
      <c r="H230" s="5" t="s">
        <v>385</v>
      </c>
      <c r="I230" s="8" t="s">
        <v>386</v>
      </c>
      <c r="J230" s="5"/>
      <c r="K230" s="5"/>
      <c r="L230" s="5"/>
      <c r="M230" s="16" t="s">
        <v>387</v>
      </c>
      <c r="N230" s="4"/>
      <c r="O230" s="17" t="s">
        <v>388</v>
      </c>
      <c r="P230" s="6">
        <v>44888657333</v>
      </c>
      <c r="Q230" s="18" t="s">
        <v>389</v>
      </c>
      <c r="R230" s="3">
        <v>0</v>
      </c>
      <c r="S230" s="3">
        <f t="shared" si="10"/>
        <v>550</v>
      </c>
      <c r="T230" s="3">
        <f t="shared" si="11"/>
        <v>0</v>
      </c>
      <c r="U230" s="7">
        <f>SUM(T211:T230)</f>
        <v>0</v>
      </c>
      <c r="V230" s="9" t="s">
        <v>6</v>
      </c>
      <c r="W230" s="11">
        <v>46121</v>
      </c>
      <c r="X230" s="11"/>
    </row>
    <row r="231" spans="1:24" ht="15" x14ac:dyDescent="0.3">
      <c r="A231" s="3">
        <v>21</v>
      </c>
      <c r="B231" s="3" t="s">
        <v>5116</v>
      </c>
      <c r="C231" s="14" t="s">
        <v>146</v>
      </c>
      <c r="D231" s="14" t="s">
        <v>3527</v>
      </c>
      <c r="E231" s="14" t="s">
        <v>5117</v>
      </c>
      <c r="F231" s="14" t="s">
        <v>3529</v>
      </c>
      <c r="G231" s="14" t="s">
        <v>3</v>
      </c>
      <c r="H231" s="14" t="s">
        <v>3647</v>
      </c>
      <c r="I231" s="14" t="s">
        <v>3648</v>
      </c>
      <c r="J231" s="14" t="s">
        <v>60</v>
      </c>
      <c r="K231" s="14" t="s">
        <v>60</v>
      </c>
      <c r="L231" s="14" t="s">
        <v>60</v>
      </c>
      <c r="M231" s="14" t="s">
        <v>3649</v>
      </c>
      <c r="N231" s="14" t="s">
        <v>60</v>
      </c>
      <c r="O231" s="14" t="s">
        <v>60</v>
      </c>
      <c r="P231" s="14" t="s">
        <v>5118</v>
      </c>
      <c r="Q231" s="14" t="s">
        <v>3531</v>
      </c>
      <c r="R231" s="3">
        <v>0</v>
      </c>
      <c r="S231" s="3">
        <f t="shared" si="10"/>
        <v>570</v>
      </c>
      <c r="T231" s="3">
        <f t="shared" si="11"/>
        <v>0</v>
      </c>
      <c r="U231" s="3" t="s">
        <v>60</v>
      </c>
      <c r="V231" s="14" t="s">
        <v>6</v>
      </c>
      <c r="W231" s="14" t="s">
        <v>4444</v>
      </c>
      <c r="X231" s="14" t="s">
        <v>60</v>
      </c>
    </row>
    <row r="232" spans="1:24" ht="15" x14ac:dyDescent="0.3">
      <c r="A232" s="3">
        <v>22</v>
      </c>
      <c r="B232" s="3" t="s">
        <v>5119</v>
      </c>
      <c r="C232" s="14" t="s">
        <v>0</v>
      </c>
      <c r="D232" s="14" t="s">
        <v>3528</v>
      </c>
      <c r="E232" s="14" t="s">
        <v>4195</v>
      </c>
      <c r="F232" s="14" t="s">
        <v>3530</v>
      </c>
      <c r="G232" s="14" t="s">
        <v>3</v>
      </c>
      <c r="H232" s="14" t="s">
        <v>5120</v>
      </c>
      <c r="I232" s="14" t="s">
        <v>3650</v>
      </c>
      <c r="J232" s="14" t="s">
        <v>60</v>
      </c>
      <c r="K232" s="14" t="s">
        <v>60</v>
      </c>
      <c r="L232" s="14" t="s">
        <v>60</v>
      </c>
      <c r="M232" s="14" t="s">
        <v>3651</v>
      </c>
      <c r="N232" s="14" t="s">
        <v>60</v>
      </c>
      <c r="O232" s="14" t="s">
        <v>60</v>
      </c>
      <c r="P232" s="14" t="s">
        <v>5121</v>
      </c>
      <c r="Q232" s="14" t="s">
        <v>11</v>
      </c>
      <c r="R232" s="3">
        <v>0</v>
      </c>
      <c r="S232" s="3">
        <f t="shared" si="10"/>
        <v>550</v>
      </c>
      <c r="T232" s="3">
        <f t="shared" si="11"/>
        <v>0</v>
      </c>
      <c r="U232" s="3" t="s">
        <v>60</v>
      </c>
      <c r="V232" s="14" t="s">
        <v>6</v>
      </c>
      <c r="W232" s="14" t="s">
        <v>5122</v>
      </c>
      <c r="X232" s="14" t="s">
        <v>60</v>
      </c>
    </row>
    <row r="233" spans="1:24" ht="15" x14ac:dyDescent="0.3">
      <c r="A233" s="3">
        <v>23</v>
      </c>
      <c r="B233" s="3" t="s">
        <v>5123</v>
      </c>
      <c r="C233" s="14" t="s">
        <v>0</v>
      </c>
      <c r="D233" s="14" t="s">
        <v>815</v>
      </c>
      <c r="E233" s="14" t="s">
        <v>4778</v>
      </c>
      <c r="F233" s="14" t="s">
        <v>816</v>
      </c>
      <c r="G233" s="14" t="s">
        <v>3</v>
      </c>
      <c r="H233" s="14" t="s">
        <v>5124</v>
      </c>
      <c r="I233" s="14" t="s">
        <v>817</v>
      </c>
      <c r="J233" s="14" t="s">
        <v>60</v>
      </c>
      <c r="K233" s="14" t="s">
        <v>60</v>
      </c>
      <c r="L233" s="14" t="s">
        <v>60</v>
      </c>
      <c r="M233" s="14" t="s">
        <v>818</v>
      </c>
      <c r="N233" s="14" t="s">
        <v>60</v>
      </c>
      <c r="O233" s="14" t="s">
        <v>25</v>
      </c>
      <c r="P233" s="14" t="s">
        <v>5125</v>
      </c>
      <c r="Q233" s="14" t="s">
        <v>11</v>
      </c>
      <c r="R233" s="3">
        <v>0</v>
      </c>
      <c r="S233" s="3">
        <f t="shared" si="10"/>
        <v>550</v>
      </c>
      <c r="T233" s="3">
        <f t="shared" si="11"/>
        <v>0</v>
      </c>
      <c r="U233" s="3" t="s">
        <v>60</v>
      </c>
      <c r="V233" s="14" t="s">
        <v>6</v>
      </c>
      <c r="W233" s="14" t="s">
        <v>4999</v>
      </c>
      <c r="X233" s="14" t="s">
        <v>60</v>
      </c>
    </row>
    <row r="234" spans="1:24" ht="15" x14ac:dyDescent="0.3">
      <c r="A234" s="3">
        <v>24</v>
      </c>
      <c r="B234" s="3" t="s">
        <v>5126</v>
      </c>
      <c r="C234" s="14" t="s">
        <v>0</v>
      </c>
      <c r="D234" s="14" t="s">
        <v>4076</v>
      </c>
      <c r="E234" s="14" t="s">
        <v>4304</v>
      </c>
      <c r="F234" s="14" t="s">
        <v>397</v>
      </c>
      <c r="G234" s="14" t="s">
        <v>3</v>
      </c>
      <c r="H234" s="14" t="s">
        <v>4077</v>
      </c>
      <c r="I234" s="14" t="s">
        <v>4095</v>
      </c>
      <c r="J234" s="14" t="s">
        <v>60</v>
      </c>
      <c r="K234" s="14" t="s">
        <v>60</v>
      </c>
      <c r="L234" s="14" t="s">
        <v>60</v>
      </c>
      <c r="M234" s="14" t="s">
        <v>5127</v>
      </c>
      <c r="N234" s="14" t="s">
        <v>60</v>
      </c>
      <c r="O234" s="14" t="s">
        <v>3910</v>
      </c>
      <c r="P234" s="14" t="s">
        <v>5128</v>
      </c>
      <c r="Q234" s="14" t="s">
        <v>11</v>
      </c>
      <c r="R234" s="3">
        <v>0</v>
      </c>
      <c r="S234" s="3">
        <f t="shared" si="10"/>
        <v>550</v>
      </c>
      <c r="T234" s="3">
        <f t="shared" si="11"/>
        <v>0</v>
      </c>
      <c r="U234" s="3" t="s">
        <v>60</v>
      </c>
      <c r="V234" s="14" t="s">
        <v>6</v>
      </c>
      <c r="W234" s="14" t="s">
        <v>5129</v>
      </c>
      <c r="X234" s="14" t="s">
        <v>60</v>
      </c>
    </row>
    <row r="235" spans="1:24" ht="15" x14ac:dyDescent="0.3">
      <c r="A235" s="3">
        <v>25</v>
      </c>
      <c r="B235" s="3" t="s">
        <v>5130</v>
      </c>
      <c r="C235" s="14" t="s">
        <v>0</v>
      </c>
      <c r="D235" s="14" t="s">
        <v>4078</v>
      </c>
      <c r="E235" s="14" t="s">
        <v>4658</v>
      </c>
      <c r="F235" s="14" t="s">
        <v>4079</v>
      </c>
      <c r="G235" s="14" t="s">
        <v>3</v>
      </c>
      <c r="H235" s="14" t="s">
        <v>4080</v>
      </c>
      <c r="I235" s="14" t="s">
        <v>4096</v>
      </c>
      <c r="J235" s="14" t="s">
        <v>60</v>
      </c>
      <c r="K235" s="14" t="s">
        <v>60</v>
      </c>
      <c r="L235" s="14" t="s">
        <v>60</v>
      </c>
      <c r="M235" s="14" t="s">
        <v>5131</v>
      </c>
      <c r="N235" s="14" t="s">
        <v>60</v>
      </c>
      <c r="O235" s="14" t="s">
        <v>3910</v>
      </c>
      <c r="P235" s="14" t="s">
        <v>5132</v>
      </c>
      <c r="Q235" s="14" t="s">
        <v>1120</v>
      </c>
      <c r="R235" s="3">
        <v>0</v>
      </c>
      <c r="S235" s="3">
        <f t="shared" si="10"/>
        <v>550</v>
      </c>
      <c r="T235" s="3">
        <f t="shared" si="11"/>
        <v>0</v>
      </c>
      <c r="U235" s="3" t="s">
        <v>60</v>
      </c>
      <c r="V235" s="14" t="s">
        <v>6</v>
      </c>
      <c r="W235" s="14" t="s">
        <v>5129</v>
      </c>
      <c r="X235" s="14" t="s">
        <v>60</v>
      </c>
    </row>
    <row r="236" spans="1:24" ht="15" x14ac:dyDescent="0.3">
      <c r="A236" s="3">
        <v>26</v>
      </c>
      <c r="B236" s="3" t="s">
        <v>5133</v>
      </c>
      <c r="C236" s="14" t="s">
        <v>0</v>
      </c>
      <c r="D236" s="14" t="s">
        <v>4081</v>
      </c>
      <c r="E236" s="14" t="s">
        <v>5134</v>
      </c>
      <c r="F236" s="14" t="s">
        <v>4082</v>
      </c>
      <c r="G236" s="14" t="s">
        <v>3</v>
      </c>
      <c r="H236" s="14" t="s">
        <v>4083</v>
      </c>
      <c r="I236" s="14" t="s">
        <v>4097</v>
      </c>
      <c r="J236" s="14" t="s">
        <v>60</v>
      </c>
      <c r="K236" s="14" t="s">
        <v>60</v>
      </c>
      <c r="L236" s="14" t="s">
        <v>60</v>
      </c>
      <c r="M236" s="14" t="s">
        <v>5135</v>
      </c>
      <c r="N236" s="14" t="s">
        <v>60</v>
      </c>
      <c r="O236" s="14" t="s">
        <v>3910</v>
      </c>
      <c r="P236" s="14" t="s">
        <v>5136</v>
      </c>
      <c r="Q236" s="14" t="s">
        <v>11</v>
      </c>
      <c r="R236" s="3">
        <v>0</v>
      </c>
      <c r="S236" s="3">
        <f t="shared" si="10"/>
        <v>550</v>
      </c>
      <c r="T236" s="3">
        <f t="shared" si="11"/>
        <v>0</v>
      </c>
      <c r="U236" s="3" t="s">
        <v>60</v>
      </c>
      <c r="V236" s="14" t="s">
        <v>6</v>
      </c>
      <c r="W236" s="14" t="s">
        <v>5129</v>
      </c>
      <c r="X236" s="14" t="s">
        <v>60</v>
      </c>
    </row>
    <row r="237" spans="1:24" ht="15" x14ac:dyDescent="0.3">
      <c r="A237" s="3">
        <v>27</v>
      </c>
      <c r="B237" s="3" t="s">
        <v>5137</v>
      </c>
      <c r="C237" s="14" t="s">
        <v>0</v>
      </c>
      <c r="D237" s="14" t="s">
        <v>4084</v>
      </c>
      <c r="E237" s="14" t="s">
        <v>4778</v>
      </c>
      <c r="F237" s="14" t="s">
        <v>4085</v>
      </c>
      <c r="G237" s="14" t="s">
        <v>3</v>
      </c>
      <c r="H237" s="14" t="s">
        <v>4086</v>
      </c>
      <c r="I237" s="14" t="s">
        <v>4098</v>
      </c>
      <c r="J237" s="14" t="s">
        <v>60</v>
      </c>
      <c r="K237" s="14" t="s">
        <v>60</v>
      </c>
      <c r="L237" s="14" t="s">
        <v>60</v>
      </c>
      <c r="M237" s="14" t="s">
        <v>5138</v>
      </c>
      <c r="N237" s="14" t="s">
        <v>60</v>
      </c>
      <c r="O237" s="14" t="s">
        <v>3910</v>
      </c>
      <c r="P237" s="14" t="s">
        <v>5139</v>
      </c>
      <c r="Q237" s="14" t="s">
        <v>11</v>
      </c>
      <c r="R237" s="3">
        <v>0</v>
      </c>
      <c r="S237" s="3">
        <f t="shared" si="10"/>
        <v>550</v>
      </c>
      <c r="T237" s="3">
        <f t="shared" si="11"/>
        <v>0</v>
      </c>
      <c r="U237" s="3" t="s">
        <v>60</v>
      </c>
      <c r="V237" s="14" t="s">
        <v>6</v>
      </c>
      <c r="W237" s="14" t="s">
        <v>5129</v>
      </c>
      <c r="X237" s="14" t="s">
        <v>60</v>
      </c>
    </row>
    <row r="238" spans="1:24" ht="15" x14ac:dyDescent="0.3">
      <c r="A238" s="3">
        <v>28</v>
      </c>
      <c r="B238" s="3" t="s">
        <v>5140</v>
      </c>
      <c r="C238" s="14" t="s">
        <v>0</v>
      </c>
      <c r="D238" s="14" t="s">
        <v>2545</v>
      </c>
      <c r="E238" s="14" t="s">
        <v>4308</v>
      </c>
      <c r="F238" s="14" t="s">
        <v>693</v>
      </c>
      <c r="G238" s="14" t="s">
        <v>3</v>
      </c>
      <c r="H238" s="14" t="s">
        <v>4087</v>
      </c>
      <c r="I238" s="14" t="s">
        <v>2546</v>
      </c>
      <c r="J238" s="14" t="s">
        <v>60</v>
      </c>
      <c r="K238" s="14" t="s">
        <v>60</v>
      </c>
      <c r="L238" s="14" t="s">
        <v>60</v>
      </c>
      <c r="M238" s="14" t="s">
        <v>5141</v>
      </c>
      <c r="N238" s="14" t="s">
        <v>60</v>
      </c>
      <c r="O238" s="14" t="s">
        <v>3910</v>
      </c>
      <c r="P238" s="14" t="s">
        <v>5142</v>
      </c>
      <c r="Q238" s="14" t="s">
        <v>11</v>
      </c>
      <c r="R238" s="3">
        <v>0</v>
      </c>
      <c r="S238" s="3">
        <f t="shared" si="10"/>
        <v>550</v>
      </c>
      <c r="T238" s="3">
        <f t="shared" si="11"/>
        <v>0</v>
      </c>
      <c r="U238" s="3" t="s">
        <v>60</v>
      </c>
      <c r="V238" s="14" t="s">
        <v>6</v>
      </c>
      <c r="W238" s="14" t="s">
        <v>5143</v>
      </c>
      <c r="X238" s="14" t="s">
        <v>60</v>
      </c>
    </row>
    <row r="239" spans="1:24" ht="15" x14ac:dyDescent="0.3">
      <c r="A239" s="3">
        <v>29</v>
      </c>
      <c r="B239" s="3" t="s">
        <v>5144</v>
      </c>
      <c r="C239" s="14" t="s">
        <v>0</v>
      </c>
      <c r="D239" s="14" t="s">
        <v>4088</v>
      </c>
      <c r="E239" s="14" t="s">
        <v>5134</v>
      </c>
      <c r="F239" s="14" t="s">
        <v>4089</v>
      </c>
      <c r="G239" s="14" t="s">
        <v>3</v>
      </c>
      <c r="H239" s="14" t="s">
        <v>4090</v>
      </c>
      <c r="I239" s="14" t="s">
        <v>4099</v>
      </c>
      <c r="J239" s="14" t="s">
        <v>60</v>
      </c>
      <c r="K239" s="14" t="s">
        <v>60</v>
      </c>
      <c r="L239" s="14" t="s">
        <v>60</v>
      </c>
      <c r="M239" s="14" t="s">
        <v>5145</v>
      </c>
      <c r="N239" s="14" t="s">
        <v>60</v>
      </c>
      <c r="O239" s="14" t="s">
        <v>3910</v>
      </c>
      <c r="P239" s="14" t="s">
        <v>5146</v>
      </c>
      <c r="Q239" s="14" t="s">
        <v>4091</v>
      </c>
      <c r="R239" s="3">
        <v>0</v>
      </c>
      <c r="S239" s="3">
        <f t="shared" si="10"/>
        <v>550</v>
      </c>
      <c r="T239" s="3">
        <f t="shared" si="11"/>
        <v>0</v>
      </c>
      <c r="U239" s="3" t="s">
        <v>60</v>
      </c>
      <c r="V239" s="14" t="s">
        <v>6</v>
      </c>
      <c r="W239" s="14" t="s">
        <v>5143</v>
      </c>
      <c r="X239" s="14" t="s">
        <v>60</v>
      </c>
    </row>
    <row r="240" spans="1:24" ht="15" x14ac:dyDescent="0.3">
      <c r="A240" s="3">
        <v>30</v>
      </c>
      <c r="B240" s="3" t="s">
        <v>5147</v>
      </c>
      <c r="C240" s="14" t="s">
        <v>0</v>
      </c>
      <c r="D240" s="14" t="s">
        <v>4092</v>
      </c>
      <c r="E240" s="14" t="s">
        <v>5148</v>
      </c>
      <c r="F240" s="14" t="s">
        <v>4093</v>
      </c>
      <c r="G240" s="14" t="s">
        <v>3</v>
      </c>
      <c r="H240" s="14" t="s">
        <v>4094</v>
      </c>
      <c r="I240" s="14" t="s">
        <v>4100</v>
      </c>
      <c r="J240" s="14" t="s">
        <v>60</v>
      </c>
      <c r="K240" s="14" t="s">
        <v>60</v>
      </c>
      <c r="L240" s="14" t="s">
        <v>60</v>
      </c>
      <c r="M240" s="14" t="s">
        <v>5149</v>
      </c>
      <c r="N240" s="14" t="s">
        <v>60</v>
      </c>
      <c r="O240" s="14" t="s">
        <v>3910</v>
      </c>
      <c r="P240" s="14" t="s">
        <v>5150</v>
      </c>
      <c r="Q240" s="14" t="s">
        <v>4091</v>
      </c>
      <c r="R240" s="3">
        <v>0</v>
      </c>
      <c r="S240" s="3">
        <f t="shared" si="10"/>
        <v>550</v>
      </c>
      <c r="T240" s="3">
        <f t="shared" si="11"/>
        <v>0</v>
      </c>
      <c r="U240" s="3" t="s">
        <v>60</v>
      </c>
      <c r="V240" s="14" t="s">
        <v>6</v>
      </c>
      <c r="W240" s="14" t="s">
        <v>5143</v>
      </c>
      <c r="X240" s="14" t="s">
        <v>60</v>
      </c>
    </row>
    <row r="241" spans="1:24" ht="15" x14ac:dyDescent="0.3">
      <c r="A241" s="28">
        <v>31</v>
      </c>
      <c r="B241" s="28" t="s">
        <v>5151</v>
      </c>
      <c r="C241" s="29" t="s">
        <v>0</v>
      </c>
      <c r="D241" s="29" t="s">
        <v>4050</v>
      </c>
      <c r="E241" s="29" t="s">
        <v>5008</v>
      </c>
      <c r="F241" s="29" t="s">
        <v>315</v>
      </c>
      <c r="G241" s="29" t="s">
        <v>3</v>
      </c>
      <c r="H241" s="29" t="s">
        <v>4051</v>
      </c>
      <c r="I241" s="29" t="s">
        <v>4062</v>
      </c>
      <c r="J241" s="29" t="s">
        <v>60</v>
      </c>
      <c r="K241" s="29" t="s">
        <v>60</v>
      </c>
      <c r="L241" s="29" t="s">
        <v>60</v>
      </c>
      <c r="M241" s="29" t="s">
        <v>4063</v>
      </c>
      <c r="N241" s="29" t="s">
        <v>60</v>
      </c>
      <c r="O241" s="29" t="s">
        <v>3910</v>
      </c>
      <c r="P241" s="29">
        <v>34963869542</v>
      </c>
      <c r="Q241" s="29" t="s">
        <v>1120</v>
      </c>
      <c r="R241" s="3">
        <v>0</v>
      </c>
      <c r="S241" s="28">
        <f t="shared" si="10"/>
        <v>550</v>
      </c>
      <c r="T241" s="28">
        <f t="shared" si="11"/>
        <v>0</v>
      </c>
      <c r="U241" s="28" t="s">
        <v>60</v>
      </c>
      <c r="V241" s="29" t="s">
        <v>6</v>
      </c>
      <c r="W241" s="29" t="s">
        <v>5152</v>
      </c>
      <c r="X241" s="29" t="s">
        <v>60</v>
      </c>
    </row>
    <row r="242" spans="1:24" ht="15" x14ac:dyDescent="0.3">
      <c r="A242" s="3">
        <v>32</v>
      </c>
      <c r="B242" s="3" t="s">
        <v>5153</v>
      </c>
      <c r="C242" s="14" t="s">
        <v>14</v>
      </c>
      <c r="D242" s="14" t="s">
        <v>4052</v>
      </c>
      <c r="E242" s="14" t="s">
        <v>5154</v>
      </c>
      <c r="F242" s="14" t="s">
        <v>4068</v>
      </c>
      <c r="G242" s="14" t="s">
        <v>3</v>
      </c>
      <c r="H242" s="14" t="s">
        <v>4069</v>
      </c>
      <c r="I242" s="14" t="s">
        <v>4070</v>
      </c>
      <c r="J242" s="14" t="s">
        <v>60</v>
      </c>
      <c r="K242" s="14" t="s">
        <v>60</v>
      </c>
      <c r="L242" s="14" t="s">
        <v>60</v>
      </c>
      <c r="M242" s="14" t="s">
        <v>4064</v>
      </c>
      <c r="N242" s="14" t="s">
        <v>60</v>
      </c>
      <c r="O242" s="14" t="s">
        <v>3910</v>
      </c>
      <c r="P242" s="14" t="s">
        <v>5155</v>
      </c>
      <c r="Q242" s="14" t="s">
        <v>11</v>
      </c>
      <c r="R242" s="3">
        <v>0</v>
      </c>
      <c r="S242" s="3">
        <f t="shared" si="10"/>
        <v>640</v>
      </c>
      <c r="T242" s="3">
        <f t="shared" si="11"/>
        <v>0</v>
      </c>
      <c r="U242" s="3" t="s">
        <v>60</v>
      </c>
      <c r="V242" s="14" t="s">
        <v>6</v>
      </c>
      <c r="W242" s="14" t="s">
        <v>5152</v>
      </c>
      <c r="X242" s="14" t="s">
        <v>60</v>
      </c>
    </row>
    <row r="243" spans="1:24" ht="15" x14ac:dyDescent="0.3">
      <c r="A243" s="3">
        <v>33</v>
      </c>
      <c r="B243" s="3" t="s">
        <v>5156</v>
      </c>
      <c r="C243" s="14" t="s">
        <v>0</v>
      </c>
      <c r="D243" s="14" t="s">
        <v>4053</v>
      </c>
      <c r="E243" s="14" t="s">
        <v>4195</v>
      </c>
      <c r="F243" s="14" t="s">
        <v>4054</v>
      </c>
      <c r="G243" s="14" t="s">
        <v>3</v>
      </c>
      <c r="H243" s="14" t="s">
        <v>4055</v>
      </c>
      <c r="I243" s="14" t="s">
        <v>4071</v>
      </c>
      <c r="J243" s="14" t="s">
        <v>60</v>
      </c>
      <c r="K243" s="14" t="s">
        <v>60</v>
      </c>
      <c r="L243" s="14" t="s">
        <v>60</v>
      </c>
      <c r="M243" s="14" t="s">
        <v>4065</v>
      </c>
      <c r="N243" s="14" t="s">
        <v>60</v>
      </c>
      <c r="O243" s="14" t="s">
        <v>3910</v>
      </c>
      <c r="P243" s="14" t="s">
        <v>5157</v>
      </c>
      <c r="Q243" s="14" t="s">
        <v>389</v>
      </c>
      <c r="R243" s="3">
        <v>0</v>
      </c>
      <c r="S243" s="3">
        <f t="shared" si="10"/>
        <v>550</v>
      </c>
      <c r="T243" s="3">
        <f t="shared" si="11"/>
        <v>0</v>
      </c>
      <c r="U243" s="3" t="s">
        <v>60</v>
      </c>
      <c r="V243" s="14" t="s">
        <v>6</v>
      </c>
      <c r="W243" s="14" t="s">
        <v>5152</v>
      </c>
      <c r="X243" s="14" t="s">
        <v>60</v>
      </c>
    </row>
    <row r="244" spans="1:24" ht="15" x14ac:dyDescent="0.3">
      <c r="A244" s="3">
        <v>34</v>
      </c>
      <c r="B244" s="3" t="s">
        <v>5158</v>
      </c>
      <c r="C244" s="14" t="s">
        <v>0</v>
      </c>
      <c r="D244" s="14" t="s">
        <v>4059</v>
      </c>
      <c r="E244" s="14" t="s">
        <v>5159</v>
      </c>
      <c r="F244" s="14" t="s">
        <v>4060</v>
      </c>
      <c r="G244" s="14" t="s">
        <v>3</v>
      </c>
      <c r="H244" s="14" t="s">
        <v>4061</v>
      </c>
      <c r="I244" s="14" t="s">
        <v>4075</v>
      </c>
      <c r="J244" s="14" t="s">
        <v>60</v>
      </c>
      <c r="K244" s="14" t="s">
        <v>60</v>
      </c>
      <c r="L244" s="14" t="s">
        <v>60</v>
      </c>
      <c r="M244" s="14" t="s">
        <v>4067</v>
      </c>
      <c r="N244" s="14" t="s">
        <v>60</v>
      </c>
      <c r="O244" s="14" t="s">
        <v>3910</v>
      </c>
      <c r="P244" s="14" t="s">
        <v>5160</v>
      </c>
      <c r="Q244" s="14" t="s">
        <v>240</v>
      </c>
      <c r="R244" s="3">
        <v>0</v>
      </c>
      <c r="S244" s="3">
        <f t="shared" si="10"/>
        <v>550</v>
      </c>
      <c r="T244" s="3">
        <f t="shared" si="11"/>
        <v>0</v>
      </c>
      <c r="U244" s="3" t="s">
        <v>60</v>
      </c>
      <c r="V244" s="14" t="s">
        <v>6</v>
      </c>
      <c r="W244" s="14" t="s">
        <v>5161</v>
      </c>
      <c r="X244" s="14" t="s">
        <v>60</v>
      </c>
    </row>
    <row r="245" spans="1:24" ht="15.6" x14ac:dyDescent="0.3">
      <c r="A245" s="3">
        <v>35</v>
      </c>
      <c r="B245" s="25" t="s">
        <v>5162</v>
      </c>
      <c r="C245" s="14" t="s">
        <v>0</v>
      </c>
      <c r="D245" s="14" t="s">
        <v>5163</v>
      </c>
      <c r="E245" s="14" t="s">
        <v>5164</v>
      </c>
      <c r="F245" s="14" t="s">
        <v>5165</v>
      </c>
      <c r="G245" s="14" t="s">
        <v>3</v>
      </c>
      <c r="H245" s="14" t="s">
        <v>5166</v>
      </c>
      <c r="I245" s="14" t="s">
        <v>5167</v>
      </c>
      <c r="J245" s="14" t="s">
        <v>60</v>
      </c>
      <c r="K245" s="14" t="s">
        <v>60</v>
      </c>
      <c r="L245" s="14" t="s">
        <v>60</v>
      </c>
      <c r="M245" s="14" t="s">
        <v>5168</v>
      </c>
      <c r="N245" s="14" t="s">
        <v>60</v>
      </c>
      <c r="O245" s="14" t="s">
        <v>60</v>
      </c>
      <c r="P245" s="14" t="s">
        <v>5169</v>
      </c>
      <c r="Q245" s="14" t="s">
        <v>11</v>
      </c>
      <c r="R245" s="3">
        <v>0</v>
      </c>
      <c r="S245" s="3">
        <f t="shared" si="10"/>
        <v>550</v>
      </c>
      <c r="T245" s="3">
        <f t="shared" si="11"/>
        <v>0</v>
      </c>
      <c r="U245" s="3" t="s">
        <v>5170</v>
      </c>
      <c r="V245" s="14" t="s">
        <v>6</v>
      </c>
      <c r="W245" s="14" t="s">
        <v>5171</v>
      </c>
      <c r="X245" s="14" t="s">
        <v>60</v>
      </c>
    </row>
    <row r="246" spans="1:24" ht="15.6" x14ac:dyDescent="0.3">
      <c r="A246" s="26" t="s">
        <v>60</v>
      </c>
      <c r="B246" s="26" t="s">
        <v>60</v>
      </c>
      <c r="C246" s="27" t="s">
        <v>60</v>
      </c>
      <c r="D246" s="27" t="s">
        <v>60</v>
      </c>
      <c r="E246" s="27" t="s">
        <v>60</v>
      </c>
      <c r="F246" s="27" t="s">
        <v>60</v>
      </c>
      <c r="G246" s="27" t="s">
        <v>60</v>
      </c>
      <c r="H246" s="27" t="s">
        <v>60</v>
      </c>
      <c r="I246" s="27" t="s">
        <v>60</v>
      </c>
      <c r="J246" s="27" t="s">
        <v>60</v>
      </c>
      <c r="K246" s="27" t="s">
        <v>60</v>
      </c>
      <c r="L246" s="27" t="s">
        <v>60</v>
      </c>
      <c r="M246" s="27" t="s">
        <v>60</v>
      </c>
      <c r="N246" s="27" t="s">
        <v>60</v>
      </c>
      <c r="O246" s="27" t="s">
        <v>60</v>
      </c>
      <c r="P246" s="27" t="s">
        <v>60</v>
      </c>
      <c r="Q246" s="27" t="s">
        <v>60</v>
      </c>
      <c r="R246" s="35" t="s">
        <v>2009</v>
      </c>
      <c r="S246" s="35" t="s">
        <v>60</v>
      </c>
      <c r="T246" s="26">
        <f>SUM(T210:T245)</f>
        <v>0</v>
      </c>
      <c r="U246" s="26" t="s">
        <v>5172</v>
      </c>
      <c r="V246" s="27" t="s">
        <v>60</v>
      </c>
      <c r="W246" s="27" t="s">
        <v>60</v>
      </c>
      <c r="X246" s="27" t="s">
        <v>60</v>
      </c>
    </row>
    <row r="247" spans="1:24" ht="15.6" x14ac:dyDescent="0.3">
      <c r="A247" s="34" t="s">
        <v>5173</v>
      </c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 spans="1:24" ht="109.2" x14ac:dyDescent="0.3">
      <c r="A248" s="23" t="s">
        <v>42</v>
      </c>
      <c r="B248" s="23" t="s">
        <v>43</v>
      </c>
      <c r="C248" s="24" t="s">
        <v>44</v>
      </c>
      <c r="D248" s="24" t="s">
        <v>4154</v>
      </c>
      <c r="E248" s="24" t="s">
        <v>4155</v>
      </c>
      <c r="F248" s="24" t="s">
        <v>4156</v>
      </c>
      <c r="G248" s="24" t="s">
        <v>45</v>
      </c>
      <c r="H248" s="24" t="s">
        <v>4157</v>
      </c>
      <c r="I248" s="24" t="s">
        <v>46</v>
      </c>
      <c r="J248" s="24" t="s">
        <v>4158</v>
      </c>
      <c r="K248" s="24" t="s">
        <v>4159</v>
      </c>
      <c r="L248" s="24" t="s">
        <v>4160</v>
      </c>
      <c r="M248" s="24" t="s">
        <v>4161</v>
      </c>
      <c r="N248" s="24" t="s">
        <v>47</v>
      </c>
      <c r="O248" s="24" t="s">
        <v>48</v>
      </c>
      <c r="P248" s="24" t="s">
        <v>49</v>
      </c>
      <c r="Q248" s="24" t="s">
        <v>50</v>
      </c>
      <c r="R248" s="23" t="s">
        <v>4162</v>
      </c>
      <c r="S248" s="23" t="s">
        <v>4163</v>
      </c>
      <c r="T248" s="23" t="s">
        <v>4164</v>
      </c>
      <c r="U248" s="23" t="s">
        <v>4165</v>
      </c>
      <c r="V248" s="24" t="s">
        <v>51</v>
      </c>
      <c r="W248" s="24" t="s">
        <v>52</v>
      </c>
      <c r="X248" s="24" t="s">
        <v>53</v>
      </c>
    </row>
    <row r="249" spans="1:24" ht="15" x14ac:dyDescent="0.3">
      <c r="A249" s="3">
        <v>1</v>
      </c>
      <c r="B249" s="3" t="s">
        <v>5174</v>
      </c>
      <c r="C249" s="14" t="s">
        <v>128</v>
      </c>
      <c r="D249" s="14" t="s">
        <v>402</v>
      </c>
      <c r="E249" s="14" t="s">
        <v>4644</v>
      </c>
      <c r="F249" s="14" t="s">
        <v>403</v>
      </c>
      <c r="G249" s="14" t="s">
        <v>3</v>
      </c>
      <c r="H249" s="14" t="s">
        <v>404</v>
      </c>
      <c r="I249" s="14" t="s">
        <v>405</v>
      </c>
      <c r="J249" s="14" t="s">
        <v>228</v>
      </c>
      <c r="K249" s="14" t="s">
        <v>60</v>
      </c>
      <c r="L249" s="14" t="s">
        <v>60</v>
      </c>
      <c r="M249" s="14" t="s">
        <v>406</v>
      </c>
      <c r="N249" s="14" t="s">
        <v>60</v>
      </c>
      <c r="O249" s="14" t="s">
        <v>59</v>
      </c>
      <c r="P249" s="14" t="s">
        <v>5175</v>
      </c>
      <c r="Q249" s="14" t="s">
        <v>11</v>
      </c>
      <c r="R249" s="3">
        <v>0</v>
      </c>
      <c r="S249" s="3">
        <f t="shared" ref="S249:S312" si="12">IF(RIGHT(C249,3)="MAZ",550,IF(RIGHT(C249,4)="MATE",570,IF(RIGHT(C249,7)="SKD-III",640,IF(RIGHT(C249,6)="SKD-II",770,IF(RIGHT(C249,5)="SKD-I",900,IF(RIGHT(C249,5)="CPDVR",770,""))))))</f>
        <v>550</v>
      </c>
      <c r="T249" s="3">
        <f t="shared" ref="T249:T312" si="13">R249*S249</f>
        <v>0</v>
      </c>
      <c r="U249" s="3" t="s">
        <v>60</v>
      </c>
      <c r="V249" s="14" t="s">
        <v>6</v>
      </c>
      <c r="W249" s="14" t="s">
        <v>4287</v>
      </c>
      <c r="X249" s="14" t="s">
        <v>60</v>
      </c>
    </row>
    <row r="250" spans="1:24" ht="15" x14ac:dyDescent="0.3">
      <c r="A250" s="3">
        <v>2</v>
      </c>
      <c r="B250" s="3" t="s">
        <v>5176</v>
      </c>
      <c r="C250" s="14" t="s">
        <v>128</v>
      </c>
      <c r="D250" s="14" t="s">
        <v>431</v>
      </c>
      <c r="E250" s="14" t="s">
        <v>4205</v>
      </c>
      <c r="F250" s="14" t="s">
        <v>403</v>
      </c>
      <c r="G250" s="14" t="s">
        <v>3</v>
      </c>
      <c r="H250" s="14" t="s">
        <v>432</v>
      </c>
      <c r="I250" s="14" t="s">
        <v>433</v>
      </c>
      <c r="J250" s="14" t="s">
        <v>60</v>
      </c>
      <c r="K250" s="14" t="s">
        <v>60</v>
      </c>
      <c r="L250" s="14" t="s">
        <v>60</v>
      </c>
      <c r="M250" s="14" t="s">
        <v>434</v>
      </c>
      <c r="N250" s="14" t="s">
        <v>60</v>
      </c>
      <c r="O250" s="14" t="s">
        <v>59</v>
      </c>
      <c r="P250" s="14" t="s">
        <v>5177</v>
      </c>
      <c r="Q250" s="14" t="s">
        <v>11</v>
      </c>
      <c r="R250" s="3">
        <v>0</v>
      </c>
      <c r="S250" s="3">
        <f t="shared" si="12"/>
        <v>550</v>
      </c>
      <c r="T250" s="3">
        <f t="shared" si="13"/>
        <v>0</v>
      </c>
      <c r="U250" s="3" t="s">
        <v>60</v>
      </c>
      <c r="V250" s="14" t="s">
        <v>6</v>
      </c>
      <c r="W250" s="14" t="s">
        <v>5178</v>
      </c>
      <c r="X250" s="14" t="s">
        <v>60</v>
      </c>
    </row>
    <row r="251" spans="1:24" ht="15" x14ac:dyDescent="0.3">
      <c r="A251" s="3">
        <v>3</v>
      </c>
      <c r="B251" s="3" t="s">
        <v>5179</v>
      </c>
      <c r="C251" s="14" t="s">
        <v>14</v>
      </c>
      <c r="D251" s="14" t="s">
        <v>468</v>
      </c>
      <c r="E251" s="14" t="s">
        <v>469</v>
      </c>
      <c r="F251" s="14" t="s">
        <v>470</v>
      </c>
      <c r="G251" s="14" t="s">
        <v>3</v>
      </c>
      <c r="H251" s="14" t="s">
        <v>5180</v>
      </c>
      <c r="I251" s="14" t="s">
        <v>5181</v>
      </c>
      <c r="J251" s="14" t="s">
        <v>60</v>
      </c>
      <c r="K251" s="14" t="s">
        <v>60</v>
      </c>
      <c r="L251" s="14" t="s">
        <v>60</v>
      </c>
      <c r="M251" s="14" t="s">
        <v>471</v>
      </c>
      <c r="N251" s="14" t="s">
        <v>60</v>
      </c>
      <c r="O251" s="14" t="s">
        <v>193</v>
      </c>
      <c r="P251" s="14" t="s">
        <v>5182</v>
      </c>
      <c r="Q251" s="14" t="s">
        <v>11</v>
      </c>
      <c r="R251" s="3">
        <v>0</v>
      </c>
      <c r="S251" s="3">
        <f t="shared" si="12"/>
        <v>640</v>
      </c>
      <c r="T251" s="3">
        <f t="shared" si="13"/>
        <v>0</v>
      </c>
      <c r="U251" s="3" t="s">
        <v>60</v>
      </c>
      <c r="V251" s="14" t="s">
        <v>6</v>
      </c>
      <c r="W251" s="14" t="s">
        <v>4287</v>
      </c>
      <c r="X251" s="14" t="s">
        <v>60</v>
      </c>
    </row>
    <row r="252" spans="1:24" ht="15" x14ac:dyDescent="0.3">
      <c r="A252" s="3">
        <v>4</v>
      </c>
      <c r="B252" s="3" t="s">
        <v>5183</v>
      </c>
      <c r="C252" s="14" t="s">
        <v>14</v>
      </c>
      <c r="D252" s="14" t="s">
        <v>852</v>
      </c>
      <c r="E252" s="14" t="s">
        <v>5184</v>
      </c>
      <c r="F252" s="14" t="s">
        <v>236</v>
      </c>
      <c r="G252" s="14" t="s">
        <v>3</v>
      </c>
      <c r="H252" s="14" t="s">
        <v>5185</v>
      </c>
      <c r="I252" s="14" t="s">
        <v>5186</v>
      </c>
      <c r="J252" s="14" t="s">
        <v>228</v>
      </c>
      <c r="K252" s="14" t="s">
        <v>60</v>
      </c>
      <c r="L252" s="14" t="s">
        <v>60</v>
      </c>
      <c r="M252" s="14" t="s">
        <v>853</v>
      </c>
      <c r="N252" s="14" t="s">
        <v>60</v>
      </c>
      <c r="O252" s="14" t="s">
        <v>59</v>
      </c>
      <c r="P252" s="14" t="s">
        <v>5187</v>
      </c>
      <c r="Q252" s="14" t="s">
        <v>11</v>
      </c>
      <c r="R252" s="3">
        <v>0</v>
      </c>
      <c r="S252" s="3">
        <f t="shared" si="12"/>
        <v>640</v>
      </c>
      <c r="T252" s="3">
        <f t="shared" si="13"/>
        <v>0</v>
      </c>
      <c r="U252" s="3" t="s">
        <v>60</v>
      </c>
      <c r="V252" s="14" t="s">
        <v>6</v>
      </c>
      <c r="W252" s="14" t="s">
        <v>4287</v>
      </c>
      <c r="X252" s="14" t="s">
        <v>60</v>
      </c>
    </row>
    <row r="253" spans="1:24" ht="15" x14ac:dyDescent="0.3">
      <c r="A253" s="3">
        <v>5</v>
      </c>
      <c r="B253" s="3" t="s">
        <v>5188</v>
      </c>
      <c r="C253" s="14" t="s">
        <v>91</v>
      </c>
      <c r="D253" s="14" t="s">
        <v>450</v>
      </c>
      <c r="E253" s="14" t="s">
        <v>4746</v>
      </c>
      <c r="F253" s="14" t="s">
        <v>451</v>
      </c>
      <c r="G253" s="14" t="s">
        <v>3</v>
      </c>
      <c r="H253" s="14" t="s">
        <v>5189</v>
      </c>
      <c r="I253" s="14" t="s">
        <v>452</v>
      </c>
      <c r="J253" s="14" t="s">
        <v>60</v>
      </c>
      <c r="K253" s="14" t="s">
        <v>60</v>
      </c>
      <c r="L253" s="14" t="s">
        <v>60</v>
      </c>
      <c r="M253" s="14" t="s">
        <v>453</v>
      </c>
      <c r="N253" s="14" t="s">
        <v>60</v>
      </c>
      <c r="O253" s="14" t="s">
        <v>60</v>
      </c>
      <c r="P253" s="14" t="s">
        <v>5190</v>
      </c>
      <c r="Q253" s="14" t="s">
        <v>185</v>
      </c>
      <c r="R253" s="3">
        <v>0</v>
      </c>
      <c r="S253" s="3">
        <f t="shared" si="12"/>
        <v>770</v>
      </c>
      <c r="T253" s="3">
        <f t="shared" si="13"/>
        <v>0</v>
      </c>
      <c r="U253" s="3" t="s">
        <v>60</v>
      </c>
      <c r="V253" s="14" t="s">
        <v>6</v>
      </c>
      <c r="W253" s="14" t="s">
        <v>5191</v>
      </c>
      <c r="X253" s="14" t="s">
        <v>60</v>
      </c>
    </row>
    <row r="254" spans="1:24" ht="15" x14ac:dyDescent="0.3">
      <c r="A254" s="3">
        <v>6</v>
      </c>
      <c r="B254" s="3" t="s">
        <v>5192</v>
      </c>
      <c r="C254" s="14" t="s">
        <v>91</v>
      </c>
      <c r="D254" s="14" t="s">
        <v>461</v>
      </c>
      <c r="E254" s="14" t="s">
        <v>5193</v>
      </c>
      <c r="F254" s="14" t="s">
        <v>462</v>
      </c>
      <c r="G254" s="14" t="s">
        <v>3</v>
      </c>
      <c r="H254" s="14" t="s">
        <v>5194</v>
      </c>
      <c r="I254" s="14" t="s">
        <v>463</v>
      </c>
      <c r="J254" s="14" t="s">
        <v>60</v>
      </c>
      <c r="K254" s="14" t="s">
        <v>60</v>
      </c>
      <c r="L254" s="14" t="s">
        <v>60</v>
      </c>
      <c r="M254" s="14" t="s">
        <v>464</v>
      </c>
      <c r="N254" s="14" t="s">
        <v>60</v>
      </c>
      <c r="O254" s="14" t="s">
        <v>465</v>
      </c>
      <c r="P254" s="14" t="s">
        <v>5195</v>
      </c>
      <c r="Q254" s="14" t="s">
        <v>185</v>
      </c>
      <c r="R254" s="3">
        <v>0</v>
      </c>
      <c r="S254" s="3">
        <f t="shared" si="12"/>
        <v>770</v>
      </c>
      <c r="T254" s="3">
        <f t="shared" si="13"/>
        <v>0</v>
      </c>
      <c r="U254" s="3" t="s">
        <v>60</v>
      </c>
      <c r="V254" s="14" t="s">
        <v>6</v>
      </c>
      <c r="W254" s="14" t="s">
        <v>5196</v>
      </c>
      <c r="X254" s="14" t="s">
        <v>60</v>
      </c>
    </row>
    <row r="255" spans="1:24" ht="15" x14ac:dyDescent="0.3">
      <c r="A255" s="3">
        <v>7</v>
      </c>
      <c r="B255" s="3" t="s">
        <v>412</v>
      </c>
      <c r="C255" s="14" t="s">
        <v>0</v>
      </c>
      <c r="D255" s="14" t="s">
        <v>413</v>
      </c>
      <c r="E255" s="14" t="s">
        <v>414</v>
      </c>
      <c r="F255" s="14" t="s">
        <v>415</v>
      </c>
      <c r="G255" s="14" t="s">
        <v>3</v>
      </c>
      <c r="H255" s="14" t="s">
        <v>5197</v>
      </c>
      <c r="I255" s="14" t="s">
        <v>5198</v>
      </c>
      <c r="J255" s="14" t="s">
        <v>60</v>
      </c>
      <c r="K255" s="14" t="s">
        <v>60</v>
      </c>
      <c r="L255" s="14" t="s">
        <v>60</v>
      </c>
      <c r="M255" s="14" t="s">
        <v>60</v>
      </c>
      <c r="N255" s="14" t="s">
        <v>60</v>
      </c>
      <c r="O255" s="14" t="s">
        <v>59</v>
      </c>
      <c r="P255" s="14" t="s">
        <v>5199</v>
      </c>
      <c r="Q255" s="14" t="s">
        <v>185</v>
      </c>
      <c r="R255" s="3">
        <v>0</v>
      </c>
      <c r="S255" s="3">
        <f t="shared" si="12"/>
        <v>550</v>
      </c>
      <c r="T255" s="3">
        <f t="shared" si="13"/>
        <v>0</v>
      </c>
      <c r="U255" s="3" t="s">
        <v>60</v>
      </c>
      <c r="V255" s="14" t="s">
        <v>6</v>
      </c>
      <c r="W255" s="14" t="s">
        <v>4287</v>
      </c>
      <c r="X255" s="14" t="s">
        <v>60</v>
      </c>
    </row>
    <row r="256" spans="1:24" ht="15" x14ac:dyDescent="0.3">
      <c r="A256" s="3">
        <v>8</v>
      </c>
      <c r="B256" s="3" t="s">
        <v>5200</v>
      </c>
      <c r="C256" s="14" t="s">
        <v>0</v>
      </c>
      <c r="D256" s="14" t="s">
        <v>416</v>
      </c>
      <c r="E256" s="14" t="s">
        <v>4644</v>
      </c>
      <c r="F256" s="14" t="s">
        <v>417</v>
      </c>
      <c r="G256" s="14" t="s">
        <v>3</v>
      </c>
      <c r="H256" s="14" t="s">
        <v>5201</v>
      </c>
      <c r="I256" s="14" t="s">
        <v>5202</v>
      </c>
      <c r="J256" s="14" t="s">
        <v>60</v>
      </c>
      <c r="K256" s="14" t="s">
        <v>60</v>
      </c>
      <c r="L256" s="14" t="s">
        <v>60</v>
      </c>
      <c r="M256" s="14" t="s">
        <v>418</v>
      </c>
      <c r="N256" s="14" t="s">
        <v>60</v>
      </c>
      <c r="O256" s="14" t="s">
        <v>59</v>
      </c>
      <c r="P256" s="14" t="s">
        <v>5203</v>
      </c>
      <c r="Q256" s="14" t="s">
        <v>185</v>
      </c>
      <c r="R256" s="3">
        <v>0</v>
      </c>
      <c r="S256" s="3">
        <f t="shared" si="12"/>
        <v>550</v>
      </c>
      <c r="T256" s="3">
        <f t="shared" si="13"/>
        <v>0</v>
      </c>
      <c r="U256" s="3" t="s">
        <v>60</v>
      </c>
      <c r="V256" s="14" t="s">
        <v>6</v>
      </c>
      <c r="W256" s="14" t="s">
        <v>4287</v>
      </c>
      <c r="X256" s="14" t="s">
        <v>60</v>
      </c>
    </row>
    <row r="257" spans="1:24" ht="15" x14ac:dyDescent="0.3">
      <c r="A257" s="3">
        <v>9</v>
      </c>
      <c r="B257" s="3" t="s">
        <v>5204</v>
      </c>
      <c r="C257" s="14" t="s">
        <v>0</v>
      </c>
      <c r="D257" s="14" t="s">
        <v>427</v>
      </c>
      <c r="E257" s="14" t="s">
        <v>4293</v>
      </c>
      <c r="F257" s="14" t="s">
        <v>428</v>
      </c>
      <c r="G257" s="14" t="s">
        <v>3</v>
      </c>
      <c r="H257" s="14" t="s">
        <v>5205</v>
      </c>
      <c r="I257" s="14" t="s">
        <v>429</v>
      </c>
      <c r="J257" s="14" t="s">
        <v>60</v>
      </c>
      <c r="K257" s="14" t="s">
        <v>60</v>
      </c>
      <c r="L257" s="14" t="s">
        <v>60</v>
      </c>
      <c r="M257" s="14" t="s">
        <v>430</v>
      </c>
      <c r="N257" s="14" t="s">
        <v>60</v>
      </c>
      <c r="O257" s="14" t="s">
        <v>59</v>
      </c>
      <c r="P257" s="14" t="s">
        <v>5206</v>
      </c>
      <c r="Q257" s="14" t="s">
        <v>11</v>
      </c>
      <c r="R257" s="3">
        <v>0</v>
      </c>
      <c r="S257" s="3">
        <f t="shared" si="12"/>
        <v>550</v>
      </c>
      <c r="T257" s="3">
        <f t="shared" si="13"/>
        <v>0</v>
      </c>
      <c r="U257" s="3" t="s">
        <v>60</v>
      </c>
      <c r="V257" s="14" t="s">
        <v>6</v>
      </c>
      <c r="W257" s="14" t="s">
        <v>5207</v>
      </c>
      <c r="X257" s="14" t="s">
        <v>60</v>
      </c>
    </row>
    <row r="258" spans="1:24" ht="15" x14ac:dyDescent="0.3">
      <c r="A258" s="3">
        <v>10</v>
      </c>
      <c r="B258" s="3" t="s">
        <v>5208</v>
      </c>
      <c r="C258" s="14" t="s">
        <v>0</v>
      </c>
      <c r="D258" s="14" t="s">
        <v>420</v>
      </c>
      <c r="E258" s="14" t="s">
        <v>5209</v>
      </c>
      <c r="F258" s="14" t="s">
        <v>435</v>
      </c>
      <c r="G258" s="14" t="s">
        <v>3</v>
      </c>
      <c r="H258" s="14" t="s">
        <v>5210</v>
      </c>
      <c r="I258" s="14" t="s">
        <v>436</v>
      </c>
      <c r="J258" s="14" t="s">
        <v>60</v>
      </c>
      <c r="K258" s="14" t="s">
        <v>60</v>
      </c>
      <c r="L258" s="14" t="s">
        <v>60</v>
      </c>
      <c r="M258" s="14" t="s">
        <v>437</v>
      </c>
      <c r="N258" s="14" t="s">
        <v>60</v>
      </c>
      <c r="O258" s="14" t="s">
        <v>59</v>
      </c>
      <c r="P258" s="14" t="s">
        <v>5211</v>
      </c>
      <c r="Q258" s="14" t="s">
        <v>11</v>
      </c>
      <c r="R258" s="3">
        <v>0</v>
      </c>
      <c r="S258" s="3">
        <f t="shared" si="12"/>
        <v>550</v>
      </c>
      <c r="T258" s="3">
        <f t="shared" si="13"/>
        <v>0</v>
      </c>
      <c r="U258" s="3" t="s">
        <v>60</v>
      </c>
      <c r="V258" s="14" t="s">
        <v>6</v>
      </c>
      <c r="W258" s="14" t="s">
        <v>5090</v>
      </c>
      <c r="X258" s="14" t="s">
        <v>60</v>
      </c>
    </row>
    <row r="259" spans="1:24" ht="15" x14ac:dyDescent="0.3">
      <c r="A259" s="3">
        <v>11</v>
      </c>
      <c r="B259" s="3" t="s">
        <v>5212</v>
      </c>
      <c r="C259" s="14" t="s">
        <v>0</v>
      </c>
      <c r="D259" s="14" t="s">
        <v>420</v>
      </c>
      <c r="E259" s="14" t="s">
        <v>4216</v>
      </c>
      <c r="F259" s="14" t="s">
        <v>438</v>
      </c>
      <c r="G259" s="14" t="s">
        <v>3</v>
      </c>
      <c r="H259" s="14" t="s">
        <v>5213</v>
      </c>
      <c r="I259" s="14" t="s">
        <v>439</v>
      </c>
      <c r="J259" s="14" t="s">
        <v>60</v>
      </c>
      <c r="K259" s="14" t="s">
        <v>60</v>
      </c>
      <c r="L259" s="14" t="s">
        <v>60</v>
      </c>
      <c r="M259" s="14" t="s">
        <v>440</v>
      </c>
      <c r="N259" s="14" t="s">
        <v>60</v>
      </c>
      <c r="O259" s="14" t="s">
        <v>59</v>
      </c>
      <c r="P259" s="14" t="s">
        <v>5214</v>
      </c>
      <c r="Q259" s="14" t="s">
        <v>11</v>
      </c>
      <c r="R259" s="3">
        <v>0</v>
      </c>
      <c r="S259" s="3">
        <f t="shared" si="12"/>
        <v>550</v>
      </c>
      <c r="T259" s="3">
        <f t="shared" si="13"/>
        <v>0</v>
      </c>
      <c r="U259" s="3" t="s">
        <v>60</v>
      </c>
      <c r="V259" s="14" t="s">
        <v>6</v>
      </c>
      <c r="W259" s="14" t="s">
        <v>5090</v>
      </c>
      <c r="X259" s="14" t="s">
        <v>60</v>
      </c>
    </row>
    <row r="260" spans="1:24" ht="15" x14ac:dyDescent="0.3">
      <c r="A260" s="3">
        <v>12</v>
      </c>
      <c r="B260" s="3" t="s">
        <v>5215</v>
      </c>
      <c r="C260" s="14" t="s">
        <v>146</v>
      </c>
      <c r="D260" s="14" t="s">
        <v>441</v>
      </c>
      <c r="E260" s="14" t="s">
        <v>5216</v>
      </c>
      <c r="F260" s="14" t="s">
        <v>442</v>
      </c>
      <c r="G260" s="14" t="s">
        <v>3</v>
      </c>
      <c r="H260" s="14" t="s">
        <v>443</v>
      </c>
      <c r="I260" s="14" t="s">
        <v>444</v>
      </c>
      <c r="J260" s="14" t="s">
        <v>60</v>
      </c>
      <c r="K260" s="14" t="s">
        <v>60</v>
      </c>
      <c r="L260" s="14" t="s">
        <v>60</v>
      </c>
      <c r="M260" s="14" t="s">
        <v>445</v>
      </c>
      <c r="N260" s="14" t="s">
        <v>60</v>
      </c>
      <c r="O260" s="14" t="s">
        <v>59</v>
      </c>
      <c r="P260" s="14" t="s">
        <v>5217</v>
      </c>
      <c r="Q260" s="14" t="s">
        <v>11</v>
      </c>
      <c r="R260" s="3">
        <v>0</v>
      </c>
      <c r="S260" s="3">
        <f t="shared" si="12"/>
        <v>570</v>
      </c>
      <c r="T260" s="3">
        <f t="shared" si="13"/>
        <v>0</v>
      </c>
      <c r="U260" s="3" t="s">
        <v>60</v>
      </c>
      <c r="V260" s="14" t="s">
        <v>6</v>
      </c>
      <c r="W260" s="14" t="s">
        <v>5218</v>
      </c>
      <c r="X260" s="14" t="s">
        <v>60</v>
      </c>
    </row>
    <row r="261" spans="1:24" ht="15" x14ac:dyDescent="0.3">
      <c r="A261" s="3">
        <v>13</v>
      </c>
      <c r="B261" s="3" t="s">
        <v>5219</v>
      </c>
      <c r="C261" s="14" t="s">
        <v>0</v>
      </c>
      <c r="D261" s="14" t="s">
        <v>457</v>
      </c>
      <c r="E261" s="14" t="s">
        <v>4367</v>
      </c>
      <c r="F261" s="14" t="s">
        <v>458</v>
      </c>
      <c r="G261" s="14" t="s">
        <v>3</v>
      </c>
      <c r="H261" s="14" t="s">
        <v>5220</v>
      </c>
      <c r="I261" s="14" t="s">
        <v>459</v>
      </c>
      <c r="J261" s="14" t="s">
        <v>60</v>
      </c>
      <c r="K261" s="14" t="s">
        <v>60</v>
      </c>
      <c r="L261" s="14" t="s">
        <v>60</v>
      </c>
      <c r="M261" s="14" t="s">
        <v>460</v>
      </c>
      <c r="N261" s="14" t="s">
        <v>60</v>
      </c>
      <c r="O261" s="14" t="s">
        <v>255</v>
      </c>
      <c r="P261" s="14" t="s">
        <v>5221</v>
      </c>
      <c r="Q261" s="14" t="s">
        <v>11</v>
      </c>
      <c r="R261" s="3">
        <v>0</v>
      </c>
      <c r="S261" s="3">
        <f t="shared" si="12"/>
        <v>550</v>
      </c>
      <c r="T261" s="3">
        <f t="shared" si="13"/>
        <v>0</v>
      </c>
      <c r="U261" s="3" t="s">
        <v>60</v>
      </c>
      <c r="V261" s="14" t="s">
        <v>4208</v>
      </c>
      <c r="W261" s="14" t="s">
        <v>5223</v>
      </c>
      <c r="X261" s="14" t="s">
        <v>60</v>
      </c>
    </row>
    <row r="262" spans="1:24" ht="15" x14ac:dyDescent="0.3">
      <c r="A262" s="3">
        <v>14</v>
      </c>
      <c r="B262" s="3" t="s">
        <v>5224</v>
      </c>
      <c r="C262" s="14" t="s">
        <v>0</v>
      </c>
      <c r="D262" s="14" t="s">
        <v>466</v>
      </c>
      <c r="E262" s="14" t="s">
        <v>5225</v>
      </c>
      <c r="F262" s="14" t="s">
        <v>467</v>
      </c>
      <c r="G262" s="14" t="s">
        <v>3</v>
      </c>
      <c r="H262" s="14" t="s">
        <v>5226</v>
      </c>
      <c r="I262" s="14" t="s">
        <v>5227</v>
      </c>
      <c r="J262" s="14" t="s">
        <v>60</v>
      </c>
      <c r="K262" s="14" t="s">
        <v>60</v>
      </c>
      <c r="L262" s="14" t="s">
        <v>60</v>
      </c>
      <c r="M262" s="14" t="s">
        <v>60</v>
      </c>
      <c r="N262" s="14" t="s">
        <v>60</v>
      </c>
      <c r="O262" s="14" t="s">
        <v>193</v>
      </c>
      <c r="P262" s="14" t="s">
        <v>5228</v>
      </c>
      <c r="Q262" s="14" t="s">
        <v>185</v>
      </c>
      <c r="R262" s="3">
        <v>0</v>
      </c>
      <c r="S262" s="3">
        <f t="shared" si="12"/>
        <v>550</v>
      </c>
      <c r="T262" s="3">
        <f t="shared" si="13"/>
        <v>0</v>
      </c>
      <c r="U262" s="3" t="s">
        <v>60</v>
      </c>
      <c r="V262" s="14" t="s">
        <v>6</v>
      </c>
      <c r="W262" s="14" t="s">
        <v>4287</v>
      </c>
      <c r="X262" s="14" t="s">
        <v>60</v>
      </c>
    </row>
    <row r="263" spans="1:24" ht="15" x14ac:dyDescent="0.3">
      <c r="A263" s="3">
        <v>15</v>
      </c>
      <c r="B263" s="3" t="s">
        <v>472</v>
      </c>
      <c r="C263" s="14" t="s">
        <v>146</v>
      </c>
      <c r="D263" s="14" t="s">
        <v>473</v>
      </c>
      <c r="E263" s="14" t="s">
        <v>5229</v>
      </c>
      <c r="F263" s="14" t="s">
        <v>474</v>
      </c>
      <c r="G263" s="14" t="s">
        <v>3</v>
      </c>
      <c r="H263" s="14" t="s">
        <v>475</v>
      </c>
      <c r="I263" s="14" t="s">
        <v>476</v>
      </c>
      <c r="J263" s="14" t="s">
        <v>228</v>
      </c>
      <c r="K263" s="14" t="s">
        <v>60</v>
      </c>
      <c r="L263" s="14" t="s">
        <v>60</v>
      </c>
      <c r="M263" s="14" t="s">
        <v>477</v>
      </c>
      <c r="N263" s="14" t="s">
        <v>60</v>
      </c>
      <c r="O263" s="14" t="s">
        <v>193</v>
      </c>
      <c r="P263" s="14" t="s">
        <v>5230</v>
      </c>
      <c r="Q263" s="14" t="s">
        <v>11</v>
      </c>
      <c r="R263" s="3">
        <v>0</v>
      </c>
      <c r="S263" s="3">
        <f t="shared" si="12"/>
        <v>570</v>
      </c>
      <c r="T263" s="3">
        <f t="shared" si="13"/>
        <v>0</v>
      </c>
      <c r="U263" s="3" t="s">
        <v>60</v>
      </c>
      <c r="V263" s="14" t="s">
        <v>6</v>
      </c>
      <c r="W263" s="14" t="s">
        <v>4287</v>
      </c>
      <c r="X263" s="14" t="s">
        <v>60</v>
      </c>
    </row>
    <row r="264" spans="1:24" ht="15" x14ac:dyDescent="0.3">
      <c r="A264" s="3">
        <v>16</v>
      </c>
      <c r="B264" s="3" t="s">
        <v>5231</v>
      </c>
      <c r="C264" s="14" t="s">
        <v>0</v>
      </c>
      <c r="D264" s="14" t="s">
        <v>478</v>
      </c>
      <c r="E264" s="14" t="s">
        <v>5232</v>
      </c>
      <c r="F264" s="14" t="s">
        <v>479</v>
      </c>
      <c r="G264" s="14" t="s">
        <v>3</v>
      </c>
      <c r="H264" s="14" t="s">
        <v>5233</v>
      </c>
      <c r="I264" s="14" t="s">
        <v>5234</v>
      </c>
      <c r="J264" s="14" t="s">
        <v>60</v>
      </c>
      <c r="K264" s="14" t="s">
        <v>60</v>
      </c>
      <c r="L264" s="14" t="s">
        <v>60</v>
      </c>
      <c r="M264" s="14" t="s">
        <v>480</v>
      </c>
      <c r="N264" s="14" t="s">
        <v>60</v>
      </c>
      <c r="O264" s="14" t="s">
        <v>179</v>
      </c>
      <c r="P264" s="14" t="s">
        <v>5235</v>
      </c>
      <c r="Q264" s="14" t="s">
        <v>213</v>
      </c>
      <c r="R264" s="3">
        <v>0</v>
      </c>
      <c r="S264" s="3">
        <f t="shared" si="12"/>
        <v>550</v>
      </c>
      <c r="T264" s="3">
        <f t="shared" si="13"/>
        <v>0</v>
      </c>
      <c r="U264" s="3" t="s">
        <v>60</v>
      </c>
      <c r="V264" s="14" t="s">
        <v>6</v>
      </c>
      <c r="W264" s="14" t="s">
        <v>4287</v>
      </c>
      <c r="X264" s="14" t="s">
        <v>60</v>
      </c>
    </row>
    <row r="265" spans="1:24" ht="15" x14ac:dyDescent="0.3">
      <c r="A265" s="3">
        <v>17</v>
      </c>
      <c r="B265" s="3" t="s">
        <v>5236</v>
      </c>
      <c r="C265" s="14" t="s">
        <v>0</v>
      </c>
      <c r="D265" s="14" t="s">
        <v>481</v>
      </c>
      <c r="E265" s="14" t="s">
        <v>5237</v>
      </c>
      <c r="F265" s="14" t="s">
        <v>482</v>
      </c>
      <c r="G265" s="14" t="s">
        <v>3</v>
      </c>
      <c r="H265" s="14" t="s">
        <v>5238</v>
      </c>
      <c r="I265" s="14" t="s">
        <v>483</v>
      </c>
      <c r="J265" s="14" t="s">
        <v>60</v>
      </c>
      <c r="K265" s="14" t="s">
        <v>60</v>
      </c>
      <c r="L265" s="14" t="s">
        <v>60</v>
      </c>
      <c r="M265" s="14" t="s">
        <v>484</v>
      </c>
      <c r="N265" s="14" t="s">
        <v>60</v>
      </c>
      <c r="O265" s="14" t="s">
        <v>485</v>
      </c>
      <c r="P265" s="14" t="s">
        <v>5239</v>
      </c>
      <c r="Q265" s="14" t="s">
        <v>11</v>
      </c>
      <c r="R265" s="3">
        <v>0</v>
      </c>
      <c r="S265" s="3">
        <f t="shared" si="12"/>
        <v>550</v>
      </c>
      <c r="T265" s="3">
        <f t="shared" si="13"/>
        <v>0</v>
      </c>
      <c r="U265" s="3" t="s">
        <v>60</v>
      </c>
      <c r="V265" s="14" t="s">
        <v>6</v>
      </c>
      <c r="W265" s="14" t="s">
        <v>5240</v>
      </c>
      <c r="X265" s="14" t="s">
        <v>60</v>
      </c>
    </row>
    <row r="266" spans="1:24" ht="15" x14ac:dyDescent="0.3">
      <c r="A266" s="3">
        <v>18</v>
      </c>
      <c r="B266" s="3" t="s">
        <v>5241</v>
      </c>
      <c r="C266" s="14" t="s">
        <v>0</v>
      </c>
      <c r="D266" s="14" t="s">
        <v>488</v>
      </c>
      <c r="E266" s="14" t="s">
        <v>4205</v>
      </c>
      <c r="F266" s="14" t="s">
        <v>489</v>
      </c>
      <c r="G266" s="14" t="s">
        <v>3</v>
      </c>
      <c r="H266" s="14" t="s">
        <v>5242</v>
      </c>
      <c r="I266" s="14" t="s">
        <v>490</v>
      </c>
      <c r="J266" s="14" t="s">
        <v>60</v>
      </c>
      <c r="K266" s="14" t="s">
        <v>60</v>
      </c>
      <c r="L266" s="14" t="s">
        <v>60</v>
      </c>
      <c r="M266" s="14" t="s">
        <v>491</v>
      </c>
      <c r="N266" s="14" t="s">
        <v>60</v>
      </c>
      <c r="O266" s="14" t="s">
        <v>487</v>
      </c>
      <c r="P266" s="14" t="s">
        <v>5243</v>
      </c>
      <c r="Q266" s="14" t="s">
        <v>11</v>
      </c>
      <c r="R266" s="3">
        <v>0</v>
      </c>
      <c r="S266" s="3">
        <f t="shared" si="12"/>
        <v>550</v>
      </c>
      <c r="T266" s="3">
        <f t="shared" si="13"/>
        <v>0</v>
      </c>
      <c r="U266" s="3" t="s">
        <v>60</v>
      </c>
      <c r="V266" s="14" t="s">
        <v>6</v>
      </c>
      <c r="W266" s="14" t="s">
        <v>5245</v>
      </c>
      <c r="X266" s="14" t="s">
        <v>60</v>
      </c>
    </row>
    <row r="267" spans="1:24" ht="15" x14ac:dyDescent="0.3">
      <c r="A267" s="3">
        <v>19</v>
      </c>
      <c r="B267" s="3" t="s">
        <v>5246</v>
      </c>
      <c r="C267" s="14" t="s">
        <v>0</v>
      </c>
      <c r="D267" s="14" t="s">
        <v>492</v>
      </c>
      <c r="E267" s="14" t="s">
        <v>4440</v>
      </c>
      <c r="F267" s="14" t="s">
        <v>372</v>
      </c>
      <c r="G267" s="14" t="s">
        <v>3</v>
      </c>
      <c r="H267" s="14" t="s">
        <v>493</v>
      </c>
      <c r="I267" s="14" t="s">
        <v>494</v>
      </c>
      <c r="J267" s="14" t="s">
        <v>60</v>
      </c>
      <c r="K267" s="14" t="s">
        <v>60</v>
      </c>
      <c r="L267" s="14" t="s">
        <v>60</v>
      </c>
      <c r="M267" s="14" t="s">
        <v>495</v>
      </c>
      <c r="N267" s="14" t="s">
        <v>60</v>
      </c>
      <c r="O267" s="14" t="s">
        <v>25</v>
      </c>
      <c r="P267" s="14" t="s">
        <v>5247</v>
      </c>
      <c r="Q267" s="14" t="s">
        <v>11</v>
      </c>
      <c r="R267" s="3">
        <v>0</v>
      </c>
      <c r="S267" s="3">
        <f t="shared" si="12"/>
        <v>550</v>
      </c>
      <c r="T267" s="3">
        <f t="shared" si="13"/>
        <v>0</v>
      </c>
      <c r="U267" s="3" t="s">
        <v>60</v>
      </c>
      <c r="V267" s="14" t="s">
        <v>6</v>
      </c>
      <c r="W267" s="14" t="s">
        <v>5248</v>
      </c>
      <c r="X267" s="30">
        <v>46283</v>
      </c>
    </row>
    <row r="268" spans="1:24" ht="15" x14ac:dyDescent="0.3">
      <c r="A268" s="3">
        <v>20</v>
      </c>
      <c r="B268" s="3" t="s">
        <v>5249</v>
      </c>
      <c r="C268" s="14" t="s">
        <v>0</v>
      </c>
      <c r="D268" s="14" t="s">
        <v>496</v>
      </c>
      <c r="E268" s="14" t="s">
        <v>5250</v>
      </c>
      <c r="F268" s="14" t="s">
        <v>497</v>
      </c>
      <c r="G268" s="14" t="s">
        <v>121</v>
      </c>
      <c r="H268" s="14" t="s">
        <v>5251</v>
      </c>
      <c r="I268" s="14" t="s">
        <v>498</v>
      </c>
      <c r="J268" s="14" t="s">
        <v>60</v>
      </c>
      <c r="K268" s="14" t="s">
        <v>60</v>
      </c>
      <c r="L268" s="14" t="s">
        <v>60</v>
      </c>
      <c r="M268" s="14" t="s">
        <v>499</v>
      </c>
      <c r="N268" s="14" t="s">
        <v>60</v>
      </c>
      <c r="O268" s="14" t="s">
        <v>25</v>
      </c>
      <c r="P268" s="14" t="s">
        <v>5252</v>
      </c>
      <c r="Q268" s="14" t="s">
        <v>500</v>
      </c>
      <c r="R268" s="3">
        <v>0</v>
      </c>
      <c r="S268" s="3">
        <f t="shared" si="12"/>
        <v>550</v>
      </c>
      <c r="T268" s="3">
        <f t="shared" si="13"/>
        <v>0</v>
      </c>
      <c r="U268" s="3" t="s">
        <v>5253</v>
      </c>
      <c r="V268" s="14" t="s">
        <v>6</v>
      </c>
      <c r="W268" s="14" t="s">
        <v>4985</v>
      </c>
      <c r="X268" s="14" t="s">
        <v>60</v>
      </c>
    </row>
    <row r="269" spans="1:24" ht="15" x14ac:dyDescent="0.3">
      <c r="A269" s="3">
        <v>21</v>
      </c>
      <c r="B269" s="3" t="s">
        <v>5254</v>
      </c>
      <c r="C269" s="14" t="s">
        <v>0</v>
      </c>
      <c r="D269" s="14" t="s">
        <v>501</v>
      </c>
      <c r="E269" s="14" t="s">
        <v>5008</v>
      </c>
      <c r="F269" s="14" t="s">
        <v>502</v>
      </c>
      <c r="G269" s="14" t="s">
        <v>3</v>
      </c>
      <c r="H269" s="14" t="s">
        <v>5255</v>
      </c>
      <c r="I269" s="14" t="s">
        <v>503</v>
      </c>
      <c r="J269" s="14" t="s">
        <v>60</v>
      </c>
      <c r="K269" s="14" t="s">
        <v>60</v>
      </c>
      <c r="L269" s="14" t="s">
        <v>60</v>
      </c>
      <c r="M269" s="14" t="s">
        <v>504</v>
      </c>
      <c r="N269" s="14" t="s">
        <v>60</v>
      </c>
      <c r="O269" s="14" t="s">
        <v>25</v>
      </c>
      <c r="P269" s="14" t="s">
        <v>5256</v>
      </c>
      <c r="Q269" s="14" t="s">
        <v>11</v>
      </c>
      <c r="R269" s="3">
        <v>0</v>
      </c>
      <c r="S269" s="3">
        <f t="shared" si="12"/>
        <v>550</v>
      </c>
      <c r="T269" s="3">
        <f t="shared" si="13"/>
        <v>0</v>
      </c>
      <c r="U269" s="3" t="s">
        <v>60</v>
      </c>
      <c r="V269" s="14" t="s">
        <v>6</v>
      </c>
      <c r="W269" s="14" t="s">
        <v>5248</v>
      </c>
      <c r="X269" s="14" t="s">
        <v>60</v>
      </c>
    </row>
    <row r="270" spans="1:24" ht="15" x14ac:dyDescent="0.3">
      <c r="A270" s="3">
        <v>22</v>
      </c>
      <c r="B270" s="3" t="s">
        <v>5257</v>
      </c>
      <c r="C270" s="14" t="s">
        <v>0</v>
      </c>
      <c r="D270" s="14" t="s">
        <v>509</v>
      </c>
      <c r="E270" s="14" t="s">
        <v>5258</v>
      </c>
      <c r="F270" s="14" t="s">
        <v>510</v>
      </c>
      <c r="G270" s="14" t="s">
        <v>3</v>
      </c>
      <c r="H270" s="14" t="s">
        <v>5259</v>
      </c>
      <c r="I270" s="14" t="s">
        <v>511</v>
      </c>
      <c r="J270" s="14" t="s">
        <v>60</v>
      </c>
      <c r="K270" s="14" t="s">
        <v>60</v>
      </c>
      <c r="L270" s="14" t="s">
        <v>60</v>
      </c>
      <c r="M270" s="14" t="s">
        <v>512</v>
      </c>
      <c r="N270" s="14" t="s">
        <v>60</v>
      </c>
      <c r="O270" s="14" t="s">
        <v>25</v>
      </c>
      <c r="P270" s="14" t="s">
        <v>5260</v>
      </c>
      <c r="Q270" s="14" t="s">
        <v>11</v>
      </c>
      <c r="R270" s="3">
        <v>0</v>
      </c>
      <c r="S270" s="3">
        <f t="shared" si="12"/>
        <v>550</v>
      </c>
      <c r="T270" s="3">
        <f t="shared" si="13"/>
        <v>0</v>
      </c>
      <c r="U270" s="3" t="s">
        <v>60</v>
      </c>
      <c r="V270" s="14" t="s">
        <v>6</v>
      </c>
      <c r="W270" s="14" t="s">
        <v>5248</v>
      </c>
      <c r="X270" s="14" t="s">
        <v>60</v>
      </c>
    </row>
    <row r="271" spans="1:24" ht="15" x14ac:dyDescent="0.3">
      <c r="A271" s="3">
        <v>23</v>
      </c>
      <c r="B271" s="3" t="s">
        <v>5261</v>
      </c>
      <c r="C271" s="14" t="s">
        <v>0</v>
      </c>
      <c r="D271" s="14" t="s">
        <v>514</v>
      </c>
      <c r="E271" s="14" t="s">
        <v>5262</v>
      </c>
      <c r="F271" s="14" t="s">
        <v>515</v>
      </c>
      <c r="G271" s="14" t="s">
        <v>3</v>
      </c>
      <c r="H271" s="14" t="s">
        <v>5263</v>
      </c>
      <c r="I271" s="14" t="s">
        <v>516</v>
      </c>
      <c r="J271" s="14" t="s">
        <v>60</v>
      </c>
      <c r="K271" s="14" t="s">
        <v>60</v>
      </c>
      <c r="L271" s="14" t="s">
        <v>60</v>
      </c>
      <c r="M271" s="14" t="s">
        <v>517</v>
      </c>
      <c r="N271" s="14" t="s">
        <v>60</v>
      </c>
      <c r="O271" s="14" t="s">
        <v>25</v>
      </c>
      <c r="P271" s="14" t="s">
        <v>5264</v>
      </c>
      <c r="Q271" s="14" t="s">
        <v>11</v>
      </c>
      <c r="R271" s="3">
        <v>0</v>
      </c>
      <c r="S271" s="3">
        <f t="shared" si="12"/>
        <v>550</v>
      </c>
      <c r="T271" s="3">
        <f t="shared" si="13"/>
        <v>0</v>
      </c>
      <c r="U271" s="3" t="s">
        <v>60</v>
      </c>
      <c r="V271" s="14" t="s">
        <v>6</v>
      </c>
      <c r="W271" s="14" t="s">
        <v>5248</v>
      </c>
      <c r="X271" s="14" t="s">
        <v>60</v>
      </c>
    </row>
    <row r="272" spans="1:24" ht="15" x14ac:dyDescent="0.3">
      <c r="A272" s="3">
        <v>24</v>
      </c>
      <c r="B272" s="3" t="s">
        <v>5265</v>
      </c>
      <c r="C272" s="14" t="s">
        <v>0</v>
      </c>
      <c r="D272" s="14" t="s">
        <v>518</v>
      </c>
      <c r="E272" s="14" t="s">
        <v>4644</v>
      </c>
      <c r="F272" s="14" t="s">
        <v>486</v>
      </c>
      <c r="G272" s="14" t="s">
        <v>3</v>
      </c>
      <c r="H272" s="14" t="s">
        <v>5266</v>
      </c>
      <c r="I272" s="14" t="s">
        <v>519</v>
      </c>
      <c r="J272" s="14" t="s">
        <v>60</v>
      </c>
      <c r="K272" s="14" t="s">
        <v>60</v>
      </c>
      <c r="L272" s="14" t="s">
        <v>60</v>
      </c>
      <c r="M272" s="14" t="s">
        <v>520</v>
      </c>
      <c r="N272" s="14" t="s">
        <v>60</v>
      </c>
      <c r="O272" s="14" t="s">
        <v>388</v>
      </c>
      <c r="P272" s="14" t="s">
        <v>5267</v>
      </c>
      <c r="Q272" s="14" t="s">
        <v>11</v>
      </c>
      <c r="R272" s="3">
        <v>0</v>
      </c>
      <c r="S272" s="3">
        <f t="shared" si="12"/>
        <v>550</v>
      </c>
      <c r="T272" s="3">
        <f t="shared" si="13"/>
        <v>0</v>
      </c>
      <c r="U272" s="3" t="s">
        <v>60</v>
      </c>
      <c r="V272" s="14" t="s">
        <v>6</v>
      </c>
      <c r="W272" s="14" t="s">
        <v>5268</v>
      </c>
      <c r="X272" s="14" t="s">
        <v>60</v>
      </c>
    </row>
    <row r="273" spans="1:24" ht="15" x14ac:dyDescent="0.3">
      <c r="A273" s="3">
        <v>25</v>
      </c>
      <c r="B273" s="3" t="s">
        <v>5269</v>
      </c>
      <c r="C273" s="14" t="s">
        <v>0</v>
      </c>
      <c r="D273" s="14" t="s">
        <v>521</v>
      </c>
      <c r="E273" s="14" t="s">
        <v>5270</v>
      </c>
      <c r="F273" s="14" t="s">
        <v>522</v>
      </c>
      <c r="G273" s="14" t="s">
        <v>3</v>
      </c>
      <c r="H273" s="14" t="s">
        <v>5271</v>
      </c>
      <c r="I273" s="14" t="s">
        <v>523</v>
      </c>
      <c r="J273" s="14" t="s">
        <v>60</v>
      </c>
      <c r="K273" s="14" t="s">
        <v>60</v>
      </c>
      <c r="L273" s="14" t="s">
        <v>60</v>
      </c>
      <c r="M273" s="14" t="s">
        <v>524</v>
      </c>
      <c r="N273" s="14" t="s">
        <v>60</v>
      </c>
      <c r="O273" s="14" t="s">
        <v>388</v>
      </c>
      <c r="P273" s="14" t="s">
        <v>5272</v>
      </c>
      <c r="Q273" s="14" t="s">
        <v>11</v>
      </c>
      <c r="R273" s="3">
        <v>0</v>
      </c>
      <c r="S273" s="3">
        <f t="shared" si="12"/>
        <v>550</v>
      </c>
      <c r="T273" s="3">
        <f t="shared" si="13"/>
        <v>0</v>
      </c>
      <c r="U273" s="3" t="s">
        <v>60</v>
      </c>
      <c r="V273" s="14" t="s">
        <v>6</v>
      </c>
      <c r="W273" s="14" t="s">
        <v>5268</v>
      </c>
      <c r="X273" s="14" t="s">
        <v>60</v>
      </c>
    </row>
    <row r="274" spans="1:24" ht="15" x14ac:dyDescent="0.3">
      <c r="A274" s="3">
        <v>26</v>
      </c>
      <c r="B274" s="3" t="s">
        <v>5273</v>
      </c>
      <c r="C274" s="14" t="s">
        <v>0</v>
      </c>
      <c r="D274" s="14" t="s">
        <v>525</v>
      </c>
      <c r="E274" s="14" t="s">
        <v>5037</v>
      </c>
      <c r="F274" s="14" t="s">
        <v>526</v>
      </c>
      <c r="G274" s="14" t="s">
        <v>3</v>
      </c>
      <c r="H274" s="14" t="s">
        <v>5274</v>
      </c>
      <c r="I274" s="14" t="s">
        <v>527</v>
      </c>
      <c r="J274" s="14" t="s">
        <v>60</v>
      </c>
      <c r="K274" s="14" t="s">
        <v>60</v>
      </c>
      <c r="L274" s="14" t="s">
        <v>60</v>
      </c>
      <c r="M274" s="14" t="s">
        <v>528</v>
      </c>
      <c r="N274" s="14" t="s">
        <v>60</v>
      </c>
      <c r="O274" s="14" t="s">
        <v>388</v>
      </c>
      <c r="P274" s="14" t="s">
        <v>5275</v>
      </c>
      <c r="Q274" s="14" t="s">
        <v>11</v>
      </c>
      <c r="R274" s="3">
        <v>0</v>
      </c>
      <c r="S274" s="3">
        <f t="shared" si="12"/>
        <v>550</v>
      </c>
      <c r="T274" s="3">
        <f t="shared" si="13"/>
        <v>0</v>
      </c>
      <c r="U274" s="3" t="s">
        <v>60</v>
      </c>
      <c r="V274" s="14" t="s">
        <v>6</v>
      </c>
      <c r="W274" s="14" t="s">
        <v>5268</v>
      </c>
      <c r="X274" s="14" t="s">
        <v>60</v>
      </c>
    </row>
    <row r="275" spans="1:24" ht="15" x14ac:dyDescent="0.3">
      <c r="A275" s="3">
        <v>27</v>
      </c>
      <c r="B275" s="3" t="s">
        <v>5276</v>
      </c>
      <c r="C275" s="14" t="s">
        <v>0</v>
      </c>
      <c r="D275" s="14" t="s">
        <v>529</v>
      </c>
      <c r="E275" s="14" t="s">
        <v>5277</v>
      </c>
      <c r="F275" s="14" t="s">
        <v>530</v>
      </c>
      <c r="G275" s="14" t="s">
        <v>3</v>
      </c>
      <c r="H275" s="14" t="s">
        <v>5278</v>
      </c>
      <c r="I275" s="14" t="s">
        <v>531</v>
      </c>
      <c r="J275" s="14" t="s">
        <v>60</v>
      </c>
      <c r="K275" s="14" t="s">
        <v>60</v>
      </c>
      <c r="L275" s="14" t="s">
        <v>60</v>
      </c>
      <c r="M275" s="14" t="s">
        <v>532</v>
      </c>
      <c r="N275" s="14" t="s">
        <v>60</v>
      </c>
      <c r="O275" s="14" t="s">
        <v>388</v>
      </c>
      <c r="P275" s="14" t="s">
        <v>5279</v>
      </c>
      <c r="Q275" s="14" t="s">
        <v>11</v>
      </c>
      <c r="R275" s="3">
        <v>0</v>
      </c>
      <c r="S275" s="3">
        <f t="shared" si="12"/>
        <v>550</v>
      </c>
      <c r="T275" s="3">
        <f t="shared" si="13"/>
        <v>0</v>
      </c>
      <c r="U275" s="3" t="s">
        <v>60</v>
      </c>
      <c r="V275" s="14" t="s">
        <v>6</v>
      </c>
      <c r="W275" s="14" t="s">
        <v>5268</v>
      </c>
      <c r="X275" s="14" t="s">
        <v>60</v>
      </c>
    </row>
    <row r="276" spans="1:24" ht="15" x14ac:dyDescent="0.3">
      <c r="A276" s="3">
        <v>28</v>
      </c>
      <c r="B276" s="3" t="s">
        <v>5280</v>
      </c>
      <c r="C276" s="14" t="s">
        <v>0</v>
      </c>
      <c r="D276" s="14" t="s">
        <v>533</v>
      </c>
      <c r="E276" s="14" t="s">
        <v>5281</v>
      </c>
      <c r="F276" s="14" t="s">
        <v>420</v>
      </c>
      <c r="G276" s="14" t="s">
        <v>3</v>
      </c>
      <c r="H276" s="14" t="s">
        <v>534</v>
      </c>
      <c r="I276" s="14" t="s">
        <v>535</v>
      </c>
      <c r="J276" s="14" t="s">
        <v>60</v>
      </c>
      <c r="K276" s="14" t="s">
        <v>60</v>
      </c>
      <c r="L276" s="14" t="s">
        <v>60</v>
      </c>
      <c r="M276" s="14" t="s">
        <v>536</v>
      </c>
      <c r="N276" s="14" t="s">
        <v>60</v>
      </c>
      <c r="O276" s="14" t="s">
        <v>255</v>
      </c>
      <c r="P276" s="14" t="s">
        <v>5282</v>
      </c>
      <c r="Q276" s="14" t="s">
        <v>11</v>
      </c>
      <c r="R276" s="3">
        <v>0</v>
      </c>
      <c r="S276" s="3">
        <f t="shared" si="12"/>
        <v>550</v>
      </c>
      <c r="T276" s="3">
        <f t="shared" si="13"/>
        <v>0</v>
      </c>
      <c r="U276" s="3" t="s">
        <v>60</v>
      </c>
      <c r="V276" s="14" t="s">
        <v>6</v>
      </c>
      <c r="W276" s="14" t="s">
        <v>5223</v>
      </c>
      <c r="X276" s="30">
        <v>46283</v>
      </c>
    </row>
    <row r="277" spans="1:24" ht="15" x14ac:dyDescent="0.3">
      <c r="A277" s="3">
        <v>29</v>
      </c>
      <c r="B277" s="3" t="s">
        <v>5283</v>
      </c>
      <c r="C277" s="14" t="s">
        <v>0</v>
      </c>
      <c r="D277" s="14" t="s">
        <v>537</v>
      </c>
      <c r="E277" s="14" t="s">
        <v>5284</v>
      </c>
      <c r="F277" s="14" t="s">
        <v>538</v>
      </c>
      <c r="G277" s="14" t="s">
        <v>3</v>
      </c>
      <c r="H277" s="14" t="s">
        <v>5285</v>
      </c>
      <c r="I277" s="14" t="s">
        <v>539</v>
      </c>
      <c r="J277" s="14" t="s">
        <v>60</v>
      </c>
      <c r="K277" s="14" t="s">
        <v>60</v>
      </c>
      <c r="L277" s="14" t="s">
        <v>60</v>
      </c>
      <c r="M277" s="14" t="s">
        <v>540</v>
      </c>
      <c r="N277" s="14" t="s">
        <v>60</v>
      </c>
      <c r="O277" s="14" t="s">
        <v>255</v>
      </c>
      <c r="P277" s="14" t="s">
        <v>5286</v>
      </c>
      <c r="Q277" s="14" t="s">
        <v>11</v>
      </c>
      <c r="R277" s="3">
        <v>0</v>
      </c>
      <c r="S277" s="3">
        <f t="shared" si="12"/>
        <v>550</v>
      </c>
      <c r="T277" s="3">
        <f t="shared" si="13"/>
        <v>0</v>
      </c>
      <c r="U277" s="3" t="s">
        <v>60</v>
      </c>
      <c r="V277" s="14" t="s">
        <v>6</v>
      </c>
      <c r="W277" s="14" t="s">
        <v>5223</v>
      </c>
      <c r="X277" s="14" t="s">
        <v>60</v>
      </c>
    </row>
    <row r="278" spans="1:24" ht="15" x14ac:dyDescent="0.3">
      <c r="A278" s="3">
        <v>30</v>
      </c>
      <c r="B278" s="3" t="s">
        <v>5287</v>
      </c>
      <c r="C278" s="14" t="s">
        <v>0</v>
      </c>
      <c r="D278" s="14" t="s">
        <v>541</v>
      </c>
      <c r="E278" s="14" t="s">
        <v>5288</v>
      </c>
      <c r="F278" s="14" t="s">
        <v>542</v>
      </c>
      <c r="G278" s="14" t="s">
        <v>3</v>
      </c>
      <c r="H278" s="14" t="s">
        <v>5289</v>
      </c>
      <c r="I278" s="14" t="s">
        <v>543</v>
      </c>
      <c r="J278" s="14" t="s">
        <v>60</v>
      </c>
      <c r="K278" s="14" t="s">
        <v>60</v>
      </c>
      <c r="L278" s="14" t="s">
        <v>60</v>
      </c>
      <c r="M278" s="14" t="s">
        <v>544</v>
      </c>
      <c r="N278" s="14" t="s">
        <v>60</v>
      </c>
      <c r="O278" s="14" t="s">
        <v>60</v>
      </c>
      <c r="P278" s="14" t="s">
        <v>5290</v>
      </c>
      <c r="Q278" s="14" t="s">
        <v>11</v>
      </c>
      <c r="R278" s="3">
        <v>0</v>
      </c>
      <c r="S278" s="3">
        <f t="shared" si="12"/>
        <v>550</v>
      </c>
      <c r="T278" s="3">
        <f t="shared" si="13"/>
        <v>0</v>
      </c>
      <c r="U278" s="3" t="s">
        <v>60</v>
      </c>
      <c r="V278" s="14" t="s">
        <v>6</v>
      </c>
      <c r="W278" s="14" t="s">
        <v>5291</v>
      </c>
      <c r="X278" s="14" t="s">
        <v>60</v>
      </c>
    </row>
    <row r="279" spans="1:24" ht="15" x14ac:dyDescent="0.3">
      <c r="A279" s="3">
        <v>31</v>
      </c>
      <c r="B279" s="3" t="s">
        <v>5292</v>
      </c>
      <c r="C279" s="14" t="s">
        <v>0</v>
      </c>
      <c r="D279" s="14" t="s">
        <v>545</v>
      </c>
      <c r="E279" s="14" t="s">
        <v>5008</v>
      </c>
      <c r="F279" s="14" t="s">
        <v>546</v>
      </c>
      <c r="G279" s="14" t="s">
        <v>3</v>
      </c>
      <c r="H279" s="14" t="s">
        <v>5293</v>
      </c>
      <c r="I279" s="14" t="s">
        <v>547</v>
      </c>
      <c r="J279" s="14" t="s">
        <v>60</v>
      </c>
      <c r="K279" s="14" t="s">
        <v>60</v>
      </c>
      <c r="L279" s="14" t="s">
        <v>60</v>
      </c>
      <c r="M279" s="14" t="s">
        <v>548</v>
      </c>
      <c r="N279" s="14" t="s">
        <v>60</v>
      </c>
      <c r="O279" s="14" t="s">
        <v>60</v>
      </c>
      <c r="P279" s="14" t="s">
        <v>5294</v>
      </c>
      <c r="Q279" s="14" t="s">
        <v>11</v>
      </c>
      <c r="R279" s="3">
        <v>0</v>
      </c>
      <c r="S279" s="3">
        <f t="shared" si="12"/>
        <v>550</v>
      </c>
      <c r="T279" s="3">
        <f t="shared" si="13"/>
        <v>0</v>
      </c>
      <c r="U279" s="3" t="s">
        <v>60</v>
      </c>
      <c r="V279" s="14" t="s">
        <v>6</v>
      </c>
      <c r="W279" s="14" t="s">
        <v>5291</v>
      </c>
      <c r="X279" s="14" t="s">
        <v>60</v>
      </c>
    </row>
    <row r="280" spans="1:24" ht="15" x14ac:dyDescent="0.3">
      <c r="A280" s="3">
        <v>32</v>
      </c>
      <c r="B280" s="3" t="s">
        <v>5295</v>
      </c>
      <c r="C280" s="14" t="s">
        <v>0</v>
      </c>
      <c r="D280" s="14" t="s">
        <v>549</v>
      </c>
      <c r="E280" s="14" t="s">
        <v>5296</v>
      </c>
      <c r="F280" s="14" t="s">
        <v>550</v>
      </c>
      <c r="G280" s="14" t="s">
        <v>3</v>
      </c>
      <c r="H280" s="14" t="s">
        <v>5297</v>
      </c>
      <c r="I280" s="14" t="s">
        <v>551</v>
      </c>
      <c r="J280" s="14" t="s">
        <v>60</v>
      </c>
      <c r="K280" s="14" t="s">
        <v>60</v>
      </c>
      <c r="L280" s="14" t="s">
        <v>60</v>
      </c>
      <c r="M280" s="14" t="s">
        <v>552</v>
      </c>
      <c r="N280" s="14" t="s">
        <v>60</v>
      </c>
      <c r="O280" s="14" t="s">
        <v>60</v>
      </c>
      <c r="P280" s="14" t="s">
        <v>5298</v>
      </c>
      <c r="Q280" s="14" t="s">
        <v>11</v>
      </c>
      <c r="R280" s="3">
        <v>0</v>
      </c>
      <c r="S280" s="3">
        <f t="shared" si="12"/>
        <v>550</v>
      </c>
      <c r="T280" s="3">
        <f t="shared" si="13"/>
        <v>0</v>
      </c>
      <c r="U280" s="3" t="s">
        <v>60</v>
      </c>
      <c r="V280" s="14" t="s">
        <v>6</v>
      </c>
      <c r="W280" s="14" t="s">
        <v>5291</v>
      </c>
      <c r="X280" s="14" t="s">
        <v>60</v>
      </c>
    </row>
    <row r="281" spans="1:24" ht="15" x14ac:dyDescent="0.3">
      <c r="A281" s="3">
        <v>33</v>
      </c>
      <c r="B281" s="3" t="s">
        <v>5299</v>
      </c>
      <c r="C281" s="14" t="s">
        <v>0</v>
      </c>
      <c r="D281" s="14" t="s">
        <v>766</v>
      </c>
      <c r="E281" s="14" t="s">
        <v>5300</v>
      </c>
      <c r="F281" s="14" t="s">
        <v>767</v>
      </c>
      <c r="G281" s="14" t="s">
        <v>121</v>
      </c>
      <c r="H281" s="14" t="s">
        <v>5301</v>
      </c>
      <c r="I281" s="14" t="s">
        <v>768</v>
      </c>
      <c r="J281" s="14" t="s">
        <v>60</v>
      </c>
      <c r="K281" s="14" t="s">
        <v>60</v>
      </c>
      <c r="L281" s="14" t="s">
        <v>60</v>
      </c>
      <c r="M281" s="14" t="s">
        <v>769</v>
      </c>
      <c r="N281" s="14" t="s">
        <v>60</v>
      </c>
      <c r="O281" s="14" t="s">
        <v>25</v>
      </c>
      <c r="P281" s="14" t="s">
        <v>5302</v>
      </c>
      <c r="Q281" s="14" t="s">
        <v>185</v>
      </c>
      <c r="R281" s="3">
        <v>0</v>
      </c>
      <c r="S281" s="3">
        <f t="shared" si="12"/>
        <v>550</v>
      </c>
      <c r="T281" s="3">
        <f t="shared" si="13"/>
        <v>0</v>
      </c>
      <c r="U281" s="3" t="s">
        <v>60</v>
      </c>
      <c r="V281" s="14" t="s">
        <v>6</v>
      </c>
      <c r="W281" s="14" t="s">
        <v>4985</v>
      </c>
      <c r="X281" s="14" t="s">
        <v>60</v>
      </c>
    </row>
    <row r="282" spans="1:24" ht="15" x14ac:dyDescent="0.3">
      <c r="A282" s="3">
        <v>34</v>
      </c>
      <c r="B282" s="3" t="s">
        <v>5303</v>
      </c>
      <c r="C282" s="14" t="s">
        <v>0</v>
      </c>
      <c r="D282" s="14" t="s">
        <v>785</v>
      </c>
      <c r="E282" s="14" t="s">
        <v>4815</v>
      </c>
      <c r="F282" s="14" t="s">
        <v>786</v>
      </c>
      <c r="G282" s="14" t="s">
        <v>3</v>
      </c>
      <c r="H282" s="14" t="s">
        <v>787</v>
      </c>
      <c r="I282" s="14" t="s">
        <v>788</v>
      </c>
      <c r="J282" s="14" t="s">
        <v>60</v>
      </c>
      <c r="K282" s="14" t="s">
        <v>60</v>
      </c>
      <c r="L282" s="14" t="s">
        <v>60</v>
      </c>
      <c r="M282" s="14" t="s">
        <v>789</v>
      </c>
      <c r="N282" s="14" t="s">
        <v>60</v>
      </c>
      <c r="O282" s="14" t="s">
        <v>25</v>
      </c>
      <c r="P282" s="14" t="s">
        <v>5304</v>
      </c>
      <c r="Q282" s="14" t="s">
        <v>11</v>
      </c>
      <c r="R282" s="3">
        <v>0</v>
      </c>
      <c r="S282" s="3">
        <f t="shared" si="12"/>
        <v>550</v>
      </c>
      <c r="T282" s="3">
        <f t="shared" si="13"/>
        <v>0</v>
      </c>
      <c r="U282" s="3" t="s">
        <v>60</v>
      </c>
      <c r="V282" s="14" t="s">
        <v>6</v>
      </c>
      <c r="W282" s="14" t="s">
        <v>4999</v>
      </c>
      <c r="X282" s="30">
        <v>46283</v>
      </c>
    </row>
    <row r="283" spans="1:24" ht="15" x14ac:dyDescent="0.3">
      <c r="A283" s="3">
        <v>35</v>
      </c>
      <c r="B283" s="3" t="s">
        <v>5305</v>
      </c>
      <c r="C283" s="14" t="s">
        <v>0</v>
      </c>
      <c r="D283" s="14" t="s">
        <v>790</v>
      </c>
      <c r="E283" s="14" t="s">
        <v>5306</v>
      </c>
      <c r="F283" s="14" t="s">
        <v>791</v>
      </c>
      <c r="G283" s="14" t="s">
        <v>3</v>
      </c>
      <c r="H283" s="14" t="s">
        <v>5307</v>
      </c>
      <c r="I283" s="14" t="s">
        <v>792</v>
      </c>
      <c r="J283" s="14" t="s">
        <v>60</v>
      </c>
      <c r="K283" s="14" t="s">
        <v>60</v>
      </c>
      <c r="L283" s="14" t="s">
        <v>60</v>
      </c>
      <c r="M283" s="14" t="s">
        <v>793</v>
      </c>
      <c r="N283" s="14" t="s">
        <v>60</v>
      </c>
      <c r="O283" s="14" t="s">
        <v>25</v>
      </c>
      <c r="P283" s="14" t="s">
        <v>5308</v>
      </c>
      <c r="Q283" s="14" t="s">
        <v>11</v>
      </c>
      <c r="R283" s="3">
        <v>0</v>
      </c>
      <c r="S283" s="3">
        <f t="shared" si="12"/>
        <v>550</v>
      </c>
      <c r="T283" s="3">
        <f t="shared" si="13"/>
        <v>0</v>
      </c>
      <c r="U283" s="3" t="s">
        <v>60</v>
      </c>
      <c r="V283" s="14" t="s">
        <v>6</v>
      </c>
      <c r="W283" s="14" t="s">
        <v>4999</v>
      </c>
      <c r="X283" s="14" t="s">
        <v>60</v>
      </c>
    </row>
    <row r="284" spans="1:24" ht="15" x14ac:dyDescent="0.3">
      <c r="A284" s="3">
        <v>36</v>
      </c>
      <c r="B284" s="3" t="s">
        <v>5309</v>
      </c>
      <c r="C284" s="14" t="s">
        <v>0</v>
      </c>
      <c r="D284" s="14" t="s">
        <v>794</v>
      </c>
      <c r="E284" s="14" t="s">
        <v>4200</v>
      </c>
      <c r="F284" s="14" t="s">
        <v>795</v>
      </c>
      <c r="G284" s="14" t="s">
        <v>3</v>
      </c>
      <c r="H284" s="14" t="s">
        <v>5310</v>
      </c>
      <c r="I284" s="14" t="s">
        <v>796</v>
      </c>
      <c r="J284" s="14" t="s">
        <v>60</v>
      </c>
      <c r="K284" s="14" t="s">
        <v>60</v>
      </c>
      <c r="L284" s="14" t="s">
        <v>60</v>
      </c>
      <c r="M284" s="14" t="s">
        <v>797</v>
      </c>
      <c r="N284" s="14" t="s">
        <v>60</v>
      </c>
      <c r="O284" s="14" t="s">
        <v>25</v>
      </c>
      <c r="P284" s="14" t="s">
        <v>5311</v>
      </c>
      <c r="Q284" s="14" t="s">
        <v>11</v>
      </c>
      <c r="R284" s="3">
        <v>0</v>
      </c>
      <c r="S284" s="3">
        <f t="shared" si="12"/>
        <v>550</v>
      </c>
      <c r="T284" s="3">
        <f t="shared" si="13"/>
        <v>0</v>
      </c>
      <c r="U284" s="3" t="s">
        <v>60</v>
      </c>
      <c r="V284" s="14" t="s">
        <v>6</v>
      </c>
      <c r="W284" s="14" t="s">
        <v>4999</v>
      </c>
      <c r="X284" s="14" t="s">
        <v>60</v>
      </c>
    </row>
    <row r="285" spans="1:24" ht="15" x14ac:dyDescent="0.3">
      <c r="A285" s="3">
        <v>37</v>
      </c>
      <c r="B285" s="3" t="s">
        <v>5312</v>
      </c>
      <c r="C285" s="14" t="s">
        <v>0</v>
      </c>
      <c r="D285" s="14" t="s">
        <v>696</v>
      </c>
      <c r="E285" s="14" t="s">
        <v>5313</v>
      </c>
      <c r="F285" s="14" t="s">
        <v>798</v>
      </c>
      <c r="G285" s="14" t="s">
        <v>3</v>
      </c>
      <c r="H285" s="14" t="s">
        <v>5314</v>
      </c>
      <c r="I285" s="14" t="s">
        <v>799</v>
      </c>
      <c r="J285" s="14" t="s">
        <v>60</v>
      </c>
      <c r="K285" s="14" t="s">
        <v>60</v>
      </c>
      <c r="L285" s="14" t="s">
        <v>60</v>
      </c>
      <c r="M285" s="14" t="s">
        <v>800</v>
      </c>
      <c r="N285" s="14" t="s">
        <v>60</v>
      </c>
      <c r="O285" s="14" t="s">
        <v>25</v>
      </c>
      <c r="P285" s="14" t="s">
        <v>5315</v>
      </c>
      <c r="Q285" s="14" t="s">
        <v>11</v>
      </c>
      <c r="R285" s="3">
        <v>0</v>
      </c>
      <c r="S285" s="3">
        <f t="shared" si="12"/>
        <v>550</v>
      </c>
      <c r="T285" s="3">
        <f t="shared" si="13"/>
        <v>0</v>
      </c>
      <c r="U285" s="3" t="s">
        <v>60</v>
      </c>
      <c r="V285" s="14" t="s">
        <v>6</v>
      </c>
      <c r="W285" s="14" t="s">
        <v>4999</v>
      </c>
      <c r="X285" s="14" t="s">
        <v>60</v>
      </c>
    </row>
    <row r="286" spans="1:24" ht="15" x14ac:dyDescent="0.3">
      <c r="A286" s="3">
        <v>38</v>
      </c>
      <c r="B286" s="3" t="s">
        <v>5316</v>
      </c>
      <c r="C286" s="14" t="s">
        <v>0</v>
      </c>
      <c r="D286" s="14" t="s">
        <v>801</v>
      </c>
      <c r="E286" s="14" t="s">
        <v>802</v>
      </c>
      <c r="F286" s="14" t="s">
        <v>803</v>
      </c>
      <c r="G286" s="14" t="s">
        <v>3</v>
      </c>
      <c r="H286" s="14" t="s">
        <v>5317</v>
      </c>
      <c r="I286" s="14" t="s">
        <v>804</v>
      </c>
      <c r="J286" s="14" t="s">
        <v>60</v>
      </c>
      <c r="K286" s="14" t="s">
        <v>60</v>
      </c>
      <c r="L286" s="14" t="s">
        <v>60</v>
      </c>
      <c r="M286" s="14" t="s">
        <v>805</v>
      </c>
      <c r="N286" s="14" t="s">
        <v>60</v>
      </c>
      <c r="O286" s="14" t="s">
        <v>25</v>
      </c>
      <c r="P286" s="14" t="s">
        <v>5318</v>
      </c>
      <c r="Q286" s="14" t="s">
        <v>11</v>
      </c>
      <c r="R286" s="3">
        <v>0</v>
      </c>
      <c r="S286" s="3">
        <f t="shared" si="12"/>
        <v>550</v>
      </c>
      <c r="T286" s="3">
        <f t="shared" si="13"/>
        <v>0</v>
      </c>
      <c r="U286" s="3" t="s">
        <v>60</v>
      </c>
      <c r="V286" s="14" t="s">
        <v>6</v>
      </c>
      <c r="W286" s="14" t="s">
        <v>4999</v>
      </c>
      <c r="X286" s="14" t="s">
        <v>60</v>
      </c>
    </row>
    <row r="287" spans="1:24" ht="15" x14ac:dyDescent="0.3">
      <c r="A287" s="3">
        <v>39</v>
      </c>
      <c r="B287" s="3" t="s">
        <v>5319</v>
      </c>
      <c r="C287" s="14" t="s">
        <v>0</v>
      </c>
      <c r="D287" s="14" t="s">
        <v>806</v>
      </c>
      <c r="E287" s="14" t="s">
        <v>5320</v>
      </c>
      <c r="F287" s="14" t="s">
        <v>807</v>
      </c>
      <c r="G287" s="14" t="s">
        <v>3</v>
      </c>
      <c r="H287" s="14" t="s">
        <v>5321</v>
      </c>
      <c r="I287" s="14" t="s">
        <v>808</v>
      </c>
      <c r="J287" s="14" t="s">
        <v>60</v>
      </c>
      <c r="K287" s="14" t="s">
        <v>60</v>
      </c>
      <c r="L287" s="14" t="s">
        <v>60</v>
      </c>
      <c r="M287" s="14" t="s">
        <v>809</v>
      </c>
      <c r="N287" s="14" t="s">
        <v>60</v>
      </c>
      <c r="O287" s="14" t="s">
        <v>25</v>
      </c>
      <c r="P287" s="14" t="s">
        <v>5322</v>
      </c>
      <c r="Q287" s="14" t="s">
        <v>11</v>
      </c>
      <c r="R287" s="3">
        <v>0</v>
      </c>
      <c r="S287" s="3">
        <f t="shared" si="12"/>
        <v>550</v>
      </c>
      <c r="T287" s="3">
        <f t="shared" si="13"/>
        <v>0</v>
      </c>
      <c r="U287" s="3" t="s">
        <v>60</v>
      </c>
      <c r="V287" s="14" t="s">
        <v>6</v>
      </c>
      <c r="W287" s="14" t="s">
        <v>4999</v>
      </c>
      <c r="X287" s="14" t="s">
        <v>60</v>
      </c>
    </row>
    <row r="288" spans="1:24" ht="15" x14ac:dyDescent="0.3">
      <c r="A288" s="3">
        <v>40</v>
      </c>
      <c r="B288" s="3" t="s">
        <v>5323</v>
      </c>
      <c r="C288" s="14" t="s">
        <v>0</v>
      </c>
      <c r="D288" s="14" t="s">
        <v>810</v>
      </c>
      <c r="E288" s="14" t="s">
        <v>4778</v>
      </c>
      <c r="F288" s="14" t="s">
        <v>811</v>
      </c>
      <c r="G288" s="14" t="s">
        <v>3</v>
      </c>
      <c r="H288" s="14" t="s">
        <v>5324</v>
      </c>
      <c r="I288" s="14" t="s">
        <v>812</v>
      </c>
      <c r="J288" s="14" t="s">
        <v>60</v>
      </c>
      <c r="K288" s="14" t="s">
        <v>60</v>
      </c>
      <c r="L288" s="14" t="s">
        <v>60</v>
      </c>
      <c r="M288" s="14" t="s">
        <v>813</v>
      </c>
      <c r="N288" s="14" t="s">
        <v>60</v>
      </c>
      <c r="O288" s="14" t="s">
        <v>25</v>
      </c>
      <c r="P288" s="14" t="s">
        <v>5325</v>
      </c>
      <c r="Q288" s="14" t="s">
        <v>11</v>
      </c>
      <c r="R288" s="3">
        <v>0</v>
      </c>
      <c r="S288" s="3">
        <f t="shared" si="12"/>
        <v>550</v>
      </c>
      <c r="T288" s="3">
        <f t="shared" si="13"/>
        <v>0</v>
      </c>
      <c r="U288" s="3" t="s">
        <v>5326</v>
      </c>
      <c r="V288" s="14" t="s">
        <v>6</v>
      </c>
      <c r="W288" s="14" t="s">
        <v>4999</v>
      </c>
      <c r="X288" s="14" t="s">
        <v>60</v>
      </c>
    </row>
    <row r="289" spans="1:24" ht="15" x14ac:dyDescent="0.3">
      <c r="A289" s="3">
        <v>41</v>
      </c>
      <c r="B289" s="3" t="s">
        <v>5327</v>
      </c>
      <c r="C289" s="14" t="s">
        <v>0</v>
      </c>
      <c r="D289" s="14" t="s">
        <v>814</v>
      </c>
      <c r="E289" s="14" t="s">
        <v>5328</v>
      </c>
      <c r="F289" s="14" t="s">
        <v>254</v>
      </c>
      <c r="G289" s="14" t="s">
        <v>3</v>
      </c>
      <c r="H289" s="14" t="s">
        <v>5329</v>
      </c>
      <c r="I289" s="14" t="s">
        <v>5330</v>
      </c>
      <c r="J289" s="14" t="s">
        <v>60</v>
      </c>
      <c r="K289" s="14" t="s">
        <v>60</v>
      </c>
      <c r="L289" s="14" t="s">
        <v>60</v>
      </c>
      <c r="M289" s="14" t="s">
        <v>60</v>
      </c>
      <c r="N289" s="14" t="s">
        <v>60</v>
      </c>
      <c r="O289" s="14" t="s">
        <v>25</v>
      </c>
      <c r="P289" s="14" t="s">
        <v>5331</v>
      </c>
      <c r="Q289" s="14" t="s">
        <v>11</v>
      </c>
      <c r="R289" s="3">
        <v>0</v>
      </c>
      <c r="S289" s="3">
        <f t="shared" si="12"/>
        <v>550</v>
      </c>
      <c r="T289" s="3">
        <f t="shared" si="13"/>
        <v>0</v>
      </c>
      <c r="U289" s="3" t="s">
        <v>60</v>
      </c>
      <c r="V289" s="14" t="s">
        <v>6</v>
      </c>
      <c r="W289" s="14" t="s">
        <v>4999</v>
      </c>
      <c r="X289" s="14" t="s">
        <v>60</v>
      </c>
    </row>
    <row r="290" spans="1:24" ht="15" x14ac:dyDescent="0.3">
      <c r="A290" s="3">
        <v>42</v>
      </c>
      <c r="B290" s="3" t="s">
        <v>657</v>
      </c>
      <c r="C290" s="14" t="s">
        <v>26</v>
      </c>
      <c r="D290" s="14" t="s">
        <v>658</v>
      </c>
      <c r="E290" s="14" t="s">
        <v>4895</v>
      </c>
      <c r="F290" s="14" t="s">
        <v>659</v>
      </c>
      <c r="G290" s="14" t="s">
        <v>3</v>
      </c>
      <c r="H290" s="14" t="s">
        <v>5332</v>
      </c>
      <c r="I290" s="14" t="s">
        <v>660</v>
      </c>
      <c r="J290" s="14" t="s">
        <v>60</v>
      </c>
      <c r="K290" s="14" t="s">
        <v>60</v>
      </c>
      <c r="L290" s="14" t="s">
        <v>60</v>
      </c>
      <c r="M290" s="14" t="s">
        <v>661</v>
      </c>
      <c r="N290" s="14" t="s">
        <v>60</v>
      </c>
      <c r="O290" s="14" t="s">
        <v>59</v>
      </c>
      <c r="P290" s="14" t="s">
        <v>5333</v>
      </c>
      <c r="Q290" s="14" t="s">
        <v>185</v>
      </c>
      <c r="R290" s="3">
        <v>0</v>
      </c>
      <c r="S290" s="3">
        <f t="shared" si="12"/>
        <v>770</v>
      </c>
      <c r="T290" s="3">
        <f t="shared" si="13"/>
        <v>0</v>
      </c>
      <c r="U290" s="3" t="s">
        <v>60</v>
      </c>
      <c r="V290" s="14" t="s">
        <v>6</v>
      </c>
      <c r="W290" s="14" t="s">
        <v>4287</v>
      </c>
      <c r="X290" s="14" t="s">
        <v>60</v>
      </c>
    </row>
    <row r="291" spans="1:24" ht="15" x14ac:dyDescent="0.3">
      <c r="A291" s="3">
        <v>43</v>
      </c>
      <c r="B291" s="3" t="s">
        <v>5334</v>
      </c>
      <c r="C291" s="14" t="s">
        <v>0</v>
      </c>
      <c r="D291" s="14" t="s">
        <v>580</v>
      </c>
      <c r="E291" s="14" t="s">
        <v>5335</v>
      </c>
      <c r="F291" s="14" t="s">
        <v>581</v>
      </c>
      <c r="G291" s="14" t="s">
        <v>3</v>
      </c>
      <c r="H291" s="14" t="s">
        <v>5336</v>
      </c>
      <c r="I291" s="14" t="s">
        <v>582</v>
      </c>
      <c r="J291" s="14" t="s">
        <v>60</v>
      </c>
      <c r="K291" s="14" t="s">
        <v>60</v>
      </c>
      <c r="L291" s="14" t="s">
        <v>60</v>
      </c>
      <c r="M291" s="14" t="s">
        <v>60</v>
      </c>
      <c r="N291" s="14" t="s">
        <v>60</v>
      </c>
      <c r="O291" s="14" t="s">
        <v>558</v>
      </c>
      <c r="P291" s="14" t="s">
        <v>5337</v>
      </c>
      <c r="Q291" s="14" t="s">
        <v>185</v>
      </c>
      <c r="R291" s="3">
        <v>0</v>
      </c>
      <c r="S291" s="3">
        <f t="shared" si="12"/>
        <v>550</v>
      </c>
      <c r="T291" s="3">
        <f t="shared" si="13"/>
        <v>0</v>
      </c>
      <c r="U291" s="3" t="s">
        <v>60</v>
      </c>
      <c r="V291" s="14" t="s">
        <v>6</v>
      </c>
      <c r="W291" s="14" t="s">
        <v>4287</v>
      </c>
      <c r="X291" s="14" t="s">
        <v>60</v>
      </c>
    </row>
    <row r="292" spans="1:24" ht="15" x14ac:dyDescent="0.3">
      <c r="A292" s="3">
        <v>44</v>
      </c>
      <c r="B292" s="3" t="s">
        <v>5338</v>
      </c>
      <c r="C292" s="14" t="s">
        <v>0</v>
      </c>
      <c r="D292" s="14" t="s">
        <v>583</v>
      </c>
      <c r="E292" s="14" t="s">
        <v>5339</v>
      </c>
      <c r="F292" s="14" t="s">
        <v>584</v>
      </c>
      <c r="G292" s="14" t="s">
        <v>121</v>
      </c>
      <c r="H292" s="14" t="s">
        <v>5340</v>
      </c>
      <c r="I292" s="14" t="s">
        <v>585</v>
      </c>
      <c r="J292" s="14" t="s">
        <v>60</v>
      </c>
      <c r="K292" s="14" t="s">
        <v>60</v>
      </c>
      <c r="L292" s="14" t="s">
        <v>60</v>
      </c>
      <c r="M292" s="14" t="s">
        <v>586</v>
      </c>
      <c r="N292" s="14" t="s">
        <v>587</v>
      </c>
      <c r="O292" s="14" t="s">
        <v>558</v>
      </c>
      <c r="P292" s="14" t="s">
        <v>5341</v>
      </c>
      <c r="Q292" s="14" t="s">
        <v>588</v>
      </c>
      <c r="R292" s="3">
        <v>0</v>
      </c>
      <c r="S292" s="3">
        <f t="shared" si="12"/>
        <v>550</v>
      </c>
      <c r="T292" s="3">
        <f t="shared" si="13"/>
        <v>0</v>
      </c>
      <c r="U292" s="3" t="s">
        <v>60</v>
      </c>
      <c r="V292" s="14" t="s">
        <v>6</v>
      </c>
      <c r="W292" s="14" t="s">
        <v>4287</v>
      </c>
      <c r="X292" s="14" t="s">
        <v>60</v>
      </c>
    </row>
    <row r="293" spans="1:24" ht="15" x14ac:dyDescent="0.3">
      <c r="A293" s="3">
        <v>45</v>
      </c>
      <c r="B293" s="3" t="s">
        <v>5342</v>
      </c>
      <c r="C293" s="14" t="s">
        <v>0</v>
      </c>
      <c r="D293" s="14" t="s">
        <v>606</v>
      </c>
      <c r="E293" s="14" t="s">
        <v>5343</v>
      </c>
      <c r="F293" s="14" t="s">
        <v>580</v>
      </c>
      <c r="G293" s="14" t="s">
        <v>121</v>
      </c>
      <c r="H293" s="14" t="s">
        <v>5344</v>
      </c>
      <c r="I293" s="14" t="s">
        <v>607</v>
      </c>
      <c r="J293" s="14" t="s">
        <v>60</v>
      </c>
      <c r="K293" s="14" t="s">
        <v>60</v>
      </c>
      <c r="L293" s="14" t="s">
        <v>60</v>
      </c>
      <c r="M293" s="14" t="s">
        <v>60</v>
      </c>
      <c r="N293" s="14" t="s">
        <v>60</v>
      </c>
      <c r="O293" s="14" t="s">
        <v>558</v>
      </c>
      <c r="P293" s="14" t="s">
        <v>5345</v>
      </c>
      <c r="Q293" s="14" t="s">
        <v>11</v>
      </c>
      <c r="R293" s="3">
        <v>0</v>
      </c>
      <c r="S293" s="3">
        <f t="shared" si="12"/>
        <v>550</v>
      </c>
      <c r="T293" s="3">
        <f t="shared" si="13"/>
        <v>0</v>
      </c>
      <c r="U293" s="3" t="s">
        <v>60</v>
      </c>
      <c r="V293" s="14" t="s">
        <v>6</v>
      </c>
      <c r="W293" s="14" t="s">
        <v>4287</v>
      </c>
      <c r="X293" s="14" t="s">
        <v>60</v>
      </c>
    </row>
    <row r="294" spans="1:24" ht="15" x14ac:dyDescent="0.3">
      <c r="A294" s="3">
        <v>46</v>
      </c>
      <c r="B294" s="3" t="s">
        <v>5346</v>
      </c>
      <c r="C294" s="14" t="s">
        <v>0</v>
      </c>
      <c r="D294" s="14" t="s">
        <v>627</v>
      </c>
      <c r="E294" s="14" t="s">
        <v>5347</v>
      </c>
      <c r="F294" s="14" t="s">
        <v>628</v>
      </c>
      <c r="G294" s="14" t="s">
        <v>3</v>
      </c>
      <c r="H294" s="14" t="s">
        <v>5348</v>
      </c>
      <c r="I294" s="14" t="s">
        <v>629</v>
      </c>
      <c r="J294" s="14" t="s">
        <v>60</v>
      </c>
      <c r="K294" s="14" t="s">
        <v>60</v>
      </c>
      <c r="L294" s="14" t="s">
        <v>60</v>
      </c>
      <c r="M294" s="14" t="s">
        <v>630</v>
      </c>
      <c r="N294" s="14" t="s">
        <v>60</v>
      </c>
      <c r="O294" s="14" t="s">
        <v>558</v>
      </c>
      <c r="P294" s="14" t="s">
        <v>5349</v>
      </c>
      <c r="Q294" s="14" t="s">
        <v>11</v>
      </c>
      <c r="R294" s="3">
        <v>0</v>
      </c>
      <c r="S294" s="3">
        <f t="shared" si="12"/>
        <v>550</v>
      </c>
      <c r="T294" s="3">
        <f t="shared" si="13"/>
        <v>0</v>
      </c>
      <c r="U294" s="3" t="s">
        <v>60</v>
      </c>
      <c r="V294" s="14" t="s">
        <v>6</v>
      </c>
      <c r="W294" s="14" t="s">
        <v>5350</v>
      </c>
      <c r="X294" s="14" t="s">
        <v>60</v>
      </c>
    </row>
    <row r="295" spans="1:24" ht="15" x14ac:dyDescent="0.3">
      <c r="A295" s="3">
        <v>47</v>
      </c>
      <c r="B295" s="3" t="s">
        <v>5351</v>
      </c>
      <c r="C295" s="14" t="s">
        <v>0</v>
      </c>
      <c r="D295" s="14" t="s">
        <v>644</v>
      </c>
      <c r="E295" s="14" t="s">
        <v>5352</v>
      </c>
      <c r="F295" s="14" t="s">
        <v>645</v>
      </c>
      <c r="G295" s="14" t="s">
        <v>3</v>
      </c>
      <c r="H295" s="14" t="s">
        <v>5353</v>
      </c>
      <c r="I295" s="14" t="s">
        <v>646</v>
      </c>
      <c r="J295" s="14" t="s">
        <v>60</v>
      </c>
      <c r="K295" s="14" t="s">
        <v>60</v>
      </c>
      <c r="L295" s="14" t="s">
        <v>60</v>
      </c>
      <c r="M295" s="14" t="s">
        <v>647</v>
      </c>
      <c r="N295" s="14" t="s">
        <v>60</v>
      </c>
      <c r="O295" s="14" t="s">
        <v>255</v>
      </c>
      <c r="P295" s="14" t="s">
        <v>5354</v>
      </c>
      <c r="Q295" s="14" t="s">
        <v>185</v>
      </c>
      <c r="R295" s="3">
        <v>0</v>
      </c>
      <c r="S295" s="3">
        <f t="shared" si="12"/>
        <v>550</v>
      </c>
      <c r="T295" s="3">
        <f t="shared" si="13"/>
        <v>0</v>
      </c>
      <c r="U295" s="3" t="s">
        <v>60</v>
      </c>
      <c r="V295" s="14" t="s">
        <v>4208</v>
      </c>
      <c r="W295" s="14" t="s">
        <v>5223</v>
      </c>
      <c r="X295" s="14" t="s">
        <v>60</v>
      </c>
    </row>
    <row r="296" spans="1:24" ht="15" x14ac:dyDescent="0.3">
      <c r="A296" s="3">
        <v>48</v>
      </c>
      <c r="B296" s="3" t="s">
        <v>5355</v>
      </c>
      <c r="C296" s="14" t="s">
        <v>0</v>
      </c>
      <c r="D296" s="14" t="s">
        <v>662</v>
      </c>
      <c r="E296" s="14" t="s">
        <v>5356</v>
      </c>
      <c r="F296" s="14" t="s">
        <v>663</v>
      </c>
      <c r="G296" s="14" t="s">
        <v>121</v>
      </c>
      <c r="H296" s="14" t="s">
        <v>5357</v>
      </c>
      <c r="I296" s="14" t="s">
        <v>664</v>
      </c>
      <c r="J296" s="14" t="s">
        <v>228</v>
      </c>
      <c r="K296" s="14" t="s">
        <v>60</v>
      </c>
      <c r="L296" s="14" t="s">
        <v>590</v>
      </c>
      <c r="M296" s="14" t="s">
        <v>665</v>
      </c>
      <c r="N296" s="14" t="s">
        <v>60</v>
      </c>
      <c r="O296" s="14" t="s">
        <v>59</v>
      </c>
      <c r="P296" s="14" t="s">
        <v>5358</v>
      </c>
      <c r="Q296" s="14" t="s">
        <v>11</v>
      </c>
      <c r="R296" s="3">
        <v>0</v>
      </c>
      <c r="S296" s="3">
        <f t="shared" si="12"/>
        <v>550</v>
      </c>
      <c r="T296" s="3">
        <f t="shared" si="13"/>
        <v>0</v>
      </c>
      <c r="U296" s="3" t="s">
        <v>60</v>
      </c>
      <c r="V296" s="14" t="s">
        <v>6</v>
      </c>
      <c r="W296" s="14" t="s">
        <v>4287</v>
      </c>
      <c r="X296" s="14" t="s">
        <v>60</v>
      </c>
    </row>
    <row r="297" spans="1:24" ht="15" x14ac:dyDescent="0.3">
      <c r="A297" s="3">
        <v>49</v>
      </c>
      <c r="B297" s="3" t="s">
        <v>5359</v>
      </c>
      <c r="C297" s="14" t="s">
        <v>0</v>
      </c>
      <c r="D297" s="14" t="s">
        <v>666</v>
      </c>
      <c r="E297" s="14" t="s">
        <v>5360</v>
      </c>
      <c r="F297" s="14" t="s">
        <v>667</v>
      </c>
      <c r="G297" s="14" t="s">
        <v>3</v>
      </c>
      <c r="H297" s="14" t="s">
        <v>5361</v>
      </c>
      <c r="I297" s="14" t="s">
        <v>5362</v>
      </c>
      <c r="J297" s="14" t="s">
        <v>60</v>
      </c>
      <c r="K297" s="14" t="s">
        <v>60</v>
      </c>
      <c r="L297" s="14" t="s">
        <v>60</v>
      </c>
      <c r="M297" s="14" t="s">
        <v>668</v>
      </c>
      <c r="N297" s="14" t="s">
        <v>60</v>
      </c>
      <c r="O297" s="14" t="s">
        <v>59</v>
      </c>
      <c r="P297" s="14" t="s">
        <v>5363</v>
      </c>
      <c r="Q297" s="14" t="s">
        <v>11</v>
      </c>
      <c r="R297" s="3">
        <v>0</v>
      </c>
      <c r="S297" s="3">
        <f t="shared" si="12"/>
        <v>550</v>
      </c>
      <c r="T297" s="3">
        <f t="shared" si="13"/>
        <v>0</v>
      </c>
      <c r="U297" s="3" t="s">
        <v>60</v>
      </c>
      <c r="V297" s="14" t="s">
        <v>6</v>
      </c>
      <c r="W297" s="14" t="s">
        <v>4287</v>
      </c>
      <c r="X297" s="14" t="s">
        <v>60</v>
      </c>
    </row>
    <row r="298" spans="1:24" ht="15" x14ac:dyDescent="0.3">
      <c r="A298" s="3">
        <v>50</v>
      </c>
      <c r="B298" s="3" t="s">
        <v>5364</v>
      </c>
      <c r="C298" s="14" t="s">
        <v>0</v>
      </c>
      <c r="D298" s="14" t="s">
        <v>672</v>
      </c>
      <c r="E298" s="14" t="s">
        <v>5365</v>
      </c>
      <c r="F298" s="14" t="s">
        <v>673</v>
      </c>
      <c r="G298" s="14" t="s">
        <v>3</v>
      </c>
      <c r="H298" s="14" t="s">
        <v>5366</v>
      </c>
      <c r="I298" s="14" t="s">
        <v>674</v>
      </c>
      <c r="J298" s="14" t="s">
        <v>60</v>
      </c>
      <c r="K298" s="14" t="s">
        <v>60</v>
      </c>
      <c r="L298" s="14" t="s">
        <v>60</v>
      </c>
      <c r="M298" s="14" t="s">
        <v>675</v>
      </c>
      <c r="N298" s="14" t="s">
        <v>60</v>
      </c>
      <c r="O298" s="14" t="s">
        <v>59</v>
      </c>
      <c r="P298" s="14" t="s">
        <v>5367</v>
      </c>
      <c r="Q298" s="14" t="s">
        <v>11</v>
      </c>
      <c r="R298" s="3">
        <v>0</v>
      </c>
      <c r="S298" s="3">
        <f t="shared" si="12"/>
        <v>550</v>
      </c>
      <c r="T298" s="3">
        <f t="shared" si="13"/>
        <v>0</v>
      </c>
      <c r="U298" s="3" t="s">
        <v>60</v>
      </c>
      <c r="V298" s="14" t="s">
        <v>6</v>
      </c>
      <c r="W298" s="14" t="s">
        <v>4287</v>
      </c>
      <c r="X298" s="14" t="s">
        <v>60</v>
      </c>
    </row>
    <row r="299" spans="1:24" ht="15" x14ac:dyDescent="0.3">
      <c r="A299" s="3">
        <v>51</v>
      </c>
      <c r="B299" s="3" t="s">
        <v>5368</v>
      </c>
      <c r="C299" s="14" t="s">
        <v>0</v>
      </c>
      <c r="D299" s="14" t="s">
        <v>676</v>
      </c>
      <c r="E299" s="14" t="s">
        <v>5369</v>
      </c>
      <c r="F299" s="14" t="s">
        <v>677</v>
      </c>
      <c r="G299" s="14" t="s">
        <v>3</v>
      </c>
      <c r="H299" s="14" t="s">
        <v>678</v>
      </c>
      <c r="I299" s="14" t="s">
        <v>679</v>
      </c>
      <c r="J299" s="14" t="s">
        <v>60</v>
      </c>
      <c r="K299" s="14" t="s">
        <v>60</v>
      </c>
      <c r="L299" s="14" t="s">
        <v>60</v>
      </c>
      <c r="M299" s="14" t="s">
        <v>680</v>
      </c>
      <c r="N299" s="14" t="s">
        <v>60</v>
      </c>
      <c r="O299" s="14" t="s">
        <v>59</v>
      </c>
      <c r="P299" s="14" t="s">
        <v>5370</v>
      </c>
      <c r="Q299" s="14" t="s">
        <v>185</v>
      </c>
      <c r="R299" s="3">
        <v>0</v>
      </c>
      <c r="S299" s="3">
        <f t="shared" si="12"/>
        <v>550</v>
      </c>
      <c r="T299" s="3">
        <f t="shared" si="13"/>
        <v>0</v>
      </c>
      <c r="U299" s="3" t="s">
        <v>60</v>
      </c>
      <c r="V299" s="14" t="s">
        <v>6</v>
      </c>
      <c r="W299" s="14" t="s">
        <v>4287</v>
      </c>
      <c r="X299" s="14" t="s">
        <v>60</v>
      </c>
    </row>
    <row r="300" spans="1:24" ht="15" x14ac:dyDescent="0.3">
      <c r="A300" s="3">
        <v>52</v>
      </c>
      <c r="B300" s="3" t="s">
        <v>5371</v>
      </c>
      <c r="C300" s="14" t="s">
        <v>0</v>
      </c>
      <c r="D300" s="14" t="s">
        <v>681</v>
      </c>
      <c r="E300" s="14" t="s">
        <v>5372</v>
      </c>
      <c r="F300" s="14" t="s">
        <v>682</v>
      </c>
      <c r="G300" s="14" t="s">
        <v>121</v>
      </c>
      <c r="H300" s="14" t="s">
        <v>5373</v>
      </c>
      <c r="I300" s="14" t="s">
        <v>5374</v>
      </c>
      <c r="J300" s="14" t="s">
        <v>60</v>
      </c>
      <c r="K300" s="14" t="s">
        <v>60</v>
      </c>
      <c r="L300" s="14" t="s">
        <v>60</v>
      </c>
      <c r="M300" s="14" t="s">
        <v>683</v>
      </c>
      <c r="N300" s="14" t="s">
        <v>60</v>
      </c>
      <c r="O300" s="14" t="s">
        <v>59</v>
      </c>
      <c r="P300" s="14" t="s">
        <v>5375</v>
      </c>
      <c r="Q300" s="14" t="s">
        <v>11</v>
      </c>
      <c r="R300" s="3">
        <v>0</v>
      </c>
      <c r="S300" s="3">
        <f t="shared" si="12"/>
        <v>550</v>
      </c>
      <c r="T300" s="3">
        <f t="shared" si="13"/>
        <v>0</v>
      </c>
      <c r="U300" s="3" t="s">
        <v>60</v>
      </c>
      <c r="V300" s="14" t="s">
        <v>6</v>
      </c>
      <c r="W300" s="14" t="s">
        <v>4287</v>
      </c>
      <c r="X300" s="14" t="s">
        <v>60</v>
      </c>
    </row>
    <row r="301" spans="1:24" ht="15" x14ac:dyDescent="0.3">
      <c r="A301" s="3">
        <v>53</v>
      </c>
      <c r="B301" s="3" t="s">
        <v>5376</v>
      </c>
      <c r="C301" s="14" t="s">
        <v>0</v>
      </c>
      <c r="D301" s="14" t="s">
        <v>684</v>
      </c>
      <c r="E301" s="14" t="s">
        <v>5377</v>
      </c>
      <c r="F301" s="14" t="s">
        <v>685</v>
      </c>
      <c r="G301" s="14" t="s">
        <v>121</v>
      </c>
      <c r="H301" s="14" t="s">
        <v>5378</v>
      </c>
      <c r="I301" s="14" t="s">
        <v>686</v>
      </c>
      <c r="J301" s="14" t="s">
        <v>60</v>
      </c>
      <c r="K301" s="14" t="s">
        <v>60</v>
      </c>
      <c r="L301" s="14" t="s">
        <v>60</v>
      </c>
      <c r="M301" s="14" t="s">
        <v>687</v>
      </c>
      <c r="N301" s="14" t="s">
        <v>60</v>
      </c>
      <c r="O301" s="14" t="s">
        <v>59</v>
      </c>
      <c r="P301" s="14" t="s">
        <v>5379</v>
      </c>
      <c r="Q301" s="14" t="s">
        <v>11</v>
      </c>
      <c r="R301" s="3">
        <v>0</v>
      </c>
      <c r="S301" s="3">
        <f t="shared" si="12"/>
        <v>550</v>
      </c>
      <c r="T301" s="3">
        <f t="shared" si="13"/>
        <v>0</v>
      </c>
      <c r="U301" s="3" t="s">
        <v>60</v>
      </c>
      <c r="V301" s="14" t="s">
        <v>6</v>
      </c>
      <c r="W301" s="14" t="s">
        <v>4287</v>
      </c>
      <c r="X301" s="14" t="s">
        <v>60</v>
      </c>
    </row>
    <row r="302" spans="1:24" ht="15" x14ac:dyDescent="0.3">
      <c r="A302" s="3">
        <v>54</v>
      </c>
      <c r="B302" s="3" t="s">
        <v>5380</v>
      </c>
      <c r="C302" s="14" t="s">
        <v>0</v>
      </c>
      <c r="D302" s="14" t="s">
        <v>688</v>
      </c>
      <c r="E302" s="14" t="s">
        <v>5381</v>
      </c>
      <c r="F302" s="14" t="s">
        <v>689</v>
      </c>
      <c r="G302" s="14" t="s">
        <v>121</v>
      </c>
      <c r="H302" s="14" t="s">
        <v>5382</v>
      </c>
      <c r="I302" s="14" t="s">
        <v>690</v>
      </c>
      <c r="J302" s="14" t="s">
        <v>60</v>
      </c>
      <c r="K302" s="14" t="s">
        <v>60</v>
      </c>
      <c r="L302" s="14" t="s">
        <v>590</v>
      </c>
      <c r="M302" s="14" t="s">
        <v>691</v>
      </c>
      <c r="N302" s="14" t="s">
        <v>60</v>
      </c>
      <c r="O302" s="14" t="s">
        <v>558</v>
      </c>
      <c r="P302" s="14" t="s">
        <v>5383</v>
      </c>
      <c r="Q302" s="14" t="s">
        <v>185</v>
      </c>
      <c r="R302" s="3">
        <v>0</v>
      </c>
      <c r="S302" s="3">
        <f t="shared" si="12"/>
        <v>550</v>
      </c>
      <c r="T302" s="3">
        <f t="shared" si="13"/>
        <v>0</v>
      </c>
      <c r="U302" s="3" t="s">
        <v>60</v>
      </c>
      <c r="V302" s="14" t="s">
        <v>6</v>
      </c>
      <c r="W302" s="14" t="s">
        <v>4287</v>
      </c>
      <c r="X302" s="14" t="s">
        <v>60</v>
      </c>
    </row>
    <row r="303" spans="1:24" ht="15" x14ac:dyDescent="0.3">
      <c r="A303" s="3">
        <v>55</v>
      </c>
      <c r="B303" s="3" t="s">
        <v>5384</v>
      </c>
      <c r="C303" s="14" t="s">
        <v>0</v>
      </c>
      <c r="D303" s="14" t="s">
        <v>692</v>
      </c>
      <c r="E303" s="14" t="s">
        <v>5385</v>
      </c>
      <c r="F303" s="14" t="s">
        <v>693</v>
      </c>
      <c r="G303" s="14" t="s">
        <v>121</v>
      </c>
      <c r="H303" s="14" t="s">
        <v>5386</v>
      </c>
      <c r="I303" s="14" t="s">
        <v>694</v>
      </c>
      <c r="J303" s="14" t="s">
        <v>60</v>
      </c>
      <c r="K303" s="14" t="s">
        <v>60</v>
      </c>
      <c r="L303" s="14" t="s">
        <v>60</v>
      </c>
      <c r="M303" s="14" t="s">
        <v>60</v>
      </c>
      <c r="N303" s="14" t="s">
        <v>60</v>
      </c>
      <c r="O303" s="14" t="s">
        <v>558</v>
      </c>
      <c r="P303" s="14" t="s">
        <v>5387</v>
      </c>
      <c r="Q303" s="14" t="s">
        <v>185</v>
      </c>
      <c r="R303" s="3">
        <v>0</v>
      </c>
      <c r="S303" s="3">
        <f t="shared" si="12"/>
        <v>550</v>
      </c>
      <c r="T303" s="3">
        <f t="shared" si="13"/>
        <v>0</v>
      </c>
      <c r="U303" s="3" t="s">
        <v>60</v>
      </c>
      <c r="V303" s="14" t="s">
        <v>6</v>
      </c>
      <c r="W303" s="14" t="s">
        <v>5388</v>
      </c>
      <c r="X303" s="14" t="s">
        <v>60</v>
      </c>
    </row>
    <row r="304" spans="1:24" ht="15" x14ac:dyDescent="0.3">
      <c r="A304" s="3">
        <v>56</v>
      </c>
      <c r="B304" s="3" t="s">
        <v>5389</v>
      </c>
      <c r="C304" s="14" t="s">
        <v>0</v>
      </c>
      <c r="D304" s="14" t="s">
        <v>723</v>
      </c>
      <c r="E304" s="14" t="s">
        <v>5390</v>
      </c>
      <c r="F304" s="14" t="s">
        <v>724</v>
      </c>
      <c r="G304" s="14" t="s">
        <v>3</v>
      </c>
      <c r="H304" s="14" t="s">
        <v>5391</v>
      </c>
      <c r="I304" s="14" t="s">
        <v>725</v>
      </c>
      <c r="J304" s="14" t="s">
        <v>60</v>
      </c>
      <c r="K304" s="14" t="s">
        <v>60</v>
      </c>
      <c r="L304" s="14" t="s">
        <v>60</v>
      </c>
      <c r="M304" s="14" t="s">
        <v>726</v>
      </c>
      <c r="N304" s="14" t="s">
        <v>60</v>
      </c>
      <c r="O304" s="14" t="s">
        <v>25</v>
      </c>
      <c r="P304" s="14" t="s">
        <v>5392</v>
      </c>
      <c r="Q304" s="14" t="s">
        <v>11</v>
      </c>
      <c r="R304" s="3">
        <v>0</v>
      </c>
      <c r="S304" s="3">
        <f t="shared" si="12"/>
        <v>550</v>
      </c>
      <c r="T304" s="3">
        <f t="shared" si="13"/>
        <v>0</v>
      </c>
      <c r="U304" s="3" t="s">
        <v>60</v>
      </c>
      <c r="V304" s="14" t="s">
        <v>6</v>
      </c>
      <c r="W304" s="14" t="s">
        <v>4985</v>
      </c>
      <c r="X304" s="14" t="s">
        <v>60</v>
      </c>
    </row>
    <row r="305" spans="1:24" ht="15" x14ac:dyDescent="0.3">
      <c r="A305" s="3">
        <v>57</v>
      </c>
      <c r="B305" s="3" t="s">
        <v>5393</v>
      </c>
      <c r="C305" s="14" t="s">
        <v>0</v>
      </c>
      <c r="D305" s="14" t="s">
        <v>3453</v>
      </c>
      <c r="E305" s="14" t="s">
        <v>4746</v>
      </c>
      <c r="F305" s="14" t="s">
        <v>3456</v>
      </c>
      <c r="G305" s="14" t="s">
        <v>3</v>
      </c>
      <c r="H305" s="14" t="s">
        <v>5394</v>
      </c>
      <c r="I305" s="14" t="s">
        <v>3662</v>
      </c>
      <c r="J305" s="14" t="s">
        <v>60</v>
      </c>
      <c r="K305" s="14" t="s">
        <v>60</v>
      </c>
      <c r="L305" s="14" t="s">
        <v>60</v>
      </c>
      <c r="M305" s="14" t="s">
        <v>3663</v>
      </c>
      <c r="N305" s="14" t="s">
        <v>60</v>
      </c>
      <c r="O305" s="14" t="s">
        <v>60</v>
      </c>
      <c r="P305" s="14" t="s">
        <v>5395</v>
      </c>
      <c r="Q305" s="14" t="s">
        <v>180</v>
      </c>
      <c r="R305" s="3">
        <v>0</v>
      </c>
      <c r="S305" s="3">
        <f t="shared" si="12"/>
        <v>550</v>
      </c>
      <c r="T305" s="3">
        <f t="shared" si="13"/>
        <v>0</v>
      </c>
      <c r="U305" s="3" t="s">
        <v>60</v>
      </c>
      <c r="V305" s="14" t="s">
        <v>6</v>
      </c>
      <c r="W305" s="14" t="s">
        <v>5396</v>
      </c>
      <c r="X305" s="14" t="s">
        <v>60</v>
      </c>
    </row>
    <row r="306" spans="1:24" ht="15" x14ac:dyDescent="0.3">
      <c r="A306" s="3">
        <v>58</v>
      </c>
      <c r="B306" s="3" t="s">
        <v>5397</v>
      </c>
      <c r="C306" s="14" t="s">
        <v>0</v>
      </c>
      <c r="D306" s="14" t="s">
        <v>3454</v>
      </c>
      <c r="E306" s="14" t="s">
        <v>5398</v>
      </c>
      <c r="F306" s="14" t="s">
        <v>3457</v>
      </c>
      <c r="G306" s="14" t="s">
        <v>3</v>
      </c>
      <c r="H306" s="14" t="s">
        <v>3664</v>
      </c>
      <c r="I306" s="14" t="s">
        <v>3665</v>
      </c>
      <c r="J306" s="14" t="s">
        <v>60</v>
      </c>
      <c r="K306" s="14" t="s">
        <v>60</v>
      </c>
      <c r="L306" s="14" t="s">
        <v>60</v>
      </c>
      <c r="M306" s="14" t="s">
        <v>3666</v>
      </c>
      <c r="N306" s="14" t="s">
        <v>60</v>
      </c>
      <c r="O306" s="14" t="s">
        <v>60</v>
      </c>
      <c r="P306" s="14" t="s">
        <v>5399</v>
      </c>
      <c r="Q306" s="14" t="s">
        <v>180</v>
      </c>
      <c r="R306" s="3">
        <v>0</v>
      </c>
      <c r="S306" s="3">
        <f t="shared" si="12"/>
        <v>550</v>
      </c>
      <c r="T306" s="3">
        <f t="shared" si="13"/>
        <v>0</v>
      </c>
      <c r="U306" s="3" t="s">
        <v>60</v>
      </c>
      <c r="V306" s="14" t="s">
        <v>6</v>
      </c>
      <c r="W306" s="14" t="s">
        <v>5396</v>
      </c>
      <c r="X306" s="14" t="s">
        <v>60</v>
      </c>
    </row>
    <row r="307" spans="1:24" ht="15" x14ac:dyDescent="0.3">
      <c r="A307" s="3">
        <v>59</v>
      </c>
      <c r="B307" s="3" t="s">
        <v>5400</v>
      </c>
      <c r="C307" s="14" t="s">
        <v>0</v>
      </c>
      <c r="D307" s="14" t="s">
        <v>3455</v>
      </c>
      <c r="E307" s="14" t="s">
        <v>4216</v>
      </c>
      <c r="F307" s="14" t="s">
        <v>3458</v>
      </c>
      <c r="G307" s="14" t="s">
        <v>3</v>
      </c>
      <c r="H307" s="14" t="s">
        <v>5401</v>
      </c>
      <c r="I307" s="14" t="s">
        <v>3667</v>
      </c>
      <c r="J307" s="14" t="s">
        <v>60</v>
      </c>
      <c r="K307" s="14" t="s">
        <v>60</v>
      </c>
      <c r="L307" s="14" t="s">
        <v>60</v>
      </c>
      <c r="M307" s="14" t="s">
        <v>3668</v>
      </c>
      <c r="N307" s="14" t="s">
        <v>60</v>
      </c>
      <c r="O307" s="14" t="s">
        <v>60</v>
      </c>
      <c r="P307" s="14" t="s">
        <v>5402</v>
      </c>
      <c r="Q307" s="14" t="s">
        <v>11</v>
      </c>
      <c r="R307" s="3">
        <v>0</v>
      </c>
      <c r="S307" s="3">
        <f t="shared" si="12"/>
        <v>550</v>
      </c>
      <c r="T307" s="3">
        <f t="shared" si="13"/>
        <v>0</v>
      </c>
      <c r="U307" s="3" t="s">
        <v>60</v>
      </c>
      <c r="V307" s="14" t="s">
        <v>6</v>
      </c>
      <c r="W307" s="14" t="s">
        <v>5396</v>
      </c>
      <c r="X307" s="14" t="s">
        <v>60</v>
      </c>
    </row>
    <row r="308" spans="1:24" ht="15" x14ac:dyDescent="0.3">
      <c r="A308" s="3">
        <v>60</v>
      </c>
      <c r="B308" s="3" t="s">
        <v>5403</v>
      </c>
      <c r="C308" s="14" t="s">
        <v>0</v>
      </c>
      <c r="D308" s="14" t="s">
        <v>753</v>
      </c>
      <c r="E308" s="14" t="s">
        <v>4658</v>
      </c>
      <c r="F308" s="14" t="s">
        <v>754</v>
      </c>
      <c r="G308" s="14" t="s">
        <v>3</v>
      </c>
      <c r="H308" s="14" t="s">
        <v>5255</v>
      </c>
      <c r="I308" s="14" t="s">
        <v>755</v>
      </c>
      <c r="J308" s="14" t="s">
        <v>60</v>
      </c>
      <c r="K308" s="14" t="s">
        <v>60</v>
      </c>
      <c r="L308" s="14" t="s">
        <v>60</v>
      </c>
      <c r="M308" s="14" t="s">
        <v>756</v>
      </c>
      <c r="N308" s="14" t="s">
        <v>60</v>
      </c>
      <c r="O308" s="14" t="s">
        <v>25</v>
      </c>
      <c r="P308" s="14" t="s">
        <v>5404</v>
      </c>
      <c r="Q308" s="14" t="s">
        <v>11</v>
      </c>
      <c r="R308" s="3">
        <v>0</v>
      </c>
      <c r="S308" s="3">
        <f t="shared" si="12"/>
        <v>550</v>
      </c>
      <c r="T308" s="3">
        <f t="shared" si="13"/>
        <v>0</v>
      </c>
      <c r="U308" s="3" t="s">
        <v>5405</v>
      </c>
      <c r="V308" s="14" t="s">
        <v>6</v>
      </c>
      <c r="W308" s="14" t="s">
        <v>5248</v>
      </c>
      <c r="X308" s="14" t="s">
        <v>60</v>
      </c>
    </row>
    <row r="309" spans="1:24" ht="15" x14ac:dyDescent="0.3">
      <c r="A309" s="3">
        <v>61</v>
      </c>
      <c r="B309" s="3" t="s">
        <v>5406</v>
      </c>
      <c r="C309" s="14" t="s">
        <v>0</v>
      </c>
      <c r="D309" s="14" t="s">
        <v>819</v>
      </c>
      <c r="E309" s="14" t="s">
        <v>4928</v>
      </c>
      <c r="F309" s="14" t="s">
        <v>820</v>
      </c>
      <c r="G309" s="14" t="s">
        <v>3</v>
      </c>
      <c r="H309" s="14" t="s">
        <v>5407</v>
      </c>
      <c r="I309" s="14" t="s">
        <v>821</v>
      </c>
      <c r="J309" s="14" t="s">
        <v>60</v>
      </c>
      <c r="K309" s="14" t="s">
        <v>60</v>
      </c>
      <c r="L309" s="14" t="s">
        <v>60</v>
      </c>
      <c r="M309" s="14" t="s">
        <v>822</v>
      </c>
      <c r="N309" s="14" t="s">
        <v>60</v>
      </c>
      <c r="O309" s="14" t="s">
        <v>25</v>
      </c>
      <c r="P309" s="14" t="s">
        <v>5408</v>
      </c>
      <c r="Q309" s="14" t="s">
        <v>11</v>
      </c>
      <c r="R309" s="3">
        <v>0</v>
      </c>
      <c r="S309" s="3">
        <f t="shared" si="12"/>
        <v>550</v>
      </c>
      <c r="T309" s="3">
        <f t="shared" si="13"/>
        <v>0</v>
      </c>
      <c r="U309" s="3" t="s">
        <v>60</v>
      </c>
      <c r="V309" s="14" t="s">
        <v>6</v>
      </c>
      <c r="W309" s="14" t="s">
        <v>4999</v>
      </c>
      <c r="X309" s="14" t="s">
        <v>60</v>
      </c>
    </row>
    <row r="310" spans="1:24" ht="15" x14ac:dyDescent="0.3">
      <c r="A310" s="3">
        <v>62</v>
      </c>
      <c r="B310" s="3" t="s">
        <v>5409</v>
      </c>
      <c r="C310" s="14" t="s">
        <v>0</v>
      </c>
      <c r="D310" s="14" t="s">
        <v>835</v>
      </c>
      <c r="E310" s="14" t="s">
        <v>5410</v>
      </c>
      <c r="F310" s="14" t="s">
        <v>836</v>
      </c>
      <c r="G310" s="14" t="s">
        <v>121</v>
      </c>
      <c r="H310" s="14" t="s">
        <v>5411</v>
      </c>
      <c r="I310" s="14" t="s">
        <v>837</v>
      </c>
      <c r="J310" s="14" t="s">
        <v>60</v>
      </c>
      <c r="K310" s="14" t="s">
        <v>60</v>
      </c>
      <c r="L310" s="14" t="s">
        <v>60</v>
      </c>
      <c r="M310" s="14" t="s">
        <v>838</v>
      </c>
      <c r="N310" s="14" t="s">
        <v>60</v>
      </c>
      <c r="O310" s="14" t="s">
        <v>60</v>
      </c>
      <c r="P310" s="14" t="s">
        <v>5412</v>
      </c>
      <c r="Q310" s="14" t="s">
        <v>11</v>
      </c>
      <c r="R310" s="3">
        <v>0</v>
      </c>
      <c r="S310" s="3">
        <f t="shared" si="12"/>
        <v>550</v>
      </c>
      <c r="T310" s="3">
        <f t="shared" si="13"/>
        <v>0</v>
      </c>
      <c r="U310" s="3" t="s">
        <v>60</v>
      </c>
      <c r="V310" s="14" t="s">
        <v>6</v>
      </c>
      <c r="W310" s="14" t="s">
        <v>4731</v>
      </c>
      <c r="X310" s="14" t="s">
        <v>60</v>
      </c>
    </row>
    <row r="311" spans="1:24" ht="15" x14ac:dyDescent="0.3">
      <c r="A311" s="3">
        <v>63</v>
      </c>
      <c r="B311" s="3" t="s">
        <v>5413</v>
      </c>
      <c r="C311" s="14" t="s">
        <v>0</v>
      </c>
      <c r="D311" s="14" t="s">
        <v>858</v>
      </c>
      <c r="E311" s="14" t="s">
        <v>4195</v>
      </c>
      <c r="F311" s="14" t="s">
        <v>852</v>
      </c>
      <c r="G311" s="14" t="s">
        <v>3</v>
      </c>
      <c r="H311" s="14" t="s">
        <v>5414</v>
      </c>
      <c r="I311" s="14" t="s">
        <v>859</v>
      </c>
      <c r="J311" s="14" t="s">
        <v>60</v>
      </c>
      <c r="K311" s="14" t="s">
        <v>60</v>
      </c>
      <c r="L311" s="14" t="s">
        <v>60</v>
      </c>
      <c r="M311" s="14" t="s">
        <v>860</v>
      </c>
      <c r="N311" s="14" t="s">
        <v>60</v>
      </c>
      <c r="O311" s="14" t="s">
        <v>558</v>
      </c>
      <c r="P311" s="14" t="s">
        <v>5415</v>
      </c>
      <c r="Q311" s="14" t="s">
        <v>389</v>
      </c>
      <c r="R311" s="3">
        <v>0</v>
      </c>
      <c r="S311" s="3">
        <f t="shared" si="12"/>
        <v>550</v>
      </c>
      <c r="T311" s="3">
        <f t="shared" si="13"/>
        <v>0</v>
      </c>
      <c r="U311" s="3" t="s">
        <v>60</v>
      </c>
      <c r="V311" s="14" t="s">
        <v>6</v>
      </c>
      <c r="W311" s="14" t="s">
        <v>5416</v>
      </c>
      <c r="X311" s="14" t="s">
        <v>60</v>
      </c>
    </row>
    <row r="312" spans="1:24" ht="15" x14ac:dyDescent="0.3">
      <c r="A312" s="3">
        <v>64</v>
      </c>
      <c r="B312" s="3" t="s">
        <v>5417</v>
      </c>
      <c r="C312" s="14" t="s">
        <v>0</v>
      </c>
      <c r="D312" s="14" t="s">
        <v>854</v>
      </c>
      <c r="E312" s="14" t="s">
        <v>4778</v>
      </c>
      <c r="F312" s="14" t="s">
        <v>855</v>
      </c>
      <c r="G312" s="14" t="s">
        <v>3</v>
      </c>
      <c r="H312" s="14" t="s">
        <v>5418</v>
      </c>
      <c r="I312" s="14" t="s">
        <v>856</v>
      </c>
      <c r="J312" s="14" t="s">
        <v>60</v>
      </c>
      <c r="K312" s="14" t="s">
        <v>60</v>
      </c>
      <c r="L312" s="14" t="s">
        <v>60</v>
      </c>
      <c r="M312" s="14" t="s">
        <v>857</v>
      </c>
      <c r="N312" s="14" t="s">
        <v>60</v>
      </c>
      <c r="O312" s="14" t="s">
        <v>59</v>
      </c>
      <c r="P312" s="14" t="s">
        <v>5419</v>
      </c>
      <c r="Q312" s="14" t="s">
        <v>11</v>
      </c>
      <c r="R312" s="3">
        <v>0</v>
      </c>
      <c r="S312" s="3">
        <f t="shared" si="12"/>
        <v>550</v>
      </c>
      <c r="T312" s="3">
        <f t="shared" si="13"/>
        <v>0</v>
      </c>
      <c r="U312" s="3" t="s">
        <v>60</v>
      </c>
      <c r="V312" s="14" t="s">
        <v>6</v>
      </c>
      <c r="W312" s="14" t="s">
        <v>5090</v>
      </c>
      <c r="X312" s="14" t="s">
        <v>60</v>
      </c>
    </row>
    <row r="313" spans="1:24" ht="15" x14ac:dyDescent="0.3">
      <c r="A313" s="3">
        <v>65</v>
      </c>
      <c r="B313" s="3" t="s">
        <v>5420</v>
      </c>
      <c r="C313" s="14" t="s">
        <v>0</v>
      </c>
      <c r="D313" s="14" t="s">
        <v>3307</v>
      </c>
      <c r="E313" s="14" t="s">
        <v>4205</v>
      </c>
      <c r="F313" s="14" t="s">
        <v>1523</v>
      </c>
      <c r="G313" s="14" t="s">
        <v>3</v>
      </c>
      <c r="H313" s="14" t="s">
        <v>5421</v>
      </c>
      <c r="I313" s="14" t="s">
        <v>3363</v>
      </c>
      <c r="J313" s="14" t="s">
        <v>60</v>
      </c>
      <c r="K313" s="14" t="s">
        <v>60</v>
      </c>
      <c r="L313" s="14" t="s">
        <v>60</v>
      </c>
      <c r="M313" s="14" t="s">
        <v>3364</v>
      </c>
      <c r="N313" s="14" t="s">
        <v>60</v>
      </c>
      <c r="O313" s="14" t="s">
        <v>60</v>
      </c>
      <c r="P313" s="14" t="s">
        <v>5422</v>
      </c>
      <c r="Q313" s="14" t="s">
        <v>11</v>
      </c>
      <c r="R313" s="3">
        <v>0</v>
      </c>
      <c r="S313" s="3">
        <f t="shared" ref="S313" si="14">IF(RIGHT(C313,3)="MAZ",550,IF(RIGHT(C313,4)="MATE",570,IF(RIGHT(C313,7)="SKD-III",640,IF(RIGHT(C313,6)="SKD-II",770,IF(RIGHT(C313,5)="SKD-I",900,IF(RIGHT(C313,5)="CPDVR",770,""))))))</f>
        <v>550</v>
      </c>
      <c r="T313" s="3">
        <f t="shared" ref="T313" si="15">R313*S313</f>
        <v>0</v>
      </c>
      <c r="U313" s="3" t="s">
        <v>5423</v>
      </c>
      <c r="V313" s="14" t="s">
        <v>4208</v>
      </c>
      <c r="W313" s="14" t="s">
        <v>5424</v>
      </c>
      <c r="X313" s="14" t="s">
        <v>60</v>
      </c>
    </row>
    <row r="314" spans="1:24" ht="15.6" x14ac:dyDescent="0.3">
      <c r="A314" s="26" t="s">
        <v>60</v>
      </c>
      <c r="B314" s="26" t="s">
        <v>60</v>
      </c>
      <c r="C314" s="27" t="s">
        <v>60</v>
      </c>
      <c r="D314" s="27" t="s">
        <v>60</v>
      </c>
      <c r="E314" s="27" t="s">
        <v>60</v>
      </c>
      <c r="F314" s="27" t="s">
        <v>60</v>
      </c>
      <c r="G314" s="27" t="s">
        <v>60</v>
      </c>
      <c r="H314" s="27" t="s">
        <v>60</v>
      </c>
      <c r="I314" s="27" t="s">
        <v>60</v>
      </c>
      <c r="J314" s="27" t="s">
        <v>60</v>
      </c>
      <c r="K314" s="27" t="s">
        <v>60</v>
      </c>
      <c r="L314" s="27" t="s">
        <v>60</v>
      </c>
      <c r="M314" s="27" t="s">
        <v>60</v>
      </c>
      <c r="N314" s="27" t="s">
        <v>60</v>
      </c>
      <c r="O314" s="27" t="s">
        <v>60</v>
      </c>
      <c r="P314" s="27" t="s">
        <v>60</v>
      </c>
      <c r="Q314" s="27" t="s">
        <v>60</v>
      </c>
      <c r="R314" s="35" t="s">
        <v>2009</v>
      </c>
      <c r="S314" s="35" t="s">
        <v>60</v>
      </c>
      <c r="T314" s="26">
        <f>SUM(T248:T313)</f>
        <v>0</v>
      </c>
      <c r="U314" s="26" t="s">
        <v>5425</v>
      </c>
      <c r="V314" s="27" t="s">
        <v>60</v>
      </c>
      <c r="W314" s="27" t="s">
        <v>60</v>
      </c>
      <c r="X314" s="27" t="s">
        <v>60</v>
      </c>
    </row>
    <row r="315" spans="1:24" ht="15.6" x14ac:dyDescent="0.3">
      <c r="A315" s="34" t="s">
        <v>5426</v>
      </c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 spans="1:24" ht="109.2" x14ac:dyDescent="0.3">
      <c r="A316" s="23" t="s">
        <v>42</v>
      </c>
      <c r="B316" s="23" t="s">
        <v>43</v>
      </c>
      <c r="C316" s="24" t="s">
        <v>44</v>
      </c>
      <c r="D316" s="24" t="s">
        <v>4154</v>
      </c>
      <c r="E316" s="24" t="s">
        <v>4155</v>
      </c>
      <c r="F316" s="24" t="s">
        <v>4156</v>
      </c>
      <c r="G316" s="24" t="s">
        <v>45</v>
      </c>
      <c r="H316" s="24" t="s">
        <v>4157</v>
      </c>
      <c r="I316" s="24" t="s">
        <v>46</v>
      </c>
      <c r="J316" s="24" t="s">
        <v>4158</v>
      </c>
      <c r="K316" s="24" t="s">
        <v>4159</v>
      </c>
      <c r="L316" s="24" t="s">
        <v>4160</v>
      </c>
      <c r="M316" s="24" t="s">
        <v>4161</v>
      </c>
      <c r="N316" s="24" t="s">
        <v>47</v>
      </c>
      <c r="O316" s="24" t="s">
        <v>48</v>
      </c>
      <c r="P316" s="24" t="s">
        <v>49</v>
      </c>
      <c r="Q316" s="24" t="s">
        <v>50</v>
      </c>
      <c r="R316" s="23" t="s">
        <v>4162</v>
      </c>
      <c r="S316" s="23" t="s">
        <v>4163</v>
      </c>
      <c r="T316" s="23" t="s">
        <v>4164</v>
      </c>
      <c r="U316" s="23" t="s">
        <v>4165</v>
      </c>
      <c r="V316" s="24" t="s">
        <v>51</v>
      </c>
      <c r="W316" s="24" t="s">
        <v>52</v>
      </c>
      <c r="X316" s="24" t="s">
        <v>53</v>
      </c>
    </row>
    <row r="317" spans="1:24" ht="15" x14ac:dyDescent="0.3">
      <c r="A317" s="3">
        <v>1</v>
      </c>
      <c r="B317" s="3" t="s">
        <v>553</v>
      </c>
      <c r="C317" s="14" t="s">
        <v>69</v>
      </c>
      <c r="D317" s="14" t="s">
        <v>554</v>
      </c>
      <c r="E317" s="14" t="s">
        <v>5427</v>
      </c>
      <c r="F317" s="14" t="s">
        <v>555</v>
      </c>
      <c r="G317" s="14" t="s">
        <v>3</v>
      </c>
      <c r="H317" s="14" t="s">
        <v>5428</v>
      </c>
      <c r="I317" s="14" t="s">
        <v>5429</v>
      </c>
      <c r="J317" s="14" t="s">
        <v>60</v>
      </c>
      <c r="K317" s="14" t="s">
        <v>60</v>
      </c>
      <c r="L317" s="14" t="s">
        <v>60</v>
      </c>
      <c r="M317" s="14" t="s">
        <v>556</v>
      </c>
      <c r="N317" s="14" t="s">
        <v>557</v>
      </c>
      <c r="O317" s="14" t="s">
        <v>558</v>
      </c>
      <c r="P317" s="14" t="s">
        <v>5430</v>
      </c>
      <c r="Q317" s="14" t="s">
        <v>185</v>
      </c>
      <c r="R317" s="3">
        <v>0</v>
      </c>
      <c r="S317" s="3">
        <f t="shared" ref="S317:S380" si="16">IF(RIGHT(C317,3)="MAZ",550,IF(RIGHT(C317,4)="MATE",570,IF(RIGHT(C317,7)="SKD-III",640,IF(RIGHT(C317,6)="SKD-II",770,IF(RIGHT(C317,5)="SKD-I",900,IF(RIGHT(C317,5)="CPDVR",770,""))))))</f>
        <v>570</v>
      </c>
      <c r="T317" s="3">
        <f t="shared" ref="T317:T380" si="17">R317*S317</f>
        <v>0</v>
      </c>
      <c r="U317" s="3" t="s">
        <v>60</v>
      </c>
      <c r="V317" s="14" t="s">
        <v>6</v>
      </c>
      <c r="W317" s="14" t="s">
        <v>4287</v>
      </c>
      <c r="X317" s="14" t="s">
        <v>60</v>
      </c>
    </row>
    <row r="318" spans="1:24" ht="15" x14ac:dyDescent="0.3">
      <c r="A318" s="3">
        <v>2</v>
      </c>
      <c r="B318" s="3" t="s">
        <v>5431</v>
      </c>
      <c r="C318" s="14" t="s">
        <v>69</v>
      </c>
      <c r="D318" s="14" t="s">
        <v>740</v>
      </c>
      <c r="E318" s="14" t="s">
        <v>5258</v>
      </c>
      <c r="F318" s="14" t="s">
        <v>741</v>
      </c>
      <c r="G318" s="14" t="s">
        <v>3</v>
      </c>
      <c r="H318" s="14" t="s">
        <v>5432</v>
      </c>
      <c r="I318" s="14" t="s">
        <v>742</v>
      </c>
      <c r="J318" s="14" t="s">
        <v>60</v>
      </c>
      <c r="K318" s="14" t="s">
        <v>60</v>
      </c>
      <c r="L318" s="14" t="s">
        <v>60</v>
      </c>
      <c r="M318" s="14" t="s">
        <v>743</v>
      </c>
      <c r="N318" s="14" t="s">
        <v>60</v>
      </c>
      <c r="O318" s="14" t="s">
        <v>25</v>
      </c>
      <c r="P318" s="14" t="s">
        <v>5433</v>
      </c>
      <c r="Q318" s="14" t="s">
        <v>11</v>
      </c>
      <c r="R318" s="3">
        <v>0</v>
      </c>
      <c r="S318" s="3">
        <f t="shared" si="16"/>
        <v>570</v>
      </c>
      <c r="T318" s="3">
        <f t="shared" si="17"/>
        <v>0</v>
      </c>
      <c r="U318" s="3" t="s">
        <v>60</v>
      </c>
      <c r="V318" s="14" t="s">
        <v>6</v>
      </c>
      <c r="W318" s="14" t="s">
        <v>5248</v>
      </c>
      <c r="X318" s="14" t="s">
        <v>60</v>
      </c>
    </row>
    <row r="319" spans="1:24" ht="15" x14ac:dyDescent="0.3">
      <c r="A319" s="3">
        <v>3</v>
      </c>
      <c r="B319" s="3" t="s">
        <v>5434</v>
      </c>
      <c r="C319" s="14" t="s">
        <v>710</v>
      </c>
      <c r="D319" s="14" t="s">
        <v>711</v>
      </c>
      <c r="E319" s="14" t="s">
        <v>5435</v>
      </c>
      <c r="F319" s="14" t="s">
        <v>712</v>
      </c>
      <c r="G319" s="14" t="s">
        <v>3</v>
      </c>
      <c r="H319" s="14" t="s">
        <v>5436</v>
      </c>
      <c r="I319" s="14" t="s">
        <v>713</v>
      </c>
      <c r="J319" s="14" t="s">
        <v>60</v>
      </c>
      <c r="K319" s="14" t="s">
        <v>60</v>
      </c>
      <c r="L319" s="14" t="s">
        <v>60</v>
      </c>
      <c r="M319" s="14" t="s">
        <v>714</v>
      </c>
      <c r="N319" s="14" t="s">
        <v>60</v>
      </c>
      <c r="O319" s="14" t="s">
        <v>114</v>
      </c>
      <c r="P319" s="14" t="s">
        <v>5437</v>
      </c>
      <c r="Q319" s="14" t="s">
        <v>11</v>
      </c>
      <c r="R319" s="3">
        <v>0</v>
      </c>
      <c r="S319" s="3">
        <f t="shared" si="16"/>
        <v>900</v>
      </c>
      <c r="T319" s="3">
        <f t="shared" si="17"/>
        <v>0</v>
      </c>
      <c r="U319" s="3" t="s">
        <v>60</v>
      </c>
      <c r="V319" s="14" t="s">
        <v>6</v>
      </c>
      <c r="W319" s="14" t="s">
        <v>5438</v>
      </c>
      <c r="X319" s="14" t="s">
        <v>60</v>
      </c>
    </row>
    <row r="320" spans="1:24" ht="15" x14ac:dyDescent="0.3">
      <c r="A320" s="3">
        <v>4</v>
      </c>
      <c r="B320" s="3" t="s">
        <v>5439</v>
      </c>
      <c r="C320" s="14" t="s">
        <v>710</v>
      </c>
      <c r="D320" s="14" t="s">
        <v>715</v>
      </c>
      <c r="E320" s="14" t="s">
        <v>5440</v>
      </c>
      <c r="F320" s="14" t="s">
        <v>716</v>
      </c>
      <c r="G320" s="14" t="s">
        <v>3</v>
      </c>
      <c r="H320" s="14" t="s">
        <v>5441</v>
      </c>
      <c r="I320" s="14" t="s">
        <v>717</v>
      </c>
      <c r="J320" s="14" t="s">
        <v>60</v>
      </c>
      <c r="K320" s="14" t="s">
        <v>60</v>
      </c>
      <c r="L320" s="14" t="s">
        <v>60</v>
      </c>
      <c r="M320" s="14" t="s">
        <v>717</v>
      </c>
      <c r="N320" s="14" t="s">
        <v>60</v>
      </c>
      <c r="O320" s="14" t="s">
        <v>718</v>
      </c>
      <c r="P320" s="14" t="s">
        <v>5442</v>
      </c>
      <c r="Q320" s="14" t="s">
        <v>719</v>
      </c>
      <c r="R320" s="3">
        <v>0</v>
      </c>
      <c r="S320" s="3">
        <f t="shared" si="16"/>
        <v>900</v>
      </c>
      <c r="T320" s="3">
        <f t="shared" si="17"/>
        <v>0</v>
      </c>
      <c r="U320" s="3" t="s">
        <v>60</v>
      </c>
      <c r="V320" s="14" t="s">
        <v>4208</v>
      </c>
      <c r="W320" s="14" t="s">
        <v>5443</v>
      </c>
      <c r="X320" s="14" t="s">
        <v>60</v>
      </c>
    </row>
    <row r="321" spans="1:24" ht="15" x14ac:dyDescent="0.3">
      <c r="A321" s="3">
        <v>5</v>
      </c>
      <c r="B321" s="3" t="s">
        <v>5444</v>
      </c>
      <c r="C321" s="14" t="s">
        <v>26</v>
      </c>
      <c r="D321" s="14" t="s">
        <v>731</v>
      </c>
      <c r="E321" s="14" t="s">
        <v>5445</v>
      </c>
      <c r="F321" s="14" t="s">
        <v>732</v>
      </c>
      <c r="G321" s="14" t="s">
        <v>3</v>
      </c>
      <c r="H321" s="14" t="s">
        <v>5446</v>
      </c>
      <c r="I321" s="14" t="s">
        <v>733</v>
      </c>
      <c r="J321" s="14" t="s">
        <v>60</v>
      </c>
      <c r="K321" s="14" t="s">
        <v>60</v>
      </c>
      <c r="L321" s="14" t="s">
        <v>60</v>
      </c>
      <c r="M321" s="14" t="s">
        <v>60</v>
      </c>
      <c r="N321" s="14" t="s">
        <v>60</v>
      </c>
      <c r="O321" s="14" t="s">
        <v>25</v>
      </c>
      <c r="P321" s="14" t="s">
        <v>734</v>
      </c>
      <c r="Q321" s="14" t="s">
        <v>735</v>
      </c>
      <c r="R321" s="3">
        <v>0</v>
      </c>
      <c r="S321" s="3">
        <f t="shared" si="16"/>
        <v>770</v>
      </c>
      <c r="T321" s="3">
        <f t="shared" si="17"/>
        <v>0</v>
      </c>
      <c r="U321" s="3" t="s">
        <v>60</v>
      </c>
      <c r="V321" s="14" t="s">
        <v>6</v>
      </c>
      <c r="W321" s="14" t="s">
        <v>4985</v>
      </c>
      <c r="X321" s="14" t="s">
        <v>60</v>
      </c>
    </row>
    <row r="322" spans="1:24" ht="15" x14ac:dyDescent="0.3">
      <c r="A322" s="3">
        <v>6</v>
      </c>
      <c r="B322" s="3" t="s">
        <v>5447</v>
      </c>
      <c r="C322" s="14" t="s">
        <v>26</v>
      </c>
      <c r="D322" s="14" t="s">
        <v>736</v>
      </c>
      <c r="E322" s="14" t="s">
        <v>5448</v>
      </c>
      <c r="F322" s="14" t="s">
        <v>737</v>
      </c>
      <c r="G322" s="14" t="s">
        <v>3</v>
      </c>
      <c r="H322" s="14" t="s">
        <v>5449</v>
      </c>
      <c r="I322" s="14" t="s">
        <v>738</v>
      </c>
      <c r="J322" s="14" t="s">
        <v>60</v>
      </c>
      <c r="K322" s="14" t="s">
        <v>60</v>
      </c>
      <c r="L322" s="14" t="s">
        <v>60</v>
      </c>
      <c r="M322" s="14" t="s">
        <v>60</v>
      </c>
      <c r="N322" s="14" t="s">
        <v>60</v>
      </c>
      <c r="O322" s="14" t="s">
        <v>25</v>
      </c>
      <c r="P322" s="14" t="s">
        <v>5450</v>
      </c>
      <c r="Q322" s="14" t="s">
        <v>739</v>
      </c>
      <c r="R322" s="3">
        <v>0</v>
      </c>
      <c r="S322" s="3">
        <f t="shared" si="16"/>
        <v>770</v>
      </c>
      <c r="T322" s="3">
        <f t="shared" si="17"/>
        <v>0</v>
      </c>
      <c r="U322" s="3" t="s">
        <v>60</v>
      </c>
      <c r="V322" s="14" t="s">
        <v>6</v>
      </c>
      <c r="W322" s="14" t="s">
        <v>4985</v>
      </c>
      <c r="X322" s="14" t="s">
        <v>60</v>
      </c>
    </row>
    <row r="323" spans="1:24" ht="15" x14ac:dyDescent="0.3">
      <c r="A323" s="3">
        <v>7</v>
      </c>
      <c r="B323" s="3" t="s">
        <v>559</v>
      </c>
      <c r="C323" s="14" t="s">
        <v>3967</v>
      </c>
      <c r="D323" s="14" t="s">
        <v>560</v>
      </c>
      <c r="E323" s="14" t="s">
        <v>5451</v>
      </c>
      <c r="F323" s="14" t="s">
        <v>561</v>
      </c>
      <c r="G323" s="14" t="s">
        <v>3</v>
      </c>
      <c r="H323" s="14" t="s">
        <v>562</v>
      </c>
      <c r="I323" s="14" t="s">
        <v>5452</v>
      </c>
      <c r="J323" s="14" t="s">
        <v>60</v>
      </c>
      <c r="K323" s="14" t="s">
        <v>60</v>
      </c>
      <c r="L323" s="14" t="s">
        <v>60</v>
      </c>
      <c r="M323" s="14" t="s">
        <v>563</v>
      </c>
      <c r="N323" s="14" t="s">
        <v>60</v>
      </c>
      <c r="O323" s="14" t="s">
        <v>558</v>
      </c>
      <c r="P323" s="14" t="s">
        <v>5453</v>
      </c>
      <c r="Q323" s="14" t="s">
        <v>185</v>
      </c>
      <c r="R323" s="3">
        <v>0</v>
      </c>
      <c r="S323" s="3">
        <f t="shared" si="16"/>
        <v>640</v>
      </c>
      <c r="T323" s="3">
        <f t="shared" si="17"/>
        <v>0</v>
      </c>
      <c r="U323" s="3" t="s">
        <v>60</v>
      </c>
      <c r="V323" s="14" t="s">
        <v>6</v>
      </c>
      <c r="W323" s="14" t="s">
        <v>4287</v>
      </c>
      <c r="X323" s="14" t="s">
        <v>60</v>
      </c>
    </row>
    <row r="324" spans="1:24" ht="15" x14ac:dyDescent="0.3">
      <c r="A324" s="3">
        <v>8</v>
      </c>
      <c r="B324" s="3" t="s">
        <v>564</v>
      </c>
      <c r="C324" s="14" t="s">
        <v>14</v>
      </c>
      <c r="D324" s="14" t="s">
        <v>565</v>
      </c>
      <c r="E324" s="14" t="s">
        <v>5454</v>
      </c>
      <c r="F324" s="14" t="s">
        <v>566</v>
      </c>
      <c r="G324" s="14" t="s">
        <v>3</v>
      </c>
      <c r="H324" s="14" t="s">
        <v>5455</v>
      </c>
      <c r="I324" s="14" t="s">
        <v>567</v>
      </c>
      <c r="J324" s="14" t="s">
        <v>60</v>
      </c>
      <c r="K324" s="14" t="s">
        <v>60</v>
      </c>
      <c r="L324" s="14" t="s">
        <v>60</v>
      </c>
      <c r="M324" s="14" t="s">
        <v>568</v>
      </c>
      <c r="N324" s="14" t="s">
        <v>569</v>
      </c>
      <c r="O324" s="14" t="s">
        <v>558</v>
      </c>
      <c r="P324" s="14" t="s">
        <v>5456</v>
      </c>
      <c r="Q324" s="14" t="s">
        <v>185</v>
      </c>
      <c r="R324" s="3">
        <v>0</v>
      </c>
      <c r="S324" s="3">
        <f t="shared" si="16"/>
        <v>640</v>
      </c>
      <c r="T324" s="3">
        <f t="shared" si="17"/>
        <v>0</v>
      </c>
      <c r="U324" s="3" t="s">
        <v>60</v>
      </c>
      <c r="V324" s="14" t="s">
        <v>6</v>
      </c>
      <c r="W324" s="14" t="s">
        <v>4287</v>
      </c>
      <c r="X324" s="14" t="s">
        <v>60</v>
      </c>
    </row>
    <row r="325" spans="1:24" ht="15" x14ac:dyDescent="0.3">
      <c r="A325" s="3">
        <v>9</v>
      </c>
      <c r="B325" s="3" t="s">
        <v>5457</v>
      </c>
      <c r="C325" s="14" t="s">
        <v>354</v>
      </c>
      <c r="D325" s="14" t="s">
        <v>705</v>
      </c>
      <c r="E325" s="14" t="s">
        <v>4293</v>
      </c>
      <c r="F325" s="14" t="s">
        <v>706</v>
      </c>
      <c r="G325" s="14" t="s">
        <v>3</v>
      </c>
      <c r="H325" s="14" t="s">
        <v>707</v>
      </c>
      <c r="I325" s="14" t="s">
        <v>708</v>
      </c>
      <c r="J325" s="14" t="s">
        <v>60</v>
      </c>
      <c r="K325" s="14" t="s">
        <v>60</v>
      </c>
      <c r="L325" s="14" t="s">
        <v>60</v>
      </c>
      <c r="M325" s="14" t="s">
        <v>709</v>
      </c>
      <c r="N325" s="14" t="s">
        <v>60</v>
      </c>
      <c r="O325" s="14" t="s">
        <v>59</v>
      </c>
      <c r="P325" s="14" t="s">
        <v>5458</v>
      </c>
      <c r="Q325" s="14" t="s">
        <v>11</v>
      </c>
      <c r="R325" s="3">
        <v>0</v>
      </c>
      <c r="S325" s="3">
        <f t="shared" si="16"/>
        <v>550</v>
      </c>
      <c r="T325" s="3">
        <f t="shared" si="17"/>
        <v>0</v>
      </c>
      <c r="U325" s="3" t="s">
        <v>60</v>
      </c>
      <c r="V325" s="14" t="s">
        <v>6</v>
      </c>
      <c r="W325" s="14" t="s">
        <v>5090</v>
      </c>
      <c r="X325" s="14" t="s">
        <v>60</v>
      </c>
    </row>
    <row r="326" spans="1:24" ht="15" x14ac:dyDescent="0.3">
      <c r="A326" s="3">
        <v>10</v>
      </c>
      <c r="B326" s="3" t="s">
        <v>5459</v>
      </c>
      <c r="C326" s="14" t="s">
        <v>0</v>
      </c>
      <c r="D326" s="14" t="s">
        <v>823</v>
      </c>
      <c r="E326" s="14" t="s">
        <v>4990</v>
      </c>
      <c r="F326" s="14" t="s">
        <v>824</v>
      </c>
      <c r="G326" s="14" t="s">
        <v>3</v>
      </c>
      <c r="H326" s="14" t="s">
        <v>5460</v>
      </c>
      <c r="I326" s="14" t="s">
        <v>825</v>
      </c>
      <c r="J326" s="14" t="s">
        <v>60</v>
      </c>
      <c r="K326" s="14" t="s">
        <v>60</v>
      </c>
      <c r="L326" s="14" t="s">
        <v>60</v>
      </c>
      <c r="M326" s="14" t="s">
        <v>826</v>
      </c>
      <c r="N326" s="14" t="s">
        <v>60</v>
      </c>
      <c r="O326" s="14" t="s">
        <v>25</v>
      </c>
      <c r="P326" s="14" t="s">
        <v>5461</v>
      </c>
      <c r="Q326" s="14" t="s">
        <v>11</v>
      </c>
      <c r="R326" s="3">
        <v>0</v>
      </c>
      <c r="S326" s="3">
        <f t="shared" si="16"/>
        <v>550</v>
      </c>
      <c r="T326" s="3">
        <f t="shared" si="17"/>
        <v>0</v>
      </c>
      <c r="U326" s="3" t="s">
        <v>60</v>
      </c>
      <c r="V326" s="14" t="s">
        <v>6</v>
      </c>
      <c r="W326" s="14" t="s">
        <v>4999</v>
      </c>
      <c r="X326" s="14" t="s">
        <v>60</v>
      </c>
    </row>
    <row r="327" spans="1:24" ht="15" x14ac:dyDescent="0.3">
      <c r="A327" s="3">
        <v>11</v>
      </c>
      <c r="B327" s="3" t="s">
        <v>5462</v>
      </c>
      <c r="C327" s="14" t="s">
        <v>91</v>
      </c>
      <c r="D327" s="14" t="s">
        <v>576</v>
      </c>
      <c r="E327" s="14" t="s">
        <v>5463</v>
      </c>
      <c r="F327" s="14" t="s">
        <v>577</v>
      </c>
      <c r="G327" s="14" t="s">
        <v>3</v>
      </c>
      <c r="H327" s="14" t="s">
        <v>5464</v>
      </c>
      <c r="I327" s="14" t="s">
        <v>578</v>
      </c>
      <c r="J327" s="14" t="s">
        <v>60</v>
      </c>
      <c r="K327" s="14" t="s">
        <v>60</v>
      </c>
      <c r="L327" s="14" t="s">
        <v>60</v>
      </c>
      <c r="M327" s="14" t="s">
        <v>579</v>
      </c>
      <c r="N327" s="14" t="s">
        <v>60</v>
      </c>
      <c r="O327" s="14" t="s">
        <v>255</v>
      </c>
      <c r="P327" s="14" t="s">
        <v>5465</v>
      </c>
      <c r="Q327" s="14" t="s">
        <v>11</v>
      </c>
      <c r="R327" s="3">
        <v>0</v>
      </c>
      <c r="S327" s="3">
        <f t="shared" si="16"/>
        <v>770</v>
      </c>
      <c r="T327" s="3">
        <f t="shared" si="17"/>
        <v>0</v>
      </c>
      <c r="U327" s="3" t="s">
        <v>60</v>
      </c>
      <c r="V327" s="14" t="s">
        <v>4208</v>
      </c>
      <c r="W327" s="14" t="s">
        <v>5466</v>
      </c>
      <c r="X327" s="14" t="s">
        <v>60</v>
      </c>
    </row>
    <row r="328" spans="1:24" ht="15" x14ac:dyDescent="0.3">
      <c r="A328" s="3">
        <v>12</v>
      </c>
      <c r="B328" s="3" t="s">
        <v>652</v>
      </c>
      <c r="C328" s="14" t="s">
        <v>91</v>
      </c>
      <c r="D328" s="14" t="s">
        <v>653</v>
      </c>
      <c r="E328" s="14" t="s">
        <v>5467</v>
      </c>
      <c r="F328" s="14" t="s">
        <v>654</v>
      </c>
      <c r="G328" s="14" t="s">
        <v>3</v>
      </c>
      <c r="H328" s="14" t="s">
        <v>5468</v>
      </c>
      <c r="I328" s="14" t="s">
        <v>655</v>
      </c>
      <c r="J328" s="14" t="s">
        <v>60</v>
      </c>
      <c r="K328" s="14" t="s">
        <v>60</v>
      </c>
      <c r="L328" s="14" t="s">
        <v>60</v>
      </c>
      <c r="M328" s="14" t="s">
        <v>656</v>
      </c>
      <c r="N328" s="14" t="s">
        <v>60</v>
      </c>
      <c r="O328" s="14" t="s">
        <v>558</v>
      </c>
      <c r="P328" s="14" t="s">
        <v>5469</v>
      </c>
      <c r="Q328" s="14" t="s">
        <v>185</v>
      </c>
      <c r="R328" s="3">
        <v>0</v>
      </c>
      <c r="S328" s="3">
        <f t="shared" si="16"/>
        <v>770</v>
      </c>
      <c r="T328" s="3">
        <f t="shared" si="17"/>
        <v>0</v>
      </c>
      <c r="U328" s="3" t="s">
        <v>60</v>
      </c>
      <c r="V328" s="14" t="s">
        <v>6</v>
      </c>
      <c r="W328" s="14" t="s">
        <v>4287</v>
      </c>
      <c r="X328" s="14" t="s">
        <v>60</v>
      </c>
    </row>
    <row r="329" spans="1:24" ht="15" x14ac:dyDescent="0.3">
      <c r="A329" s="3">
        <v>13</v>
      </c>
      <c r="B329" s="3" t="s">
        <v>5470</v>
      </c>
      <c r="C329" s="14" t="s">
        <v>91</v>
      </c>
      <c r="D329" s="14" t="s">
        <v>757</v>
      </c>
      <c r="E329" s="14" t="s">
        <v>4746</v>
      </c>
      <c r="F329" s="14" t="s">
        <v>758</v>
      </c>
      <c r="G329" s="14" t="s">
        <v>3</v>
      </c>
      <c r="H329" s="14" t="s">
        <v>5471</v>
      </c>
      <c r="I329" s="14" t="s">
        <v>759</v>
      </c>
      <c r="J329" s="14" t="s">
        <v>60</v>
      </c>
      <c r="K329" s="14" t="s">
        <v>60</v>
      </c>
      <c r="L329" s="14" t="s">
        <v>60</v>
      </c>
      <c r="M329" s="14" t="s">
        <v>760</v>
      </c>
      <c r="N329" s="14" t="s">
        <v>60</v>
      </c>
      <c r="O329" s="14" t="s">
        <v>59</v>
      </c>
      <c r="P329" s="14" t="s">
        <v>5472</v>
      </c>
      <c r="Q329" s="14" t="s">
        <v>761</v>
      </c>
      <c r="R329" s="3">
        <v>0</v>
      </c>
      <c r="S329" s="3">
        <f t="shared" si="16"/>
        <v>770</v>
      </c>
      <c r="T329" s="3">
        <f t="shared" si="17"/>
        <v>0</v>
      </c>
      <c r="U329" s="3" t="s">
        <v>60</v>
      </c>
      <c r="V329" s="14" t="s">
        <v>6</v>
      </c>
      <c r="W329" s="14" t="s">
        <v>4287</v>
      </c>
      <c r="X329" s="14" t="s">
        <v>60</v>
      </c>
    </row>
    <row r="330" spans="1:24" ht="15" x14ac:dyDescent="0.3">
      <c r="A330" s="3">
        <v>14</v>
      </c>
      <c r="B330" s="3" t="s">
        <v>5473</v>
      </c>
      <c r="C330" s="14" t="s">
        <v>14</v>
      </c>
      <c r="D330" s="14" t="s">
        <v>640</v>
      </c>
      <c r="E330" s="14" t="s">
        <v>5258</v>
      </c>
      <c r="F330" s="14" t="s">
        <v>641</v>
      </c>
      <c r="G330" s="14" t="s">
        <v>3</v>
      </c>
      <c r="H330" s="14" t="s">
        <v>5474</v>
      </c>
      <c r="I330" s="14" t="s">
        <v>642</v>
      </c>
      <c r="J330" s="14" t="s">
        <v>60</v>
      </c>
      <c r="K330" s="14" t="s">
        <v>60</v>
      </c>
      <c r="L330" s="14" t="s">
        <v>60</v>
      </c>
      <c r="M330" s="14" t="s">
        <v>643</v>
      </c>
      <c r="N330" s="14" t="s">
        <v>60</v>
      </c>
      <c r="O330" s="14" t="s">
        <v>255</v>
      </c>
      <c r="P330" s="14" t="s">
        <v>5475</v>
      </c>
      <c r="Q330" s="14" t="s">
        <v>11</v>
      </c>
      <c r="R330" s="3">
        <v>0</v>
      </c>
      <c r="S330" s="3">
        <f t="shared" si="16"/>
        <v>640</v>
      </c>
      <c r="T330" s="3">
        <f t="shared" si="17"/>
        <v>0</v>
      </c>
      <c r="U330" s="3" t="s">
        <v>60</v>
      </c>
      <c r="V330" s="14" t="s">
        <v>4208</v>
      </c>
      <c r="W330" s="14" t="s">
        <v>5223</v>
      </c>
      <c r="X330" s="14" t="s">
        <v>60</v>
      </c>
    </row>
    <row r="331" spans="1:24" ht="15" x14ac:dyDescent="0.3">
      <c r="A331" s="3">
        <v>15</v>
      </c>
      <c r="B331" s="3" t="s">
        <v>5476</v>
      </c>
      <c r="C331" s="14" t="s">
        <v>14</v>
      </c>
      <c r="D331" s="14" t="s">
        <v>570</v>
      </c>
      <c r="E331" s="14" t="s">
        <v>5477</v>
      </c>
      <c r="F331" s="14" t="s">
        <v>571</v>
      </c>
      <c r="G331" s="14" t="s">
        <v>3</v>
      </c>
      <c r="H331" s="14" t="s">
        <v>572</v>
      </c>
      <c r="I331" s="14" t="s">
        <v>573</v>
      </c>
      <c r="J331" s="14" t="s">
        <v>60</v>
      </c>
      <c r="K331" s="14" t="s">
        <v>60</v>
      </c>
      <c r="L331" s="14" t="s">
        <v>60</v>
      </c>
      <c r="M331" s="14" t="s">
        <v>574</v>
      </c>
      <c r="N331" s="14" t="s">
        <v>60</v>
      </c>
      <c r="O331" s="14" t="s">
        <v>575</v>
      </c>
      <c r="P331" s="14" t="s">
        <v>5478</v>
      </c>
      <c r="Q331" s="14" t="s">
        <v>11</v>
      </c>
      <c r="R331" s="3">
        <v>0</v>
      </c>
      <c r="S331" s="3">
        <f t="shared" si="16"/>
        <v>640</v>
      </c>
      <c r="T331" s="3">
        <f t="shared" si="17"/>
        <v>0</v>
      </c>
      <c r="U331" s="3" t="s">
        <v>60</v>
      </c>
      <c r="V331" s="14" t="s">
        <v>6</v>
      </c>
      <c r="W331" s="14" t="s">
        <v>5479</v>
      </c>
      <c r="X331" s="14" t="s">
        <v>60</v>
      </c>
    </row>
    <row r="332" spans="1:24" ht="15" x14ac:dyDescent="0.3">
      <c r="A332" s="3">
        <v>16</v>
      </c>
      <c r="B332" s="3" t="s">
        <v>5480</v>
      </c>
      <c r="C332" s="14" t="s">
        <v>0</v>
      </c>
      <c r="D332" s="14" t="s">
        <v>3309</v>
      </c>
      <c r="E332" s="14" t="s">
        <v>5481</v>
      </c>
      <c r="F332" s="14" t="s">
        <v>3311</v>
      </c>
      <c r="G332" s="14" t="s">
        <v>3</v>
      </c>
      <c r="H332" s="14" t="s">
        <v>3367</v>
      </c>
      <c r="I332" s="14" t="s">
        <v>3368</v>
      </c>
      <c r="J332" s="14" t="s">
        <v>60</v>
      </c>
      <c r="K332" s="14" t="s">
        <v>60</v>
      </c>
      <c r="L332" s="14" t="s">
        <v>60</v>
      </c>
      <c r="M332" s="14" t="s">
        <v>3369</v>
      </c>
      <c r="N332" s="14" t="s">
        <v>60</v>
      </c>
      <c r="O332" s="14" t="s">
        <v>60</v>
      </c>
      <c r="P332" s="14" t="s">
        <v>5482</v>
      </c>
      <c r="Q332" s="14" t="s">
        <v>11</v>
      </c>
      <c r="R332" s="3">
        <v>0</v>
      </c>
      <c r="S332" s="3">
        <f t="shared" si="16"/>
        <v>550</v>
      </c>
      <c r="T332" s="3">
        <f t="shared" si="17"/>
        <v>0</v>
      </c>
      <c r="U332" s="3" t="s">
        <v>60</v>
      </c>
      <c r="V332" s="14" t="s">
        <v>3889</v>
      </c>
      <c r="W332" s="14" t="s">
        <v>5424</v>
      </c>
      <c r="X332" s="14" t="s">
        <v>5483</v>
      </c>
    </row>
    <row r="333" spans="1:24" ht="15" x14ac:dyDescent="0.3">
      <c r="A333" s="3">
        <v>17</v>
      </c>
      <c r="B333" s="3" t="s">
        <v>5484</v>
      </c>
      <c r="C333" s="14" t="s">
        <v>0</v>
      </c>
      <c r="D333" s="14" t="s">
        <v>827</v>
      </c>
      <c r="E333" s="14" t="s">
        <v>5485</v>
      </c>
      <c r="F333" s="14" t="s">
        <v>3312</v>
      </c>
      <c r="G333" s="14" t="s">
        <v>3</v>
      </c>
      <c r="H333" s="14" t="s">
        <v>5486</v>
      </c>
      <c r="I333" s="14" t="s">
        <v>3370</v>
      </c>
      <c r="J333" s="14" t="s">
        <v>60</v>
      </c>
      <c r="K333" s="14" t="s">
        <v>60</v>
      </c>
      <c r="L333" s="14" t="s">
        <v>60</v>
      </c>
      <c r="M333" s="14" t="s">
        <v>3371</v>
      </c>
      <c r="N333" s="14" t="s">
        <v>60</v>
      </c>
      <c r="O333" s="14" t="s">
        <v>60</v>
      </c>
      <c r="P333" s="14" t="s">
        <v>5487</v>
      </c>
      <c r="Q333" s="14" t="s">
        <v>11</v>
      </c>
      <c r="R333" s="3">
        <v>0</v>
      </c>
      <c r="S333" s="3">
        <f t="shared" si="16"/>
        <v>550</v>
      </c>
      <c r="T333" s="3">
        <f t="shared" si="17"/>
        <v>0</v>
      </c>
      <c r="U333" s="3" t="s">
        <v>60</v>
      </c>
      <c r="V333" s="14" t="s">
        <v>4208</v>
      </c>
      <c r="W333" s="14" t="s">
        <v>5424</v>
      </c>
      <c r="X333" s="14"/>
    </row>
    <row r="334" spans="1:24" ht="15" x14ac:dyDescent="0.3">
      <c r="A334" s="3">
        <v>18</v>
      </c>
      <c r="B334" s="3" t="s">
        <v>5488</v>
      </c>
      <c r="C334" s="14" t="s">
        <v>0</v>
      </c>
      <c r="D334" s="14" t="s">
        <v>3313</v>
      </c>
      <c r="E334" s="14" t="s">
        <v>5390</v>
      </c>
      <c r="F334" s="14" t="s">
        <v>1308</v>
      </c>
      <c r="G334" s="14" t="s">
        <v>3</v>
      </c>
      <c r="H334" s="14" t="s">
        <v>5489</v>
      </c>
      <c r="I334" s="14" t="s">
        <v>3372</v>
      </c>
      <c r="J334" s="14" t="s">
        <v>60</v>
      </c>
      <c r="K334" s="14" t="s">
        <v>60</v>
      </c>
      <c r="L334" s="14" t="s">
        <v>60</v>
      </c>
      <c r="M334" s="14" t="s">
        <v>60</v>
      </c>
      <c r="N334" s="14" t="s">
        <v>60</v>
      </c>
      <c r="O334" s="14" t="s">
        <v>60</v>
      </c>
      <c r="P334" s="14" t="s">
        <v>5490</v>
      </c>
      <c r="Q334" s="14" t="s">
        <v>11</v>
      </c>
      <c r="R334" s="3">
        <v>0</v>
      </c>
      <c r="S334" s="3">
        <f t="shared" si="16"/>
        <v>550</v>
      </c>
      <c r="T334" s="3">
        <f t="shared" si="17"/>
        <v>0</v>
      </c>
      <c r="U334" s="3" t="s">
        <v>60</v>
      </c>
      <c r="V334" s="14" t="s">
        <v>4208</v>
      </c>
      <c r="W334" s="14" t="s">
        <v>5424</v>
      </c>
      <c r="X334" s="14"/>
    </row>
    <row r="335" spans="1:24" ht="15" x14ac:dyDescent="0.3">
      <c r="A335" s="3">
        <v>19</v>
      </c>
      <c r="B335" s="3" t="s">
        <v>5491</v>
      </c>
      <c r="C335" s="14" t="s">
        <v>0</v>
      </c>
      <c r="D335" s="14" t="s">
        <v>3314</v>
      </c>
      <c r="E335" s="14" t="s">
        <v>4928</v>
      </c>
      <c r="F335" s="14" t="s">
        <v>3325</v>
      </c>
      <c r="G335" s="14" t="s">
        <v>3</v>
      </c>
      <c r="H335" s="14" t="s">
        <v>5492</v>
      </c>
      <c r="I335" s="14" t="s">
        <v>3373</v>
      </c>
      <c r="J335" s="14" t="s">
        <v>60</v>
      </c>
      <c r="K335" s="14" t="s">
        <v>60</v>
      </c>
      <c r="L335" s="14" t="s">
        <v>60</v>
      </c>
      <c r="M335" s="14" t="s">
        <v>3374</v>
      </c>
      <c r="N335" s="14" t="s">
        <v>60</v>
      </c>
      <c r="O335" s="14" t="s">
        <v>60</v>
      </c>
      <c r="P335" s="14" t="s">
        <v>5493</v>
      </c>
      <c r="Q335" s="14" t="s">
        <v>11</v>
      </c>
      <c r="R335" s="3">
        <v>0</v>
      </c>
      <c r="S335" s="3">
        <f t="shared" si="16"/>
        <v>550</v>
      </c>
      <c r="T335" s="3">
        <f t="shared" si="17"/>
        <v>0</v>
      </c>
      <c r="U335" s="3" t="s">
        <v>60</v>
      </c>
      <c r="V335" s="14" t="s">
        <v>4208</v>
      </c>
      <c r="W335" s="14" t="s">
        <v>5424</v>
      </c>
      <c r="X335" s="14"/>
    </row>
    <row r="336" spans="1:24" ht="15" x14ac:dyDescent="0.3">
      <c r="A336" s="3">
        <v>20</v>
      </c>
      <c r="B336" s="3" t="s">
        <v>5494</v>
      </c>
      <c r="C336" s="14" t="s">
        <v>0</v>
      </c>
      <c r="D336" s="14" t="s">
        <v>3315</v>
      </c>
      <c r="E336" s="14" t="s">
        <v>5495</v>
      </c>
      <c r="F336" s="14" t="s">
        <v>3326</v>
      </c>
      <c r="G336" s="14" t="s">
        <v>3</v>
      </c>
      <c r="H336" s="14" t="s">
        <v>5496</v>
      </c>
      <c r="I336" s="14" t="s">
        <v>3375</v>
      </c>
      <c r="J336" s="14" t="s">
        <v>60</v>
      </c>
      <c r="K336" s="14" t="s">
        <v>60</v>
      </c>
      <c r="L336" s="14" t="s">
        <v>60</v>
      </c>
      <c r="M336" s="14" t="s">
        <v>3376</v>
      </c>
      <c r="N336" s="14" t="s">
        <v>60</v>
      </c>
      <c r="O336" s="14" t="s">
        <v>60</v>
      </c>
      <c r="P336" s="14" t="s">
        <v>5497</v>
      </c>
      <c r="Q336" s="14" t="s">
        <v>180</v>
      </c>
      <c r="R336" s="3">
        <v>0</v>
      </c>
      <c r="S336" s="3">
        <f t="shared" si="16"/>
        <v>550</v>
      </c>
      <c r="T336" s="3">
        <f t="shared" si="17"/>
        <v>0</v>
      </c>
      <c r="U336" s="3" t="s">
        <v>5498</v>
      </c>
      <c r="V336" s="14" t="s">
        <v>4208</v>
      </c>
      <c r="W336" s="14" t="s">
        <v>5424</v>
      </c>
      <c r="X336" s="14"/>
    </row>
    <row r="337" spans="1:24" ht="15" x14ac:dyDescent="0.3">
      <c r="A337" s="3">
        <v>21</v>
      </c>
      <c r="B337" s="3" t="s">
        <v>5499</v>
      </c>
      <c r="C337" s="14" t="s">
        <v>0</v>
      </c>
      <c r="D337" s="14" t="s">
        <v>3317</v>
      </c>
      <c r="E337" s="14" t="s">
        <v>5500</v>
      </c>
      <c r="F337" s="14" t="s">
        <v>3328</v>
      </c>
      <c r="G337" s="14" t="s">
        <v>3</v>
      </c>
      <c r="H337" s="14" t="s">
        <v>5501</v>
      </c>
      <c r="I337" s="14" t="s">
        <v>3379</v>
      </c>
      <c r="J337" s="14" t="s">
        <v>60</v>
      </c>
      <c r="K337" s="14" t="s">
        <v>60</v>
      </c>
      <c r="L337" s="14" t="s">
        <v>60</v>
      </c>
      <c r="M337" s="14" t="s">
        <v>3380</v>
      </c>
      <c r="N337" s="14" t="s">
        <v>60</v>
      </c>
      <c r="O337" s="14" t="s">
        <v>60</v>
      </c>
      <c r="P337" s="14" t="s">
        <v>5502</v>
      </c>
      <c r="Q337" s="14" t="s">
        <v>11</v>
      </c>
      <c r="R337" s="3">
        <v>0</v>
      </c>
      <c r="S337" s="3">
        <f t="shared" si="16"/>
        <v>550</v>
      </c>
      <c r="T337" s="3">
        <f t="shared" si="17"/>
        <v>0</v>
      </c>
      <c r="U337" s="3" t="s">
        <v>60</v>
      </c>
      <c r="V337" s="14" t="s">
        <v>4208</v>
      </c>
      <c r="W337" s="14" t="s">
        <v>5503</v>
      </c>
      <c r="X337" s="14"/>
    </row>
    <row r="338" spans="1:24" ht="15" x14ac:dyDescent="0.3">
      <c r="A338" s="3">
        <v>22</v>
      </c>
      <c r="B338" s="3" t="s">
        <v>5504</v>
      </c>
      <c r="C338" s="14" t="s">
        <v>0</v>
      </c>
      <c r="D338" s="14" t="s">
        <v>3324</v>
      </c>
      <c r="E338" s="14" t="s">
        <v>5008</v>
      </c>
      <c r="F338" s="14" t="s">
        <v>3329</v>
      </c>
      <c r="G338" s="14" t="s">
        <v>3</v>
      </c>
      <c r="H338" s="14" t="s">
        <v>5505</v>
      </c>
      <c r="I338" s="14" t="s">
        <v>3381</v>
      </c>
      <c r="J338" s="14" t="s">
        <v>60</v>
      </c>
      <c r="K338" s="14" t="s">
        <v>60</v>
      </c>
      <c r="L338" s="14" t="s">
        <v>60</v>
      </c>
      <c r="M338" s="14" t="s">
        <v>3382</v>
      </c>
      <c r="N338" s="14" t="s">
        <v>60</v>
      </c>
      <c r="O338" s="14" t="s">
        <v>60</v>
      </c>
      <c r="P338" s="14" t="s">
        <v>5506</v>
      </c>
      <c r="Q338" s="14" t="s">
        <v>11</v>
      </c>
      <c r="R338" s="3">
        <v>0</v>
      </c>
      <c r="S338" s="3">
        <f t="shared" si="16"/>
        <v>550</v>
      </c>
      <c r="T338" s="3">
        <f t="shared" si="17"/>
        <v>0</v>
      </c>
      <c r="U338" s="3" t="s">
        <v>60</v>
      </c>
      <c r="V338" s="14" t="s">
        <v>4208</v>
      </c>
      <c r="W338" s="14" t="s">
        <v>5503</v>
      </c>
      <c r="X338" s="14"/>
    </row>
    <row r="339" spans="1:24" ht="15" x14ac:dyDescent="0.3">
      <c r="A339" s="3">
        <v>23</v>
      </c>
      <c r="B339" s="3" t="s">
        <v>5507</v>
      </c>
      <c r="C339" s="14" t="s">
        <v>0</v>
      </c>
      <c r="D339" s="14" t="s">
        <v>3318</v>
      </c>
      <c r="E339" s="14" t="s">
        <v>5508</v>
      </c>
      <c r="F339" s="14" t="s">
        <v>3338</v>
      </c>
      <c r="G339" s="14" t="s">
        <v>3</v>
      </c>
      <c r="H339" s="14" t="s">
        <v>5509</v>
      </c>
      <c r="I339" s="14" t="s">
        <v>3383</v>
      </c>
      <c r="J339" s="14" t="s">
        <v>60</v>
      </c>
      <c r="K339" s="14" t="s">
        <v>60</v>
      </c>
      <c r="L339" s="14" t="s">
        <v>60</v>
      </c>
      <c r="M339" s="14" t="s">
        <v>3384</v>
      </c>
      <c r="N339" s="14" t="s">
        <v>60</v>
      </c>
      <c r="O339" s="14" t="s">
        <v>60</v>
      </c>
      <c r="P339" s="14" t="s">
        <v>5510</v>
      </c>
      <c r="Q339" s="14" t="s">
        <v>11</v>
      </c>
      <c r="R339" s="3">
        <v>0</v>
      </c>
      <c r="S339" s="3">
        <f t="shared" si="16"/>
        <v>550</v>
      </c>
      <c r="T339" s="3">
        <f t="shared" si="17"/>
        <v>0</v>
      </c>
      <c r="U339" s="3" t="s">
        <v>60</v>
      </c>
      <c r="V339" s="14" t="s">
        <v>4208</v>
      </c>
      <c r="W339" s="14" t="s">
        <v>5503</v>
      </c>
      <c r="X339" s="14"/>
    </row>
    <row r="340" spans="1:24" ht="15" x14ac:dyDescent="0.3">
      <c r="A340" s="3">
        <v>24</v>
      </c>
      <c r="B340" s="3" t="s">
        <v>5511</v>
      </c>
      <c r="C340" s="14" t="s">
        <v>0</v>
      </c>
      <c r="D340" s="14" t="s">
        <v>3319</v>
      </c>
      <c r="E340" s="14" t="s">
        <v>5435</v>
      </c>
      <c r="F340" s="14" t="s">
        <v>3339</v>
      </c>
      <c r="G340" s="14" t="s">
        <v>3</v>
      </c>
      <c r="H340" s="14" t="s">
        <v>5512</v>
      </c>
      <c r="I340" s="14" t="s">
        <v>3385</v>
      </c>
      <c r="J340" s="14" t="s">
        <v>60</v>
      </c>
      <c r="K340" s="14" t="s">
        <v>60</v>
      </c>
      <c r="L340" s="14" t="s">
        <v>60</v>
      </c>
      <c r="M340" s="14" t="s">
        <v>3386</v>
      </c>
      <c r="N340" s="14" t="s">
        <v>60</v>
      </c>
      <c r="O340" s="14" t="s">
        <v>60</v>
      </c>
      <c r="P340" s="14" t="s">
        <v>5513</v>
      </c>
      <c r="Q340" s="14" t="s">
        <v>11</v>
      </c>
      <c r="R340" s="3">
        <v>0</v>
      </c>
      <c r="S340" s="3">
        <f t="shared" si="16"/>
        <v>550</v>
      </c>
      <c r="T340" s="3">
        <f t="shared" si="17"/>
        <v>0</v>
      </c>
      <c r="U340" s="3" t="s">
        <v>60</v>
      </c>
      <c r="V340" s="14" t="s">
        <v>4208</v>
      </c>
      <c r="W340" s="14" t="s">
        <v>5514</v>
      </c>
      <c r="X340" s="14"/>
    </row>
    <row r="341" spans="1:24" ht="15" x14ac:dyDescent="0.3">
      <c r="A341" s="3">
        <v>25</v>
      </c>
      <c r="B341" s="3" t="s">
        <v>5515</v>
      </c>
      <c r="C341" s="14" t="s">
        <v>0</v>
      </c>
      <c r="D341" s="14" t="s">
        <v>3320</v>
      </c>
      <c r="E341" s="14" t="s">
        <v>4200</v>
      </c>
      <c r="F341" s="14" t="s">
        <v>3330</v>
      </c>
      <c r="G341" s="14" t="s">
        <v>3</v>
      </c>
      <c r="H341" s="14" t="s">
        <v>5516</v>
      </c>
      <c r="I341" s="14" t="s">
        <v>3387</v>
      </c>
      <c r="J341" s="14" t="s">
        <v>60</v>
      </c>
      <c r="K341" s="14" t="s">
        <v>60</v>
      </c>
      <c r="L341" s="14" t="s">
        <v>60</v>
      </c>
      <c r="M341" s="14" t="s">
        <v>3388</v>
      </c>
      <c r="N341" s="14" t="s">
        <v>60</v>
      </c>
      <c r="O341" s="14" t="s">
        <v>60</v>
      </c>
      <c r="P341" s="14" t="s">
        <v>5517</v>
      </c>
      <c r="Q341" s="14" t="s">
        <v>11</v>
      </c>
      <c r="R341" s="3">
        <v>0</v>
      </c>
      <c r="S341" s="3">
        <f t="shared" si="16"/>
        <v>550</v>
      </c>
      <c r="T341" s="3">
        <f t="shared" si="17"/>
        <v>0</v>
      </c>
      <c r="U341" s="3" t="s">
        <v>60</v>
      </c>
      <c r="V341" s="14" t="s">
        <v>4208</v>
      </c>
      <c r="W341" s="14" t="s">
        <v>5514</v>
      </c>
      <c r="X341" s="14"/>
    </row>
    <row r="342" spans="1:24" ht="15" x14ac:dyDescent="0.3">
      <c r="A342" s="3">
        <v>26</v>
      </c>
      <c r="B342" s="3" t="s">
        <v>5518</v>
      </c>
      <c r="C342" s="14" t="s">
        <v>0</v>
      </c>
      <c r="D342" s="14" t="s">
        <v>3340</v>
      </c>
      <c r="E342" s="14" t="s">
        <v>4293</v>
      </c>
      <c r="F342" s="14" t="s">
        <v>3341</v>
      </c>
      <c r="G342" s="14" t="s">
        <v>3</v>
      </c>
      <c r="H342" s="14" t="s">
        <v>5519</v>
      </c>
      <c r="I342" s="14" t="s">
        <v>3389</v>
      </c>
      <c r="J342" s="14" t="s">
        <v>60</v>
      </c>
      <c r="K342" s="14" t="s">
        <v>60</v>
      </c>
      <c r="L342" s="14" t="s">
        <v>60</v>
      </c>
      <c r="M342" s="14" t="s">
        <v>3390</v>
      </c>
      <c r="N342" s="14" t="s">
        <v>60</v>
      </c>
      <c r="O342" s="14" t="s">
        <v>60</v>
      </c>
      <c r="P342" s="14" t="s">
        <v>5520</v>
      </c>
      <c r="Q342" s="14" t="s">
        <v>11</v>
      </c>
      <c r="R342" s="3">
        <v>0</v>
      </c>
      <c r="S342" s="3">
        <f t="shared" si="16"/>
        <v>550</v>
      </c>
      <c r="T342" s="3">
        <f t="shared" si="17"/>
        <v>0</v>
      </c>
      <c r="U342" s="3" t="s">
        <v>60</v>
      </c>
      <c r="V342" s="14" t="s">
        <v>4208</v>
      </c>
      <c r="W342" s="14" t="s">
        <v>5514</v>
      </c>
      <c r="X342" s="14"/>
    </row>
    <row r="343" spans="1:24" ht="15" x14ac:dyDescent="0.3">
      <c r="A343" s="3">
        <v>27</v>
      </c>
      <c r="B343" s="3" t="s">
        <v>5521</v>
      </c>
      <c r="C343" s="14" t="s">
        <v>0</v>
      </c>
      <c r="D343" s="14" t="s">
        <v>3321</v>
      </c>
      <c r="E343" s="14" t="s">
        <v>4216</v>
      </c>
      <c r="F343" s="14" t="s">
        <v>3331</v>
      </c>
      <c r="G343" s="14" t="s">
        <v>3</v>
      </c>
      <c r="H343" s="14" t="s">
        <v>5522</v>
      </c>
      <c r="I343" s="14" t="s">
        <v>3391</v>
      </c>
      <c r="J343" s="14" t="s">
        <v>60</v>
      </c>
      <c r="K343" s="14" t="s">
        <v>60</v>
      </c>
      <c r="L343" s="14" t="s">
        <v>60</v>
      </c>
      <c r="M343" s="14" t="s">
        <v>3392</v>
      </c>
      <c r="N343" s="14" t="s">
        <v>60</v>
      </c>
      <c r="O343" s="14" t="s">
        <v>60</v>
      </c>
      <c r="P343" s="14" t="s">
        <v>5523</v>
      </c>
      <c r="Q343" s="14" t="s">
        <v>11</v>
      </c>
      <c r="R343" s="3">
        <v>0</v>
      </c>
      <c r="S343" s="3">
        <f t="shared" si="16"/>
        <v>550</v>
      </c>
      <c r="T343" s="3">
        <f t="shared" si="17"/>
        <v>0</v>
      </c>
      <c r="U343" s="3" t="s">
        <v>60</v>
      </c>
      <c r="V343" s="14" t="s">
        <v>4208</v>
      </c>
      <c r="W343" s="14" t="s">
        <v>5514</v>
      </c>
      <c r="X343" s="14"/>
    </row>
    <row r="344" spans="1:24" ht="15" x14ac:dyDescent="0.3">
      <c r="A344" s="3">
        <v>28</v>
      </c>
      <c r="B344" s="3" t="s">
        <v>5524</v>
      </c>
      <c r="C344" s="14" t="s">
        <v>0</v>
      </c>
      <c r="D344" s="14" t="s">
        <v>669</v>
      </c>
      <c r="E344" s="14" t="s">
        <v>5525</v>
      </c>
      <c r="F344" s="14" t="s">
        <v>670</v>
      </c>
      <c r="G344" s="14" t="s">
        <v>3</v>
      </c>
      <c r="H344" s="14" t="s">
        <v>5526</v>
      </c>
      <c r="I344" s="14" t="s">
        <v>5527</v>
      </c>
      <c r="J344" s="14" t="s">
        <v>60</v>
      </c>
      <c r="K344" s="14" t="s">
        <v>60</v>
      </c>
      <c r="L344" s="14" t="s">
        <v>60</v>
      </c>
      <c r="M344" s="14" t="s">
        <v>671</v>
      </c>
      <c r="N344" s="14" t="s">
        <v>60</v>
      </c>
      <c r="O344" s="14" t="s">
        <v>59</v>
      </c>
      <c r="P344" s="14" t="s">
        <v>5528</v>
      </c>
      <c r="Q344" s="14" t="s">
        <v>11</v>
      </c>
      <c r="R344" s="3">
        <v>0</v>
      </c>
      <c r="S344" s="3">
        <f t="shared" si="16"/>
        <v>550</v>
      </c>
      <c r="T344" s="3">
        <f t="shared" si="17"/>
        <v>0</v>
      </c>
      <c r="U344" s="3" t="s">
        <v>60</v>
      </c>
      <c r="V344" s="14" t="s">
        <v>6</v>
      </c>
      <c r="W344" s="14" t="s">
        <v>4287</v>
      </c>
      <c r="X344" s="14"/>
    </row>
    <row r="345" spans="1:24" ht="15" x14ac:dyDescent="0.3">
      <c r="A345" s="3">
        <v>29</v>
      </c>
      <c r="B345" s="3" t="s">
        <v>5529</v>
      </c>
      <c r="C345" s="14" t="s">
        <v>0</v>
      </c>
      <c r="D345" s="14" t="s">
        <v>3459</v>
      </c>
      <c r="E345" s="14" t="s">
        <v>5530</v>
      </c>
      <c r="F345" s="14" t="s">
        <v>3468</v>
      </c>
      <c r="G345" s="14" t="s">
        <v>3</v>
      </c>
      <c r="H345" s="14" t="s">
        <v>5531</v>
      </c>
      <c r="I345" s="14" t="s">
        <v>3669</v>
      </c>
      <c r="J345" s="14" t="s">
        <v>60</v>
      </c>
      <c r="K345" s="14" t="s">
        <v>60</v>
      </c>
      <c r="L345" s="14" t="s">
        <v>60</v>
      </c>
      <c r="M345" s="14" t="s">
        <v>3670</v>
      </c>
      <c r="N345" s="14" t="s">
        <v>60</v>
      </c>
      <c r="O345" s="14" t="s">
        <v>60</v>
      </c>
      <c r="P345" s="14" t="s">
        <v>5532</v>
      </c>
      <c r="Q345" s="14" t="s">
        <v>11</v>
      </c>
      <c r="R345" s="3">
        <v>0</v>
      </c>
      <c r="S345" s="3">
        <f t="shared" si="16"/>
        <v>550</v>
      </c>
      <c r="T345" s="3">
        <f t="shared" si="17"/>
        <v>0</v>
      </c>
      <c r="U345" s="3" t="s">
        <v>60</v>
      </c>
      <c r="V345" s="14" t="s">
        <v>6</v>
      </c>
      <c r="W345" s="14" t="s">
        <v>4458</v>
      </c>
      <c r="X345" s="14"/>
    </row>
    <row r="346" spans="1:24" ht="15" x14ac:dyDescent="0.3">
      <c r="A346" s="3">
        <v>30</v>
      </c>
      <c r="B346" s="3" t="s">
        <v>5533</v>
      </c>
      <c r="C346" s="14" t="s">
        <v>0</v>
      </c>
      <c r="D346" s="14" t="s">
        <v>3460</v>
      </c>
      <c r="E346" s="14" t="s">
        <v>5534</v>
      </c>
      <c r="F346" s="14" t="s">
        <v>3469</v>
      </c>
      <c r="G346" s="14" t="s">
        <v>3</v>
      </c>
      <c r="H346" s="14" t="s">
        <v>3671</v>
      </c>
      <c r="I346" s="14" t="s">
        <v>3672</v>
      </c>
      <c r="J346" s="14" t="s">
        <v>60</v>
      </c>
      <c r="K346" s="14" t="s">
        <v>60</v>
      </c>
      <c r="L346" s="14" t="s">
        <v>60</v>
      </c>
      <c r="M346" s="14" t="s">
        <v>3673</v>
      </c>
      <c r="N346" s="14" t="s">
        <v>60</v>
      </c>
      <c r="O346" s="14" t="s">
        <v>60</v>
      </c>
      <c r="P346" s="14" t="s">
        <v>5535</v>
      </c>
      <c r="Q346" s="14" t="s">
        <v>11</v>
      </c>
      <c r="R346" s="3">
        <v>0</v>
      </c>
      <c r="S346" s="3">
        <f t="shared" si="16"/>
        <v>550</v>
      </c>
      <c r="T346" s="3">
        <f t="shared" si="17"/>
        <v>0</v>
      </c>
      <c r="U346" s="3" t="s">
        <v>60</v>
      </c>
      <c r="V346" s="14" t="s">
        <v>6</v>
      </c>
      <c r="W346" s="14" t="s">
        <v>4458</v>
      </c>
      <c r="X346" s="14" t="s">
        <v>5536</v>
      </c>
    </row>
    <row r="347" spans="1:24" ht="15" x14ac:dyDescent="0.3">
      <c r="A347" s="3">
        <v>31</v>
      </c>
      <c r="B347" s="3" t="s">
        <v>5537</v>
      </c>
      <c r="C347" s="14" t="s">
        <v>0</v>
      </c>
      <c r="D347" s="14" t="s">
        <v>3461</v>
      </c>
      <c r="E347" s="14" t="s">
        <v>5538</v>
      </c>
      <c r="F347" s="14" t="s">
        <v>3470</v>
      </c>
      <c r="G347" s="14" t="s">
        <v>3</v>
      </c>
      <c r="H347" s="14" t="s">
        <v>3674</v>
      </c>
      <c r="I347" s="14" t="s">
        <v>3675</v>
      </c>
      <c r="J347" s="14" t="s">
        <v>60</v>
      </c>
      <c r="K347" s="14" t="s">
        <v>60</v>
      </c>
      <c r="L347" s="14" t="s">
        <v>60</v>
      </c>
      <c r="M347" s="14" t="s">
        <v>3676</v>
      </c>
      <c r="N347" s="14" t="s">
        <v>60</v>
      </c>
      <c r="O347" s="14" t="s">
        <v>60</v>
      </c>
      <c r="P347" s="14" t="s">
        <v>5539</v>
      </c>
      <c r="Q347" s="14" t="s">
        <v>11</v>
      </c>
      <c r="R347" s="3">
        <v>0</v>
      </c>
      <c r="S347" s="3">
        <f t="shared" si="16"/>
        <v>550</v>
      </c>
      <c r="T347" s="3">
        <f t="shared" si="17"/>
        <v>0</v>
      </c>
      <c r="U347" s="3" t="s">
        <v>60</v>
      </c>
      <c r="V347" s="14" t="s">
        <v>6</v>
      </c>
      <c r="W347" s="14" t="s">
        <v>4458</v>
      </c>
      <c r="X347" s="14" t="s">
        <v>5536</v>
      </c>
    </row>
    <row r="348" spans="1:24" ht="15" x14ac:dyDescent="0.3">
      <c r="A348" s="3">
        <v>32</v>
      </c>
      <c r="B348" s="3" t="s">
        <v>5540</v>
      </c>
      <c r="C348" s="14" t="s">
        <v>0</v>
      </c>
      <c r="D348" s="14" t="s">
        <v>419</v>
      </c>
      <c r="E348" s="14" t="s">
        <v>4430</v>
      </c>
      <c r="F348" s="14" t="s">
        <v>420</v>
      </c>
      <c r="G348" s="14" t="s">
        <v>3</v>
      </c>
      <c r="H348" s="14" t="s">
        <v>5541</v>
      </c>
      <c r="I348" s="14" t="s">
        <v>421</v>
      </c>
      <c r="J348" s="14" t="s">
        <v>60</v>
      </c>
      <c r="K348" s="14" t="s">
        <v>60</v>
      </c>
      <c r="L348" s="14" t="s">
        <v>60</v>
      </c>
      <c r="M348" s="14" t="s">
        <v>422</v>
      </c>
      <c r="N348" s="14" t="s">
        <v>60</v>
      </c>
      <c r="O348" s="14" t="s">
        <v>60</v>
      </c>
      <c r="P348" s="14" t="s">
        <v>5542</v>
      </c>
      <c r="Q348" s="14" t="s">
        <v>11</v>
      </c>
      <c r="R348" s="3">
        <v>0</v>
      </c>
      <c r="S348" s="3">
        <f t="shared" si="16"/>
        <v>550</v>
      </c>
      <c r="T348" s="3">
        <f t="shared" si="17"/>
        <v>0</v>
      </c>
      <c r="U348" s="3" t="s">
        <v>60</v>
      </c>
      <c r="V348" s="14" t="s">
        <v>6</v>
      </c>
      <c r="W348" s="14" t="s">
        <v>4458</v>
      </c>
      <c r="X348" s="14" t="s">
        <v>60</v>
      </c>
    </row>
    <row r="349" spans="1:24" ht="15" x14ac:dyDescent="0.3">
      <c r="A349" s="3">
        <v>33</v>
      </c>
      <c r="B349" s="3" t="s">
        <v>5543</v>
      </c>
      <c r="C349" s="14" t="s">
        <v>0</v>
      </c>
      <c r="D349" s="14" t="s">
        <v>3462</v>
      </c>
      <c r="E349" s="14" t="s">
        <v>5544</v>
      </c>
      <c r="F349" s="14" t="s">
        <v>3471</v>
      </c>
      <c r="G349" s="14" t="s">
        <v>3</v>
      </c>
      <c r="H349" s="14" t="s">
        <v>5545</v>
      </c>
      <c r="I349" s="14" t="s">
        <v>3677</v>
      </c>
      <c r="J349" s="14" t="s">
        <v>60</v>
      </c>
      <c r="K349" s="14" t="s">
        <v>60</v>
      </c>
      <c r="L349" s="14" t="s">
        <v>60</v>
      </c>
      <c r="M349" s="14" t="s">
        <v>3678</v>
      </c>
      <c r="N349" s="14" t="s">
        <v>60</v>
      </c>
      <c r="O349" s="14" t="s">
        <v>60</v>
      </c>
      <c r="P349" s="14" t="s">
        <v>5546</v>
      </c>
      <c r="Q349" s="14" t="s">
        <v>11</v>
      </c>
      <c r="R349" s="3">
        <v>0</v>
      </c>
      <c r="S349" s="3">
        <f t="shared" si="16"/>
        <v>550</v>
      </c>
      <c r="T349" s="3">
        <f t="shared" si="17"/>
        <v>0</v>
      </c>
      <c r="U349" s="3" t="s">
        <v>60</v>
      </c>
      <c r="V349" s="14" t="s">
        <v>6</v>
      </c>
      <c r="W349" s="14" t="s">
        <v>4458</v>
      </c>
      <c r="X349" s="14" t="s">
        <v>60</v>
      </c>
    </row>
    <row r="350" spans="1:24" ht="15" x14ac:dyDescent="0.3">
      <c r="A350" s="3">
        <v>34</v>
      </c>
      <c r="B350" s="3" t="s">
        <v>5547</v>
      </c>
      <c r="C350" s="14" t="s">
        <v>0</v>
      </c>
      <c r="D350" s="14" t="s">
        <v>3463</v>
      </c>
      <c r="E350" s="14" t="s">
        <v>4319</v>
      </c>
      <c r="F350" s="14" t="s">
        <v>3472</v>
      </c>
      <c r="G350" s="14" t="s">
        <v>3</v>
      </c>
      <c r="H350" s="14" t="s">
        <v>3679</v>
      </c>
      <c r="I350" s="14" t="s">
        <v>3680</v>
      </c>
      <c r="J350" s="14" t="s">
        <v>60</v>
      </c>
      <c r="K350" s="14" t="s">
        <v>60</v>
      </c>
      <c r="L350" s="14" t="s">
        <v>60</v>
      </c>
      <c r="M350" s="14" t="s">
        <v>3681</v>
      </c>
      <c r="N350" s="14" t="s">
        <v>60</v>
      </c>
      <c r="O350" s="14" t="s">
        <v>60</v>
      </c>
      <c r="P350" s="14" t="s">
        <v>5548</v>
      </c>
      <c r="Q350" s="14" t="s">
        <v>11</v>
      </c>
      <c r="R350" s="3">
        <v>0</v>
      </c>
      <c r="S350" s="3">
        <f t="shared" si="16"/>
        <v>550</v>
      </c>
      <c r="T350" s="3">
        <f t="shared" si="17"/>
        <v>0</v>
      </c>
      <c r="U350" s="3" t="s">
        <v>60</v>
      </c>
      <c r="V350" s="14" t="s">
        <v>6</v>
      </c>
      <c r="W350" s="14" t="s">
        <v>4458</v>
      </c>
      <c r="X350" s="14" t="s">
        <v>5536</v>
      </c>
    </row>
    <row r="351" spans="1:24" ht="15" x14ac:dyDescent="0.3">
      <c r="A351" s="3">
        <v>35</v>
      </c>
      <c r="B351" s="3" t="s">
        <v>5549</v>
      </c>
      <c r="C351" s="14" t="s">
        <v>0</v>
      </c>
      <c r="D351" s="14" t="s">
        <v>3464</v>
      </c>
      <c r="E351" s="14" t="s">
        <v>5550</v>
      </c>
      <c r="F351" s="14" t="s">
        <v>3473</v>
      </c>
      <c r="G351" s="14" t="s">
        <v>3</v>
      </c>
      <c r="H351" s="14" t="s">
        <v>3682</v>
      </c>
      <c r="I351" s="14" t="s">
        <v>3683</v>
      </c>
      <c r="J351" s="14" t="s">
        <v>60</v>
      </c>
      <c r="K351" s="14" t="s">
        <v>60</v>
      </c>
      <c r="L351" s="14" t="s">
        <v>60</v>
      </c>
      <c r="M351" s="14" t="s">
        <v>3684</v>
      </c>
      <c r="N351" s="14" t="s">
        <v>60</v>
      </c>
      <c r="O351" s="14" t="s">
        <v>60</v>
      </c>
      <c r="P351" s="14" t="s">
        <v>5551</v>
      </c>
      <c r="Q351" s="14" t="s">
        <v>11</v>
      </c>
      <c r="R351" s="3">
        <v>0</v>
      </c>
      <c r="S351" s="3">
        <f t="shared" si="16"/>
        <v>550</v>
      </c>
      <c r="T351" s="3">
        <f t="shared" si="17"/>
        <v>0</v>
      </c>
      <c r="U351" s="3" t="s">
        <v>60</v>
      </c>
      <c r="V351" s="14" t="s">
        <v>6</v>
      </c>
      <c r="W351" s="14" t="s">
        <v>4458</v>
      </c>
      <c r="X351" s="14" t="s">
        <v>5536</v>
      </c>
    </row>
    <row r="352" spans="1:24" ht="15" x14ac:dyDescent="0.3">
      <c r="A352" s="3">
        <v>36</v>
      </c>
      <c r="B352" s="3" t="s">
        <v>5552</v>
      </c>
      <c r="C352" s="14" t="s">
        <v>0</v>
      </c>
      <c r="D352" s="14" t="s">
        <v>3465</v>
      </c>
      <c r="E352" s="14" t="s">
        <v>5553</v>
      </c>
      <c r="F352" s="14" t="s">
        <v>3474</v>
      </c>
      <c r="G352" s="14" t="s">
        <v>3</v>
      </c>
      <c r="H352" s="14" t="s">
        <v>5554</v>
      </c>
      <c r="I352" s="14" t="s">
        <v>3685</v>
      </c>
      <c r="J352" s="14" t="s">
        <v>60</v>
      </c>
      <c r="K352" s="14" t="s">
        <v>60</v>
      </c>
      <c r="L352" s="14" t="s">
        <v>60</v>
      </c>
      <c r="M352" s="14" t="s">
        <v>3686</v>
      </c>
      <c r="N352" s="14" t="s">
        <v>60</v>
      </c>
      <c r="O352" s="14" t="s">
        <v>60</v>
      </c>
      <c r="P352" s="14" t="s">
        <v>5555</v>
      </c>
      <c r="Q352" s="14" t="s">
        <v>11</v>
      </c>
      <c r="R352" s="3">
        <v>0</v>
      </c>
      <c r="S352" s="3">
        <f t="shared" si="16"/>
        <v>550</v>
      </c>
      <c r="T352" s="3">
        <f t="shared" si="17"/>
        <v>0</v>
      </c>
      <c r="U352" s="3" t="s">
        <v>60</v>
      </c>
      <c r="V352" s="14" t="s">
        <v>6</v>
      </c>
      <c r="W352" s="14" t="s">
        <v>4500</v>
      </c>
      <c r="X352" s="14" t="s">
        <v>60</v>
      </c>
    </row>
    <row r="353" spans="1:24" ht="15" x14ac:dyDescent="0.3">
      <c r="A353" s="3">
        <v>37</v>
      </c>
      <c r="B353" s="3" t="s">
        <v>5556</v>
      </c>
      <c r="C353" s="14" t="s">
        <v>0</v>
      </c>
      <c r="D353" s="14" t="s">
        <v>3466</v>
      </c>
      <c r="E353" s="14" t="s">
        <v>5557</v>
      </c>
      <c r="F353" s="14" t="s">
        <v>3475</v>
      </c>
      <c r="G353" s="14" t="s">
        <v>3</v>
      </c>
      <c r="H353" s="14" t="s">
        <v>5558</v>
      </c>
      <c r="I353" s="14" t="s">
        <v>3687</v>
      </c>
      <c r="J353" s="14" t="s">
        <v>60</v>
      </c>
      <c r="K353" s="14" t="s">
        <v>60</v>
      </c>
      <c r="L353" s="14" t="s">
        <v>60</v>
      </c>
      <c r="M353" s="14" t="s">
        <v>3688</v>
      </c>
      <c r="N353" s="14" t="s">
        <v>60</v>
      </c>
      <c r="O353" s="14" t="s">
        <v>60</v>
      </c>
      <c r="P353" s="14" t="s">
        <v>5559</v>
      </c>
      <c r="Q353" s="14" t="s">
        <v>11</v>
      </c>
      <c r="R353" s="3">
        <v>0</v>
      </c>
      <c r="S353" s="3">
        <f t="shared" si="16"/>
        <v>550</v>
      </c>
      <c r="T353" s="3">
        <f t="shared" si="17"/>
        <v>0</v>
      </c>
      <c r="U353" s="3" t="s">
        <v>60</v>
      </c>
      <c r="V353" s="14" t="s">
        <v>6</v>
      </c>
      <c r="W353" s="14" t="s">
        <v>4500</v>
      </c>
      <c r="X353" s="14" t="s">
        <v>60</v>
      </c>
    </row>
    <row r="354" spans="1:24" ht="15" x14ac:dyDescent="0.3">
      <c r="A354" s="3">
        <v>38</v>
      </c>
      <c r="B354" s="3" t="s">
        <v>5560</v>
      </c>
      <c r="C354" s="14" t="s">
        <v>0</v>
      </c>
      <c r="D354" s="14" t="s">
        <v>3477</v>
      </c>
      <c r="E354" s="14" t="s">
        <v>5561</v>
      </c>
      <c r="F354" s="14" t="s">
        <v>3492</v>
      </c>
      <c r="G354" s="14" t="s">
        <v>3</v>
      </c>
      <c r="H354" s="14" t="s">
        <v>3691</v>
      </c>
      <c r="I354" s="14" t="s">
        <v>3692</v>
      </c>
      <c r="J354" s="14" t="s">
        <v>60</v>
      </c>
      <c r="K354" s="14" t="s">
        <v>60</v>
      </c>
      <c r="L354" s="14" t="s">
        <v>60</v>
      </c>
      <c r="M354" s="14" t="s">
        <v>3693</v>
      </c>
      <c r="N354" s="14" t="s">
        <v>60</v>
      </c>
      <c r="O354" s="14" t="s">
        <v>60</v>
      </c>
      <c r="P354" s="14" t="s">
        <v>5562</v>
      </c>
      <c r="Q354" s="14" t="s">
        <v>11</v>
      </c>
      <c r="R354" s="3">
        <v>0</v>
      </c>
      <c r="S354" s="3">
        <f t="shared" si="16"/>
        <v>550</v>
      </c>
      <c r="T354" s="3">
        <f t="shared" si="17"/>
        <v>0</v>
      </c>
      <c r="U354" s="3" t="s">
        <v>60</v>
      </c>
      <c r="V354" s="14" t="s">
        <v>6</v>
      </c>
      <c r="W354" s="14" t="s">
        <v>4500</v>
      </c>
      <c r="X354" s="14" t="s">
        <v>5536</v>
      </c>
    </row>
    <row r="355" spans="1:24" ht="15" x14ac:dyDescent="0.3">
      <c r="A355" s="3">
        <v>39</v>
      </c>
      <c r="B355" s="3" t="s">
        <v>5564</v>
      </c>
      <c r="C355" s="14" t="s">
        <v>0</v>
      </c>
      <c r="D355" s="14" t="s">
        <v>3478</v>
      </c>
      <c r="E355" s="14" t="s">
        <v>5565</v>
      </c>
      <c r="F355" s="14" t="s">
        <v>3493</v>
      </c>
      <c r="G355" s="14" t="s">
        <v>3</v>
      </c>
      <c r="H355" s="14" t="s">
        <v>5566</v>
      </c>
      <c r="I355" s="14" t="s">
        <v>3694</v>
      </c>
      <c r="J355" s="14" t="s">
        <v>60</v>
      </c>
      <c r="K355" s="14" t="s">
        <v>60</v>
      </c>
      <c r="L355" s="14" t="s">
        <v>60</v>
      </c>
      <c r="M355" s="14" t="s">
        <v>3695</v>
      </c>
      <c r="N355" s="14" t="s">
        <v>60</v>
      </c>
      <c r="O355" s="14" t="s">
        <v>60</v>
      </c>
      <c r="P355" s="14" t="s">
        <v>5567</v>
      </c>
      <c r="Q355" s="14" t="s">
        <v>11</v>
      </c>
      <c r="R355" s="3">
        <v>0</v>
      </c>
      <c r="S355" s="3">
        <f t="shared" si="16"/>
        <v>550</v>
      </c>
      <c r="T355" s="3">
        <f t="shared" si="17"/>
        <v>0</v>
      </c>
      <c r="U355" s="3" t="s">
        <v>60</v>
      </c>
      <c r="V355" s="14" t="s">
        <v>6</v>
      </c>
      <c r="W355" s="14" t="s">
        <v>4500</v>
      </c>
      <c r="X355" s="14" t="s">
        <v>60</v>
      </c>
    </row>
    <row r="356" spans="1:24" ht="15" x14ac:dyDescent="0.3">
      <c r="A356" s="3">
        <v>40</v>
      </c>
      <c r="B356" s="3" t="s">
        <v>5568</v>
      </c>
      <c r="C356" s="14" t="s">
        <v>0</v>
      </c>
      <c r="D356" s="14" t="s">
        <v>3479</v>
      </c>
      <c r="E356" s="14" t="s">
        <v>4200</v>
      </c>
      <c r="F356" s="14" t="s">
        <v>283</v>
      </c>
      <c r="G356" s="14" t="s">
        <v>121</v>
      </c>
      <c r="H356" s="14" t="s">
        <v>5569</v>
      </c>
      <c r="I356" s="14" t="s">
        <v>3696</v>
      </c>
      <c r="J356" s="14" t="s">
        <v>60</v>
      </c>
      <c r="K356" s="14" t="s">
        <v>60</v>
      </c>
      <c r="L356" s="14" t="s">
        <v>60</v>
      </c>
      <c r="M356" s="14" t="s">
        <v>3697</v>
      </c>
      <c r="N356" s="14" t="s">
        <v>60</v>
      </c>
      <c r="O356" s="14" t="s">
        <v>60</v>
      </c>
      <c r="P356" s="14" t="s">
        <v>5570</v>
      </c>
      <c r="Q356" s="14" t="s">
        <v>3508</v>
      </c>
      <c r="R356" s="3">
        <v>0</v>
      </c>
      <c r="S356" s="3">
        <f t="shared" si="16"/>
        <v>550</v>
      </c>
      <c r="T356" s="3">
        <f t="shared" si="17"/>
        <v>0</v>
      </c>
      <c r="U356" s="3" t="s">
        <v>5571</v>
      </c>
      <c r="V356" s="14" t="s">
        <v>6</v>
      </c>
      <c r="W356" s="14" t="s">
        <v>4509</v>
      </c>
      <c r="X356" s="14" t="s">
        <v>60</v>
      </c>
    </row>
    <row r="357" spans="1:24" ht="15" x14ac:dyDescent="0.3">
      <c r="A357" s="3">
        <v>41</v>
      </c>
      <c r="B357" s="3" t="s">
        <v>5572</v>
      </c>
      <c r="C357" s="14" t="s">
        <v>0</v>
      </c>
      <c r="D357" s="14" t="s">
        <v>3480</v>
      </c>
      <c r="E357" s="14" t="s">
        <v>4308</v>
      </c>
      <c r="F357" s="14" t="s">
        <v>3494</v>
      </c>
      <c r="G357" s="14" t="s">
        <v>3</v>
      </c>
      <c r="H357" s="14" t="s">
        <v>5573</v>
      </c>
      <c r="I357" s="14" t="s">
        <v>3698</v>
      </c>
      <c r="J357" s="14" t="s">
        <v>60</v>
      </c>
      <c r="K357" s="14" t="s">
        <v>60</v>
      </c>
      <c r="L357" s="14" t="s">
        <v>60</v>
      </c>
      <c r="M357" s="14" t="s">
        <v>3699</v>
      </c>
      <c r="N357" s="14" t="s">
        <v>60</v>
      </c>
      <c r="O357" s="14" t="s">
        <v>60</v>
      </c>
      <c r="P357" s="14" t="s">
        <v>5574</v>
      </c>
      <c r="Q357" s="14" t="s">
        <v>180</v>
      </c>
      <c r="R357" s="3">
        <v>0</v>
      </c>
      <c r="S357" s="3">
        <f t="shared" si="16"/>
        <v>550</v>
      </c>
      <c r="T357" s="3">
        <f t="shared" si="17"/>
        <v>0</v>
      </c>
      <c r="U357" s="3" t="s">
        <v>60</v>
      </c>
      <c r="V357" s="14" t="s">
        <v>6</v>
      </c>
      <c r="W357" s="14" t="s">
        <v>5396</v>
      </c>
      <c r="X357" s="14" t="s">
        <v>60</v>
      </c>
    </row>
    <row r="358" spans="1:24" ht="15" x14ac:dyDescent="0.3">
      <c r="A358" s="3">
        <v>42</v>
      </c>
      <c r="B358" s="3" t="s">
        <v>5575</v>
      </c>
      <c r="C358" s="14" t="s">
        <v>0</v>
      </c>
      <c r="D358" s="14" t="s">
        <v>3616</v>
      </c>
      <c r="E358" s="14" t="s">
        <v>5258</v>
      </c>
      <c r="F358" s="14" t="s">
        <v>3495</v>
      </c>
      <c r="G358" s="14" t="s">
        <v>3</v>
      </c>
      <c r="H358" s="14" t="s">
        <v>5576</v>
      </c>
      <c r="I358" s="14" t="s">
        <v>3700</v>
      </c>
      <c r="J358" s="14" t="s">
        <v>60</v>
      </c>
      <c r="K358" s="14" t="s">
        <v>60</v>
      </c>
      <c r="L358" s="14" t="s">
        <v>60</v>
      </c>
      <c r="M358" s="14" t="s">
        <v>3697</v>
      </c>
      <c r="N358" s="14" t="s">
        <v>60</v>
      </c>
      <c r="O358" s="14" t="s">
        <v>60</v>
      </c>
      <c r="P358" s="14" t="s">
        <v>5577</v>
      </c>
      <c r="Q358" s="14" t="s">
        <v>180</v>
      </c>
      <c r="R358" s="3">
        <v>0</v>
      </c>
      <c r="S358" s="3">
        <f t="shared" si="16"/>
        <v>550</v>
      </c>
      <c r="T358" s="3">
        <f t="shared" si="17"/>
        <v>0</v>
      </c>
      <c r="U358" s="3" t="s">
        <v>60</v>
      </c>
      <c r="V358" s="14" t="s">
        <v>6</v>
      </c>
      <c r="W358" s="14" t="s">
        <v>5396</v>
      </c>
      <c r="X358" s="14" t="s">
        <v>60</v>
      </c>
    </row>
    <row r="359" spans="1:24" ht="15" x14ac:dyDescent="0.3">
      <c r="A359" s="3">
        <v>43</v>
      </c>
      <c r="B359" s="3" t="s">
        <v>5578</v>
      </c>
      <c r="C359" s="14" t="s">
        <v>0</v>
      </c>
      <c r="D359" s="14" t="s">
        <v>3481</v>
      </c>
      <c r="E359" s="14" t="s">
        <v>4195</v>
      </c>
      <c r="F359" s="14" t="s">
        <v>3496</v>
      </c>
      <c r="G359" s="14" t="s">
        <v>3</v>
      </c>
      <c r="H359" s="14" t="s">
        <v>5579</v>
      </c>
      <c r="I359" s="14" t="s">
        <v>3701</v>
      </c>
      <c r="J359" s="14" t="s">
        <v>60</v>
      </c>
      <c r="K359" s="14" t="s">
        <v>60</v>
      </c>
      <c r="L359" s="14" t="s">
        <v>60</v>
      </c>
      <c r="M359" s="14" t="s">
        <v>3702</v>
      </c>
      <c r="N359" s="14" t="s">
        <v>60</v>
      </c>
      <c r="O359" s="14" t="s">
        <v>60</v>
      </c>
      <c r="P359" s="14" t="s">
        <v>5580</v>
      </c>
      <c r="Q359" s="14" t="s">
        <v>180</v>
      </c>
      <c r="R359" s="3">
        <v>0</v>
      </c>
      <c r="S359" s="3">
        <f t="shared" si="16"/>
        <v>550</v>
      </c>
      <c r="T359" s="3">
        <f t="shared" si="17"/>
        <v>0</v>
      </c>
      <c r="U359" s="3" t="s">
        <v>60</v>
      </c>
      <c r="V359" s="14" t="s">
        <v>6</v>
      </c>
      <c r="W359" s="14" t="s">
        <v>5396</v>
      </c>
      <c r="X359" s="14" t="s">
        <v>60</v>
      </c>
    </row>
    <row r="360" spans="1:24" ht="15" x14ac:dyDescent="0.3">
      <c r="A360" s="3">
        <v>44</v>
      </c>
      <c r="B360" s="3" t="s">
        <v>5581</v>
      </c>
      <c r="C360" s="14" t="s">
        <v>0</v>
      </c>
      <c r="D360" s="14" t="s">
        <v>3482</v>
      </c>
      <c r="E360" s="14" t="s">
        <v>4308</v>
      </c>
      <c r="F360" s="14" t="s">
        <v>3497</v>
      </c>
      <c r="G360" s="14" t="s">
        <v>3</v>
      </c>
      <c r="H360" s="14" t="s">
        <v>5582</v>
      </c>
      <c r="I360" s="14" t="s">
        <v>3703</v>
      </c>
      <c r="J360" s="14" t="s">
        <v>60</v>
      </c>
      <c r="K360" s="14" t="s">
        <v>60</v>
      </c>
      <c r="L360" s="14" t="s">
        <v>60</v>
      </c>
      <c r="M360" s="14" t="s">
        <v>3704</v>
      </c>
      <c r="N360" s="14" t="s">
        <v>60</v>
      </c>
      <c r="O360" s="14" t="s">
        <v>60</v>
      </c>
      <c r="P360" s="14" t="s">
        <v>5583</v>
      </c>
      <c r="Q360" s="14" t="s">
        <v>11</v>
      </c>
      <c r="R360" s="3">
        <v>0</v>
      </c>
      <c r="S360" s="3">
        <f t="shared" si="16"/>
        <v>550</v>
      </c>
      <c r="T360" s="3">
        <f t="shared" si="17"/>
        <v>0</v>
      </c>
      <c r="U360" s="3" t="s">
        <v>60</v>
      </c>
      <c r="V360" s="14" t="s">
        <v>6</v>
      </c>
      <c r="W360" s="14" t="s">
        <v>5396</v>
      </c>
      <c r="X360" s="14" t="s">
        <v>60</v>
      </c>
    </row>
    <row r="361" spans="1:24" ht="15" x14ac:dyDescent="0.3">
      <c r="A361" s="3">
        <v>45</v>
      </c>
      <c r="B361" s="3" t="s">
        <v>5584</v>
      </c>
      <c r="C361" s="14" t="s">
        <v>0</v>
      </c>
      <c r="D361" s="14" t="s">
        <v>3490</v>
      </c>
      <c r="E361" s="14" t="s">
        <v>5585</v>
      </c>
      <c r="F361" s="14" t="s">
        <v>3505</v>
      </c>
      <c r="G361" s="14" t="s">
        <v>3</v>
      </c>
      <c r="H361" s="14" t="s">
        <v>5586</v>
      </c>
      <c r="I361" s="14" t="s">
        <v>3735</v>
      </c>
      <c r="J361" s="14" t="s">
        <v>60</v>
      </c>
      <c r="K361" s="14" t="s">
        <v>60</v>
      </c>
      <c r="L361" s="14" t="s">
        <v>60</v>
      </c>
      <c r="M361" s="14" t="s">
        <v>3736</v>
      </c>
      <c r="N361" s="14" t="s">
        <v>60</v>
      </c>
      <c r="O361" s="14" t="s">
        <v>60</v>
      </c>
      <c r="P361" s="14" t="s">
        <v>5587</v>
      </c>
      <c r="Q361" s="14" t="s">
        <v>2791</v>
      </c>
      <c r="R361" s="3">
        <v>0</v>
      </c>
      <c r="S361" s="3">
        <f t="shared" si="16"/>
        <v>550</v>
      </c>
      <c r="T361" s="3">
        <f t="shared" si="17"/>
        <v>0</v>
      </c>
      <c r="U361" s="3" t="s">
        <v>60</v>
      </c>
      <c r="V361" s="14" t="s">
        <v>6</v>
      </c>
      <c r="W361" s="14" t="s">
        <v>5588</v>
      </c>
      <c r="X361" s="14" t="s">
        <v>60</v>
      </c>
    </row>
    <row r="362" spans="1:24" ht="15" x14ac:dyDescent="0.3">
      <c r="A362" s="3">
        <v>46</v>
      </c>
      <c r="B362" s="3" t="s">
        <v>5589</v>
      </c>
      <c r="C362" s="14" t="s">
        <v>0</v>
      </c>
      <c r="D362" s="14" t="s">
        <v>3491</v>
      </c>
      <c r="E362" s="14" t="s">
        <v>5590</v>
      </c>
      <c r="F362" s="14" t="s">
        <v>3506</v>
      </c>
      <c r="G362" s="14" t="s">
        <v>3</v>
      </c>
      <c r="H362" s="14" t="s">
        <v>5591</v>
      </c>
      <c r="I362" s="14" t="s">
        <v>3737</v>
      </c>
      <c r="J362" s="14" t="s">
        <v>60</v>
      </c>
      <c r="K362" s="14" t="s">
        <v>60</v>
      </c>
      <c r="L362" s="14" t="s">
        <v>60</v>
      </c>
      <c r="M362" s="14" t="s">
        <v>3738</v>
      </c>
      <c r="N362" s="14" t="s">
        <v>60</v>
      </c>
      <c r="O362" s="14" t="s">
        <v>60</v>
      </c>
      <c r="P362" s="14" t="s">
        <v>5592</v>
      </c>
      <c r="Q362" s="14" t="s">
        <v>180</v>
      </c>
      <c r="R362" s="3">
        <v>0</v>
      </c>
      <c r="S362" s="3">
        <f t="shared" si="16"/>
        <v>550</v>
      </c>
      <c r="T362" s="3">
        <f t="shared" si="17"/>
        <v>0</v>
      </c>
      <c r="U362" s="3" t="s">
        <v>60</v>
      </c>
      <c r="V362" s="14" t="s">
        <v>6</v>
      </c>
      <c r="W362" s="14" t="s">
        <v>5588</v>
      </c>
      <c r="X362" s="14" t="s">
        <v>60</v>
      </c>
    </row>
    <row r="363" spans="1:24" ht="15" x14ac:dyDescent="0.3">
      <c r="A363" s="3">
        <v>47</v>
      </c>
      <c r="B363" s="3" t="s">
        <v>5593</v>
      </c>
      <c r="C363" s="14" t="s">
        <v>91</v>
      </c>
      <c r="D363" s="14" t="s">
        <v>2575</v>
      </c>
      <c r="E363" s="14" t="s">
        <v>5594</v>
      </c>
      <c r="F363" s="14" t="s">
        <v>3507</v>
      </c>
      <c r="G363" s="14" t="s">
        <v>3</v>
      </c>
      <c r="H363" s="14" t="s">
        <v>5595</v>
      </c>
      <c r="I363" s="14" t="s">
        <v>2576</v>
      </c>
      <c r="J363" s="14" t="s">
        <v>60</v>
      </c>
      <c r="K363" s="14" t="s">
        <v>60</v>
      </c>
      <c r="L363" s="14" t="s">
        <v>60</v>
      </c>
      <c r="M363" s="14" t="s">
        <v>2577</v>
      </c>
      <c r="N363" s="14" t="s">
        <v>60</v>
      </c>
      <c r="O363" s="14" t="s">
        <v>60</v>
      </c>
      <c r="P363" s="14" t="s">
        <v>5596</v>
      </c>
      <c r="Q363" s="14" t="s">
        <v>2922</v>
      </c>
      <c r="R363" s="3">
        <v>0</v>
      </c>
      <c r="S363" s="3">
        <f t="shared" si="16"/>
        <v>770</v>
      </c>
      <c r="T363" s="3">
        <f t="shared" si="17"/>
        <v>0</v>
      </c>
      <c r="U363" s="3" t="s">
        <v>60</v>
      </c>
      <c r="V363" s="14" t="s">
        <v>6</v>
      </c>
      <c r="W363" s="14" t="s">
        <v>5597</v>
      </c>
      <c r="X363" s="14" t="s">
        <v>60</v>
      </c>
    </row>
    <row r="364" spans="1:24" ht="15" x14ac:dyDescent="0.3">
      <c r="A364" s="3">
        <v>48</v>
      </c>
      <c r="B364" s="3" t="s">
        <v>5598</v>
      </c>
      <c r="C364" s="14" t="s">
        <v>0</v>
      </c>
      <c r="D364" s="14" t="s">
        <v>839</v>
      </c>
      <c r="E364" s="14" t="s">
        <v>5599</v>
      </c>
      <c r="F364" s="14" t="s">
        <v>840</v>
      </c>
      <c r="G364" s="14" t="s">
        <v>121</v>
      </c>
      <c r="H364" s="14" t="s">
        <v>841</v>
      </c>
      <c r="I364" s="14" t="s">
        <v>842</v>
      </c>
      <c r="J364" s="14" t="s">
        <v>60</v>
      </c>
      <c r="K364" s="14" t="s">
        <v>60</v>
      </c>
      <c r="L364" s="14" t="s">
        <v>60</v>
      </c>
      <c r="M364" s="14" t="s">
        <v>843</v>
      </c>
      <c r="N364" s="14" t="s">
        <v>60</v>
      </c>
      <c r="O364" s="14" t="s">
        <v>60</v>
      </c>
      <c r="P364" s="14" t="s">
        <v>5600</v>
      </c>
      <c r="Q364" s="14" t="s">
        <v>11</v>
      </c>
      <c r="R364" s="3">
        <v>0</v>
      </c>
      <c r="S364" s="3">
        <f t="shared" si="16"/>
        <v>550</v>
      </c>
      <c r="T364" s="3">
        <f t="shared" si="17"/>
        <v>0</v>
      </c>
      <c r="U364" s="3" t="s">
        <v>60</v>
      </c>
      <c r="V364" s="14" t="s">
        <v>6</v>
      </c>
      <c r="W364" s="14" t="s">
        <v>5601</v>
      </c>
      <c r="X364" s="14" t="s">
        <v>60</v>
      </c>
    </row>
    <row r="365" spans="1:24" ht="15" x14ac:dyDescent="0.3">
      <c r="A365" s="3">
        <v>49</v>
      </c>
      <c r="B365" s="3" t="s">
        <v>5602</v>
      </c>
      <c r="C365" s="14" t="s">
        <v>0</v>
      </c>
      <c r="D365" s="14" t="s">
        <v>844</v>
      </c>
      <c r="E365" s="14" t="s">
        <v>5603</v>
      </c>
      <c r="F365" s="14" t="s">
        <v>845</v>
      </c>
      <c r="G365" s="14" t="s">
        <v>3</v>
      </c>
      <c r="H365" s="14" t="s">
        <v>5604</v>
      </c>
      <c r="I365" s="14" t="s">
        <v>846</v>
      </c>
      <c r="J365" s="14" t="s">
        <v>60</v>
      </c>
      <c r="K365" s="14" t="s">
        <v>60</v>
      </c>
      <c r="L365" s="14" t="s">
        <v>60</v>
      </c>
      <c r="M365" s="14" t="s">
        <v>847</v>
      </c>
      <c r="N365" s="14" t="s">
        <v>60</v>
      </c>
      <c r="O365" s="14" t="s">
        <v>60</v>
      </c>
      <c r="P365" s="14" t="s">
        <v>5605</v>
      </c>
      <c r="Q365" s="14" t="s">
        <v>11</v>
      </c>
      <c r="R365" s="3">
        <v>0</v>
      </c>
      <c r="S365" s="3">
        <f t="shared" si="16"/>
        <v>550</v>
      </c>
      <c r="T365" s="3">
        <f t="shared" si="17"/>
        <v>0</v>
      </c>
      <c r="U365" s="3" t="s">
        <v>60</v>
      </c>
      <c r="V365" s="14" t="s">
        <v>6</v>
      </c>
      <c r="W365" s="14" t="s">
        <v>5601</v>
      </c>
      <c r="X365" s="14" t="s">
        <v>60</v>
      </c>
    </row>
    <row r="366" spans="1:24" ht="15" x14ac:dyDescent="0.3">
      <c r="A366" s="3">
        <v>50</v>
      </c>
      <c r="B366" s="3" t="s">
        <v>5606</v>
      </c>
      <c r="C366" s="14" t="s">
        <v>0</v>
      </c>
      <c r="D366" s="14" t="s">
        <v>848</v>
      </c>
      <c r="E366" s="14" t="s">
        <v>5607</v>
      </c>
      <c r="F366" s="14" t="s">
        <v>849</v>
      </c>
      <c r="G366" s="14" t="s">
        <v>121</v>
      </c>
      <c r="H366" s="14" t="s">
        <v>5608</v>
      </c>
      <c r="I366" s="14" t="s">
        <v>850</v>
      </c>
      <c r="J366" s="14" t="s">
        <v>60</v>
      </c>
      <c r="K366" s="14" t="s">
        <v>60</v>
      </c>
      <c r="L366" s="14" t="s">
        <v>60</v>
      </c>
      <c r="M366" s="14" t="s">
        <v>851</v>
      </c>
      <c r="N366" s="14" t="s">
        <v>60</v>
      </c>
      <c r="O366" s="14" t="s">
        <v>25</v>
      </c>
      <c r="P366" s="14" t="s">
        <v>5609</v>
      </c>
      <c r="Q366" s="14" t="s">
        <v>11</v>
      </c>
      <c r="R366" s="3">
        <v>0</v>
      </c>
      <c r="S366" s="3">
        <f t="shared" si="16"/>
        <v>550</v>
      </c>
      <c r="T366" s="3">
        <f t="shared" si="17"/>
        <v>0</v>
      </c>
      <c r="U366" s="3" t="s">
        <v>60</v>
      </c>
      <c r="V366" s="14" t="s">
        <v>6</v>
      </c>
      <c r="W366" s="14" t="s">
        <v>4985</v>
      </c>
      <c r="X366" s="14" t="s">
        <v>60</v>
      </c>
    </row>
    <row r="367" spans="1:24" ht="15" x14ac:dyDescent="0.3">
      <c r="A367" s="3">
        <v>51</v>
      </c>
      <c r="B367" s="3" t="s">
        <v>5610</v>
      </c>
      <c r="C367" s="14" t="s">
        <v>0</v>
      </c>
      <c r="D367" s="14" t="s">
        <v>3308</v>
      </c>
      <c r="E367" s="14" t="s">
        <v>4815</v>
      </c>
      <c r="F367" s="14" t="s">
        <v>3310</v>
      </c>
      <c r="G367" s="14" t="s">
        <v>3</v>
      </c>
      <c r="H367" s="14" t="s">
        <v>5611</v>
      </c>
      <c r="I367" s="14" t="s">
        <v>3365</v>
      </c>
      <c r="J367" s="14" t="s">
        <v>60</v>
      </c>
      <c r="K367" s="14" t="s">
        <v>60</v>
      </c>
      <c r="L367" s="14" t="s">
        <v>60</v>
      </c>
      <c r="M367" s="14" t="s">
        <v>3366</v>
      </c>
      <c r="N367" s="14" t="s">
        <v>60</v>
      </c>
      <c r="O367" s="14" t="s">
        <v>60</v>
      </c>
      <c r="P367" s="14" t="s">
        <v>5612</v>
      </c>
      <c r="Q367" s="14" t="s">
        <v>11</v>
      </c>
      <c r="R367" s="3">
        <v>0</v>
      </c>
      <c r="S367" s="3">
        <f t="shared" si="16"/>
        <v>550</v>
      </c>
      <c r="T367" s="3">
        <f t="shared" si="17"/>
        <v>0</v>
      </c>
      <c r="U367" s="3" t="s">
        <v>60</v>
      </c>
      <c r="V367" s="14" t="s">
        <v>4208</v>
      </c>
      <c r="W367" s="14" t="s">
        <v>5424</v>
      </c>
      <c r="X367" s="14" t="s">
        <v>60</v>
      </c>
    </row>
    <row r="368" spans="1:24" ht="15" x14ac:dyDescent="0.3">
      <c r="A368" s="3">
        <v>52</v>
      </c>
      <c r="B368" s="3" t="s">
        <v>5613</v>
      </c>
      <c r="C368" s="14" t="s">
        <v>0</v>
      </c>
      <c r="D368" s="14" t="s">
        <v>3509</v>
      </c>
      <c r="E368" s="14" t="s">
        <v>5614</v>
      </c>
      <c r="F368" s="14" t="s">
        <v>3510</v>
      </c>
      <c r="G368" s="14" t="s">
        <v>3</v>
      </c>
      <c r="H368" s="14" t="s">
        <v>5615</v>
      </c>
      <c r="I368" s="14" t="s">
        <v>3739</v>
      </c>
      <c r="J368" s="14" t="s">
        <v>60</v>
      </c>
      <c r="K368" s="14" t="s">
        <v>60</v>
      </c>
      <c r="L368" s="14" t="s">
        <v>60</v>
      </c>
      <c r="M368" s="14" t="s">
        <v>3740</v>
      </c>
      <c r="N368" s="14" t="s">
        <v>60</v>
      </c>
      <c r="O368" s="14" t="s">
        <v>60</v>
      </c>
      <c r="P368" s="14" t="s">
        <v>5616</v>
      </c>
      <c r="Q368" s="14" t="s">
        <v>761</v>
      </c>
      <c r="R368" s="3">
        <v>0</v>
      </c>
      <c r="S368" s="3">
        <f t="shared" si="16"/>
        <v>550</v>
      </c>
      <c r="T368" s="3">
        <f t="shared" si="17"/>
        <v>0</v>
      </c>
      <c r="U368" s="3" t="s">
        <v>60</v>
      </c>
      <c r="V368" s="14" t="s">
        <v>6</v>
      </c>
      <c r="W368" s="14" t="s">
        <v>5588</v>
      </c>
      <c r="X368" s="14" t="s">
        <v>60</v>
      </c>
    </row>
    <row r="369" spans="1:24" ht="15" x14ac:dyDescent="0.3">
      <c r="A369" s="3">
        <v>53</v>
      </c>
      <c r="B369" s="3" t="s">
        <v>5617</v>
      </c>
      <c r="C369" s="14" t="s">
        <v>0</v>
      </c>
      <c r="D369" s="14" t="s">
        <v>861</v>
      </c>
      <c r="E369" s="14" t="s">
        <v>5618</v>
      </c>
      <c r="F369" s="14" t="s">
        <v>862</v>
      </c>
      <c r="G369" s="14" t="s">
        <v>3</v>
      </c>
      <c r="H369" s="14" t="s">
        <v>5619</v>
      </c>
      <c r="I369" s="14" t="s">
        <v>863</v>
      </c>
      <c r="J369" s="14" t="s">
        <v>60</v>
      </c>
      <c r="K369" s="14" t="s">
        <v>60</v>
      </c>
      <c r="L369" s="14" t="s">
        <v>60</v>
      </c>
      <c r="M369" s="14" t="s">
        <v>864</v>
      </c>
      <c r="N369" s="14" t="s">
        <v>60</v>
      </c>
      <c r="O369" s="14" t="s">
        <v>60</v>
      </c>
      <c r="P369" s="14" t="s">
        <v>5620</v>
      </c>
      <c r="Q369" s="14" t="s">
        <v>11</v>
      </c>
      <c r="R369" s="3">
        <v>0</v>
      </c>
      <c r="S369" s="3">
        <f t="shared" si="16"/>
        <v>550</v>
      </c>
      <c r="T369" s="3">
        <f t="shared" si="17"/>
        <v>0</v>
      </c>
      <c r="U369" s="3" t="s">
        <v>60</v>
      </c>
      <c r="V369" s="14" t="s">
        <v>6</v>
      </c>
      <c r="W369" s="14" t="s">
        <v>4634</v>
      </c>
      <c r="X369" s="14" t="s">
        <v>60</v>
      </c>
    </row>
    <row r="370" spans="1:24" ht="15" x14ac:dyDescent="0.3">
      <c r="A370" s="3">
        <v>54</v>
      </c>
      <c r="B370" s="3" t="s">
        <v>5621</v>
      </c>
      <c r="C370" s="14" t="s">
        <v>0</v>
      </c>
      <c r="D370" s="14" t="s">
        <v>865</v>
      </c>
      <c r="E370" s="14" t="s">
        <v>5622</v>
      </c>
      <c r="F370" s="14" t="s">
        <v>866</v>
      </c>
      <c r="G370" s="14" t="s">
        <v>121</v>
      </c>
      <c r="H370" s="14" t="s">
        <v>5623</v>
      </c>
      <c r="I370" s="14" t="s">
        <v>867</v>
      </c>
      <c r="J370" s="14" t="s">
        <v>60</v>
      </c>
      <c r="K370" s="14" t="s">
        <v>60</v>
      </c>
      <c r="L370" s="14" t="s">
        <v>60</v>
      </c>
      <c r="M370" s="14" t="s">
        <v>868</v>
      </c>
      <c r="N370" s="14" t="s">
        <v>60</v>
      </c>
      <c r="O370" s="14" t="s">
        <v>60</v>
      </c>
      <c r="P370" s="14" t="s">
        <v>5624</v>
      </c>
      <c r="Q370" s="14" t="s">
        <v>11</v>
      </c>
      <c r="R370" s="3">
        <v>0</v>
      </c>
      <c r="S370" s="3">
        <f t="shared" si="16"/>
        <v>550</v>
      </c>
      <c r="T370" s="3">
        <f t="shared" si="17"/>
        <v>0</v>
      </c>
      <c r="U370" s="3" t="s">
        <v>60</v>
      </c>
      <c r="V370" s="14" t="s">
        <v>6</v>
      </c>
      <c r="W370" s="14" t="s">
        <v>4634</v>
      </c>
      <c r="X370" s="14" t="s">
        <v>60</v>
      </c>
    </row>
    <row r="371" spans="1:24" ht="15" x14ac:dyDescent="0.3">
      <c r="A371" s="3">
        <v>55</v>
      </c>
      <c r="B371" s="3" t="s">
        <v>5625</v>
      </c>
      <c r="C371" s="14" t="s">
        <v>0</v>
      </c>
      <c r="D371" s="14" t="s">
        <v>869</v>
      </c>
      <c r="E371" s="14" t="s">
        <v>5626</v>
      </c>
      <c r="F371" s="14" t="s">
        <v>870</v>
      </c>
      <c r="G371" s="14" t="s">
        <v>121</v>
      </c>
      <c r="H371" s="14" t="s">
        <v>5627</v>
      </c>
      <c r="I371" s="14" t="s">
        <v>871</v>
      </c>
      <c r="J371" s="14" t="s">
        <v>60</v>
      </c>
      <c r="K371" s="14" t="s">
        <v>60</v>
      </c>
      <c r="L371" s="14" t="s">
        <v>60</v>
      </c>
      <c r="M371" s="14" t="s">
        <v>872</v>
      </c>
      <c r="N371" s="14" t="s">
        <v>60</v>
      </c>
      <c r="O371" s="14" t="s">
        <v>60</v>
      </c>
      <c r="P371" s="14" t="s">
        <v>5628</v>
      </c>
      <c r="Q371" s="14" t="s">
        <v>180</v>
      </c>
      <c r="R371" s="3">
        <v>0</v>
      </c>
      <c r="S371" s="3">
        <f t="shared" si="16"/>
        <v>550</v>
      </c>
      <c r="T371" s="3">
        <f t="shared" si="17"/>
        <v>0</v>
      </c>
      <c r="U371" s="3" t="s">
        <v>60</v>
      </c>
      <c r="V371" s="14" t="s">
        <v>6</v>
      </c>
      <c r="W371" s="14" t="s">
        <v>4634</v>
      </c>
      <c r="X371" s="14" t="s">
        <v>60</v>
      </c>
    </row>
    <row r="372" spans="1:24" ht="15" x14ac:dyDescent="0.3">
      <c r="A372" s="3">
        <v>56</v>
      </c>
      <c r="B372" s="3" t="s">
        <v>5629</v>
      </c>
      <c r="C372" s="14" t="s">
        <v>0</v>
      </c>
      <c r="D372" s="14" t="s">
        <v>873</v>
      </c>
      <c r="E372" s="14" t="s">
        <v>5630</v>
      </c>
      <c r="F372" s="14" t="s">
        <v>874</v>
      </c>
      <c r="G372" s="14" t="s">
        <v>121</v>
      </c>
      <c r="H372" s="14" t="s">
        <v>5631</v>
      </c>
      <c r="I372" s="14" t="s">
        <v>875</v>
      </c>
      <c r="J372" s="14" t="s">
        <v>60</v>
      </c>
      <c r="K372" s="14" t="s">
        <v>60</v>
      </c>
      <c r="L372" s="14" t="s">
        <v>60</v>
      </c>
      <c r="M372" s="14" t="s">
        <v>876</v>
      </c>
      <c r="N372" s="14" t="s">
        <v>60</v>
      </c>
      <c r="O372" s="14" t="s">
        <v>60</v>
      </c>
      <c r="P372" s="14" t="s">
        <v>5632</v>
      </c>
      <c r="Q372" s="14" t="s">
        <v>11</v>
      </c>
      <c r="R372" s="3">
        <v>0</v>
      </c>
      <c r="S372" s="3">
        <f t="shared" si="16"/>
        <v>550</v>
      </c>
      <c r="T372" s="3">
        <f t="shared" si="17"/>
        <v>0</v>
      </c>
      <c r="U372" s="3" t="s">
        <v>60</v>
      </c>
      <c r="V372" s="14" t="s">
        <v>6</v>
      </c>
      <c r="W372" s="14" t="s">
        <v>4634</v>
      </c>
      <c r="X372" s="14" t="s">
        <v>60</v>
      </c>
    </row>
    <row r="373" spans="1:24" ht="15" x14ac:dyDescent="0.3">
      <c r="A373" s="3">
        <v>57</v>
      </c>
      <c r="B373" s="3" t="s">
        <v>5633</v>
      </c>
      <c r="C373" s="14" t="s">
        <v>0</v>
      </c>
      <c r="D373" s="14" t="s">
        <v>877</v>
      </c>
      <c r="E373" s="14" t="s">
        <v>4451</v>
      </c>
      <c r="F373" s="14" t="s">
        <v>878</v>
      </c>
      <c r="G373" s="14" t="s">
        <v>121</v>
      </c>
      <c r="H373" s="14" t="s">
        <v>5634</v>
      </c>
      <c r="I373" s="14" t="s">
        <v>879</v>
      </c>
      <c r="J373" s="14" t="s">
        <v>60</v>
      </c>
      <c r="K373" s="14" t="s">
        <v>60</v>
      </c>
      <c r="L373" s="14" t="s">
        <v>60</v>
      </c>
      <c r="M373" s="14" t="s">
        <v>880</v>
      </c>
      <c r="N373" s="14" t="s">
        <v>60</v>
      </c>
      <c r="O373" s="14" t="s">
        <v>60</v>
      </c>
      <c r="P373" s="14" t="s">
        <v>5635</v>
      </c>
      <c r="Q373" s="14" t="s">
        <v>11</v>
      </c>
      <c r="R373" s="3">
        <v>0</v>
      </c>
      <c r="S373" s="3">
        <f t="shared" si="16"/>
        <v>550</v>
      </c>
      <c r="T373" s="3">
        <f t="shared" si="17"/>
        <v>0</v>
      </c>
      <c r="U373" s="3" t="s">
        <v>60</v>
      </c>
      <c r="V373" s="14" t="s">
        <v>6</v>
      </c>
      <c r="W373" s="14" t="s">
        <v>4634</v>
      </c>
      <c r="X373" s="14" t="s">
        <v>60</v>
      </c>
    </row>
    <row r="374" spans="1:24" ht="15" x14ac:dyDescent="0.3">
      <c r="A374" s="3">
        <v>58</v>
      </c>
      <c r="B374" s="3" t="s">
        <v>5636</v>
      </c>
      <c r="C374" s="14" t="s">
        <v>0</v>
      </c>
      <c r="D374" s="14" t="s">
        <v>881</v>
      </c>
      <c r="E374" s="14" t="s">
        <v>5637</v>
      </c>
      <c r="F374" s="14" t="s">
        <v>584</v>
      </c>
      <c r="G374" s="14" t="s">
        <v>121</v>
      </c>
      <c r="H374" s="14" t="s">
        <v>5638</v>
      </c>
      <c r="I374" s="14" t="s">
        <v>882</v>
      </c>
      <c r="J374" s="14" t="s">
        <v>60</v>
      </c>
      <c r="K374" s="14" t="s">
        <v>60</v>
      </c>
      <c r="L374" s="14" t="s">
        <v>60</v>
      </c>
      <c r="M374" s="14" t="s">
        <v>883</v>
      </c>
      <c r="N374" s="14" t="s">
        <v>60</v>
      </c>
      <c r="O374" s="14" t="s">
        <v>60</v>
      </c>
      <c r="P374" s="14" t="s">
        <v>5639</v>
      </c>
      <c r="Q374" s="14" t="s">
        <v>185</v>
      </c>
      <c r="R374" s="3">
        <v>0</v>
      </c>
      <c r="S374" s="3">
        <f t="shared" si="16"/>
        <v>550</v>
      </c>
      <c r="T374" s="3">
        <f t="shared" si="17"/>
        <v>0</v>
      </c>
      <c r="U374" s="3" t="s">
        <v>60</v>
      </c>
      <c r="V374" s="14" t="s">
        <v>6</v>
      </c>
      <c r="W374" s="14" t="s">
        <v>4634</v>
      </c>
      <c r="X374" s="14" t="s">
        <v>60</v>
      </c>
    </row>
    <row r="375" spans="1:24" ht="15" x14ac:dyDescent="0.3">
      <c r="A375" s="3">
        <v>59</v>
      </c>
      <c r="B375" s="3" t="s">
        <v>5640</v>
      </c>
      <c r="C375" s="14" t="s">
        <v>0</v>
      </c>
      <c r="D375" s="14" t="s">
        <v>884</v>
      </c>
      <c r="E375" s="14" t="s">
        <v>5641</v>
      </c>
      <c r="F375" s="14" t="s">
        <v>598</v>
      </c>
      <c r="G375" s="14" t="s">
        <v>121</v>
      </c>
      <c r="H375" s="14" t="s">
        <v>5642</v>
      </c>
      <c r="I375" s="14" t="s">
        <v>885</v>
      </c>
      <c r="J375" s="14" t="s">
        <v>60</v>
      </c>
      <c r="K375" s="14" t="s">
        <v>60</v>
      </c>
      <c r="L375" s="14" t="s">
        <v>60</v>
      </c>
      <c r="M375" s="14" t="s">
        <v>886</v>
      </c>
      <c r="N375" s="14" t="s">
        <v>60</v>
      </c>
      <c r="O375" s="14" t="s">
        <v>60</v>
      </c>
      <c r="P375" s="14" t="s">
        <v>5643</v>
      </c>
      <c r="Q375" s="14" t="s">
        <v>180</v>
      </c>
      <c r="R375" s="3">
        <v>0</v>
      </c>
      <c r="S375" s="3">
        <f t="shared" si="16"/>
        <v>550</v>
      </c>
      <c r="T375" s="3">
        <f t="shared" si="17"/>
        <v>0</v>
      </c>
      <c r="U375" s="3" t="s">
        <v>60</v>
      </c>
      <c r="V375" s="14" t="s">
        <v>6</v>
      </c>
      <c r="W375" s="14" t="s">
        <v>4634</v>
      </c>
      <c r="X375" s="14" t="s">
        <v>60</v>
      </c>
    </row>
    <row r="376" spans="1:24" ht="15" x14ac:dyDescent="0.3">
      <c r="A376" s="3">
        <v>60</v>
      </c>
      <c r="B376" s="3" t="s">
        <v>5644</v>
      </c>
      <c r="C376" s="14" t="s">
        <v>0</v>
      </c>
      <c r="D376" s="14" t="s">
        <v>887</v>
      </c>
      <c r="E376" s="14" t="s">
        <v>5645</v>
      </c>
      <c r="F376" s="14" t="s">
        <v>888</v>
      </c>
      <c r="G376" s="14" t="s">
        <v>3</v>
      </c>
      <c r="H376" s="14" t="s">
        <v>5646</v>
      </c>
      <c r="I376" s="14" t="s">
        <v>889</v>
      </c>
      <c r="J376" s="14" t="s">
        <v>60</v>
      </c>
      <c r="K376" s="14" t="s">
        <v>60</v>
      </c>
      <c r="L376" s="14" t="s">
        <v>60</v>
      </c>
      <c r="M376" s="14" t="s">
        <v>890</v>
      </c>
      <c r="N376" s="14" t="s">
        <v>60</v>
      </c>
      <c r="O376" s="14" t="s">
        <v>60</v>
      </c>
      <c r="P376" s="14" t="s">
        <v>5647</v>
      </c>
      <c r="Q376" s="14" t="s">
        <v>185</v>
      </c>
      <c r="R376" s="3">
        <v>0</v>
      </c>
      <c r="S376" s="3">
        <f t="shared" si="16"/>
        <v>550</v>
      </c>
      <c r="T376" s="3">
        <f t="shared" si="17"/>
        <v>0</v>
      </c>
      <c r="U376" s="3" t="s">
        <v>5648</v>
      </c>
      <c r="V376" s="14" t="s">
        <v>6</v>
      </c>
      <c r="W376" s="14" t="s">
        <v>4634</v>
      </c>
      <c r="X376" s="14" t="s">
        <v>60</v>
      </c>
    </row>
    <row r="377" spans="1:24" ht="15" x14ac:dyDescent="0.3">
      <c r="A377" s="3">
        <v>61</v>
      </c>
      <c r="B377" s="3" t="s">
        <v>5649</v>
      </c>
      <c r="C377" s="14" t="s">
        <v>0</v>
      </c>
      <c r="D377" s="14" t="s">
        <v>891</v>
      </c>
      <c r="E377" s="14" t="s">
        <v>5650</v>
      </c>
      <c r="F377" s="14" t="s">
        <v>892</v>
      </c>
      <c r="G377" s="14" t="s">
        <v>3</v>
      </c>
      <c r="H377" s="14" t="s">
        <v>5651</v>
      </c>
      <c r="I377" s="14" t="s">
        <v>893</v>
      </c>
      <c r="J377" s="14" t="s">
        <v>60</v>
      </c>
      <c r="K377" s="14" t="s">
        <v>60</v>
      </c>
      <c r="L377" s="14" t="s">
        <v>60</v>
      </c>
      <c r="M377" s="14" t="s">
        <v>894</v>
      </c>
      <c r="N377" s="14" t="s">
        <v>60</v>
      </c>
      <c r="O377" s="14" t="s">
        <v>60</v>
      </c>
      <c r="P377" s="14" t="s">
        <v>5652</v>
      </c>
      <c r="Q377" s="14" t="s">
        <v>11</v>
      </c>
      <c r="R377" s="3">
        <v>0</v>
      </c>
      <c r="S377" s="3">
        <f t="shared" si="16"/>
        <v>550</v>
      </c>
      <c r="T377" s="3">
        <f t="shared" si="17"/>
        <v>0</v>
      </c>
      <c r="U377" s="3" t="s">
        <v>60</v>
      </c>
      <c r="V377" s="14" t="s">
        <v>6</v>
      </c>
      <c r="W377" s="14" t="s">
        <v>4634</v>
      </c>
      <c r="X377" s="14" t="s">
        <v>60</v>
      </c>
    </row>
    <row r="378" spans="1:24" ht="15" x14ac:dyDescent="0.3">
      <c r="A378" s="3">
        <v>62</v>
      </c>
      <c r="B378" s="3" t="s">
        <v>5653</v>
      </c>
      <c r="C378" s="14" t="s">
        <v>0</v>
      </c>
      <c r="D378" s="14" t="s">
        <v>895</v>
      </c>
      <c r="E378" s="14" t="s">
        <v>896</v>
      </c>
      <c r="F378" s="14" t="s">
        <v>897</v>
      </c>
      <c r="G378" s="14" t="s">
        <v>3</v>
      </c>
      <c r="H378" s="14" t="s">
        <v>5654</v>
      </c>
      <c r="I378" s="14" t="s">
        <v>898</v>
      </c>
      <c r="J378" s="14" t="s">
        <v>60</v>
      </c>
      <c r="K378" s="14" t="s">
        <v>60</v>
      </c>
      <c r="L378" s="14" t="s">
        <v>60</v>
      </c>
      <c r="M378" s="14" t="s">
        <v>899</v>
      </c>
      <c r="N378" s="14" t="s">
        <v>60</v>
      </c>
      <c r="O378" s="14" t="s">
        <v>60</v>
      </c>
      <c r="P378" s="14" t="s">
        <v>5655</v>
      </c>
      <c r="Q378" s="14" t="s">
        <v>11</v>
      </c>
      <c r="R378" s="3">
        <v>0</v>
      </c>
      <c r="S378" s="3">
        <f t="shared" si="16"/>
        <v>550</v>
      </c>
      <c r="T378" s="3">
        <f t="shared" si="17"/>
        <v>0</v>
      </c>
      <c r="U378" s="3" t="s">
        <v>60</v>
      </c>
      <c r="V378" s="14" t="s">
        <v>6</v>
      </c>
      <c r="W378" s="14" t="s">
        <v>4634</v>
      </c>
      <c r="X378" s="14" t="s">
        <v>60</v>
      </c>
    </row>
    <row r="379" spans="1:24" ht="15" x14ac:dyDescent="0.3">
      <c r="A379" s="3">
        <v>63</v>
      </c>
      <c r="B379" s="3" t="s">
        <v>5656</v>
      </c>
      <c r="C379" s="14" t="s">
        <v>354</v>
      </c>
      <c r="D379" s="14" t="s">
        <v>900</v>
      </c>
      <c r="E379" s="14" t="s">
        <v>4746</v>
      </c>
      <c r="F379" s="14" t="s">
        <v>901</v>
      </c>
      <c r="G379" s="14" t="s">
        <v>3</v>
      </c>
      <c r="H379" s="14" t="s">
        <v>902</v>
      </c>
      <c r="I379" s="14" t="s">
        <v>903</v>
      </c>
      <c r="J379" s="14" t="s">
        <v>60</v>
      </c>
      <c r="K379" s="14" t="s">
        <v>60</v>
      </c>
      <c r="L379" s="14" t="s">
        <v>60</v>
      </c>
      <c r="M379" s="14" t="s">
        <v>904</v>
      </c>
      <c r="N379" s="14" t="s">
        <v>60</v>
      </c>
      <c r="O379" s="14" t="s">
        <v>60</v>
      </c>
      <c r="P379" s="14" t="s">
        <v>5657</v>
      </c>
      <c r="Q379" s="14" t="s">
        <v>11</v>
      </c>
      <c r="R379" s="3">
        <v>0</v>
      </c>
      <c r="S379" s="3">
        <f t="shared" si="16"/>
        <v>550</v>
      </c>
      <c r="T379" s="3">
        <f t="shared" si="17"/>
        <v>0</v>
      </c>
      <c r="U379" s="3" t="s">
        <v>60</v>
      </c>
      <c r="V379" s="14" t="s">
        <v>6</v>
      </c>
      <c r="W379" s="14" t="s">
        <v>5659</v>
      </c>
      <c r="X379" s="14" t="s">
        <v>60</v>
      </c>
    </row>
    <row r="380" spans="1:24" ht="15" x14ac:dyDescent="0.3">
      <c r="A380" s="3">
        <v>64</v>
      </c>
      <c r="B380" s="3" t="s">
        <v>5660</v>
      </c>
      <c r="C380" s="14" t="s">
        <v>128</v>
      </c>
      <c r="D380" s="14" t="s">
        <v>905</v>
      </c>
      <c r="E380" s="14" t="s">
        <v>4200</v>
      </c>
      <c r="F380" s="14" t="s">
        <v>906</v>
      </c>
      <c r="G380" s="14" t="s">
        <v>3</v>
      </c>
      <c r="H380" s="14" t="s">
        <v>907</v>
      </c>
      <c r="I380" s="14" t="s">
        <v>908</v>
      </c>
      <c r="J380" s="14" t="s">
        <v>60</v>
      </c>
      <c r="K380" s="14" t="s">
        <v>60</v>
      </c>
      <c r="L380" s="14" t="s">
        <v>60</v>
      </c>
      <c r="M380" s="14" t="s">
        <v>909</v>
      </c>
      <c r="N380" s="14" t="s">
        <v>60</v>
      </c>
      <c r="O380" s="14" t="s">
        <v>60</v>
      </c>
      <c r="P380" s="14" t="s">
        <v>5661</v>
      </c>
      <c r="Q380" s="14" t="s">
        <v>11</v>
      </c>
      <c r="R380" s="3">
        <v>0</v>
      </c>
      <c r="S380" s="3">
        <f t="shared" si="16"/>
        <v>550</v>
      </c>
      <c r="T380" s="3">
        <f t="shared" si="17"/>
        <v>0</v>
      </c>
      <c r="U380" s="3" t="s">
        <v>60</v>
      </c>
      <c r="V380" s="14" t="s">
        <v>6</v>
      </c>
      <c r="W380" s="14" t="s">
        <v>5659</v>
      </c>
      <c r="X380" s="14" t="s">
        <v>60</v>
      </c>
    </row>
    <row r="381" spans="1:24" ht="15" x14ac:dyDescent="0.3">
      <c r="A381" s="3">
        <v>65</v>
      </c>
      <c r="B381" s="3" t="s">
        <v>5662</v>
      </c>
      <c r="C381" s="14" t="s">
        <v>0</v>
      </c>
      <c r="D381" s="14" t="s">
        <v>910</v>
      </c>
      <c r="E381" s="14" t="s">
        <v>5663</v>
      </c>
      <c r="F381" s="14" t="s">
        <v>447</v>
      </c>
      <c r="G381" s="14" t="s">
        <v>3</v>
      </c>
      <c r="H381" s="14" t="s">
        <v>5664</v>
      </c>
      <c r="I381" s="14" t="s">
        <v>911</v>
      </c>
      <c r="J381" s="14" t="s">
        <v>60</v>
      </c>
      <c r="K381" s="14" t="s">
        <v>60</v>
      </c>
      <c r="L381" s="14" t="s">
        <v>60</v>
      </c>
      <c r="M381" s="14" t="s">
        <v>912</v>
      </c>
      <c r="N381" s="14" t="s">
        <v>60</v>
      </c>
      <c r="O381" s="14" t="s">
        <v>60</v>
      </c>
      <c r="P381" s="14" t="s">
        <v>5665</v>
      </c>
      <c r="Q381" s="14" t="s">
        <v>11</v>
      </c>
      <c r="R381" s="3">
        <v>0</v>
      </c>
      <c r="S381" s="3">
        <f t="shared" ref="S381:S413" si="18">IF(RIGHT(C381,3)="MAZ",550,IF(RIGHT(C381,4)="MATE",570,IF(RIGHT(C381,7)="SKD-III",640,IF(RIGHT(C381,6)="SKD-II",770,IF(RIGHT(C381,5)="SKD-I",900,IF(RIGHT(C381,5)="CPDVR",770,""))))))</f>
        <v>550</v>
      </c>
      <c r="T381" s="3">
        <f t="shared" ref="T381:T413" si="19">R381*S381</f>
        <v>0</v>
      </c>
      <c r="U381" s="3" t="s">
        <v>60</v>
      </c>
      <c r="V381" s="14" t="s">
        <v>6</v>
      </c>
      <c r="W381" s="14" t="s">
        <v>5659</v>
      </c>
      <c r="X381" s="14" t="s">
        <v>60</v>
      </c>
    </row>
    <row r="382" spans="1:24" ht="15" x14ac:dyDescent="0.3">
      <c r="A382" s="3">
        <v>66</v>
      </c>
      <c r="B382" s="3" t="s">
        <v>5666</v>
      </c>
      <c r="C382" s="14" t="s">
        <v>0</v>
      </c>
      <c r="D382" s="14" t="s">
        <v>827</v>
      </c>
      <c r="E382" s="14" t="s">
        <v>4216</v>
      </c>
      <c r="F382" s="14" t="s">
        <v>828</v>
      </c>
      <c r="G382" s="14" t="s">
        <v>3</v>
      </c>
      <c r="H382" s="14" t="s">
        <v>5667</v>
      </c>
      <c r="I382" s="14" t="s">
        <v>829</v>
      </c>
      <c r="J382" s="14" t="s">
        <v>60</v>
      </c>
      <c r="K382" s="14" t="s">
        <v>60</v>
      </c>
      <c r="L382" s="14" t="s">
        <v>60</v>
      </c>
      <c r="M382" s="14" t="s">
        <v>830</v>
      </c>
      <c r="N382" s="14" t="s">
        <v>60</v>
      </c>
      <c r="O382" s="14" t="s">
        <v>25</v>
      </c>
      <c r="P382" s="14" t="s">
        <v>5668</v>
      </c>
      <c r="Q382" s="14" t="s">
        <v>11</v>
      </c>
      <c r="R382" s="3">
        <v>0</v>
      </c>
      <c r="S382" s="3">
        <f t="shared" si="18"/>
        <v>550</v>
      </c>
      <c r="T382" s="3">
        <f t="shared" si="19"/>
        <v>0</v>
      </c>
      <c r="U382" s="3" t="s">
        <v>60</v>
      </c>
      <c r="V382" s="14" t="s">
        <v>6</v>
      </c>
      <c r="W382" s="14" t="s">
        <v>4999</v>
      </c>
      <c r="X382" s="14" t="s">
        <v>60</v>
      </c>
    </row>
    <row r="383" spans="1:24" ht="15" x14ac:dyDescent="0.3">
      <c r="A383" s="3">
        <v>67</v>
      </c>
      <c r="B383" s="3" t="s">
        <v>5669</v>
      </c>
      <c r="C383" s="14" t="s">
        <v>0</v>
      </c>
      <c r="D383" s="14" t="s">
        <v>831</v>
      </c>
      <c r="E383" s="14" t="s">
        <v>4308</v>
      </c>
      <c r="F383" s="14" t="s">
        <v>832</v>
      </c>
      <c r="G383" s="14" t="s">
        <v>3</v>
      </c>
      <c r="H383" s="14" t="s">
        <v>5670</v>
      </c>
      <c r="I383" s="14" t="s">
        <v>833</v>
      </c>
      <c r="J383" s="14" t="s">
        <v>60</v>
      </c>
      <c r="K383" s="14" t="s">
        <v>60</v>
      </c>
      <c r="L383" s="14" t="s">
        <v>60</v>
      </c>
      <c r="M383" s="14" t="s">
        <v>834</v>
      </c>
      <c r="N383" s="14" t="s">
        <v>60</v>
      </c>
      <c r="O383" s="14" t="s">
        <v>25</v>
      </c>
      <c r="P383" s="14" t="s">
        <v>5671</v>
      </c>
      <c r="Q383" s="14" t="s">
        <v>11</v>
      </c>
      <c r="R383" s="3">
        <v>0</v>
      </c>
      <c r="S383" s="3">
        <f t="shared" si="18"/>
        <v>550</v>
      </c>
      <c r="T383" s="3">
        <f t="shared" si="19"/>
        <v>0</v>
      </c>
      <c r="U383" s="3" t="s">
        <v>60</v>
      </c>
      <c r="V383" s="14" t="s">
        <v>6</v>
      </c>
      <c r="W383" s="14" t="s">
        <v>4999</v>
      </c>
      <c r="X383" s="14" t="s">
        <v>60</v>
      </c>
    </row>
    <row r="384" spans="1:24" ht="15" x14ac:dyDescent="0.3">
      <c r="A384" s="3">
        <v>68</v>
      </c>
      <c r="B384" s="3" t="s">
        <v>5672</v>
      </c>
      <c r="C384" s="14" t="s">
        <v>0</v>
      </c>
      <c r="D384" s="14" t="s">
        <v>770</v>
      </c>
      <c r="E384" s="14" t="s">
        <v>5673</v>
      </c>
      <c r="F384" s="14" t="s">
        <v>771</v>
      </c>
      <c r="G384" s="14" t="s">
        <v>121</v>
      </c>
      <c r="H384" s="14" t="s">
        <v>5674</v>
      </c>
      <c r="I384" s="14" t="s">
        <v>772</v>
      </c>
      <c r="J384" s="14" t="s">
        <v>60</v>
      </c>
      <c r="K384" s="14" t="s">
        <v>60</v>
      </c>
      <c r="L384" s="14" t="s">
        <v>60</v>
      </c>
      <c r="M384" s="14" t="s">
        <v>773</v>
      </c>
      <c r="N384" s="14" t="s">
        <v>60</v>
      </c>
      <c r="O384" s="14" t="s">
        <v>25</v>
      </c>
      <c r="P384" s="14" t="s">
        <v>5675</v>
      </c>
      <c r="Q384" s="14" t="s">
        <v>11</v>
      </c>
      <c r="R384" s="3">
        <v>0</v>
      </c>
      <c r="S384" s="3">
        <f t="shared" si="18"/>
        <v>550</v>
      </c>
      <c r="T384" s="3">
        <f t="shared" si="19"/>
        <v>0</v>
      </c>
      <c r="U384" s="3" t="s">
        <v>60</v>
      </c>
      <c r="V384" s="14" t="s">
        <v>6</v>
      </c>
      <c r="W384" s="14" t="s">
        <v>4985</v>
      </c>
      <c r="X384" s="14" t="s">
        <v>60</v>
      </c>
    </row>
    <row r="385" spans="1:24" ht="15" x14ac:dyDescent="0.3">
      <c r="A385" s="3">
        <v>69</v>
      </c>
      <c r="B385" s="3" t="s">
        <v>5676</v>
      </c>
      <c r="C385" s="14" t="s">
        <v>0</v>
      </c>
      <c r="D385" s="14" t="s">
        <v>774</v>
      </c>
      <c r="E385" s="14" t="s">
        <v>5677</v>
      </c>
      <c r="F385" s="14" t="s">
        <v>775</v>
      </c>
      <c r="G385" s="14" t="s">
        <v>121</v>
      </c>
      <c r="H385" s="14" t="s">
        <v>5678</v>
      </c>
      <c r="I385" s="14" t="s">
        <v>776</v>
      </c>
      <c r="J385" s="14" t="s">
        <v>60</v>
      </c>
      <c r="K385" s="14" t="s">
        <v>60</v>
      </c>
      <c r="L385" s="14" t="s">
        <v>60</v>
      </c>
      <c r="M385" s="14" t="s">
        <v>777</v>
      </c>
      <c r="N385" s="14" t="s">
        <v>60</v>
      </c>
      <c r="O385" s="14" t="s">
        <v>25</v>
      </c>
      <c r="P385" s="14" t="s">
        <v>5679</v>
      </c>
      <c r="Q385" s="14" t="s">
        <v>185</v>
      </c>
      <c r="R385" s="3">
        <v>0</v>
      </c>
      <c r="S385" s="3">
        <f t="shared" si="18"/>
        <v>550</v>
      </c>
      <c r="T385" s="3">
        <f t="shared" si="19"/>
        <v>0</v>
      </c>
      <c r="U385" s="3" t="s">
        <v>60</v>
      </c>
      <c r="V385" s="14" t="s">
        <v>6</v>
      </c>
      <c r="W385" s="14" t="s">
        <v>4985</v>
      </c>
      <c r="X385" s="14" t="s">
        <v>60</v>
      </c>
    </row>
    <row r="386" spans="1:24" ht="15" x14ac:dyDescent="0.3">
      <c r="A386" s="3">
        <v>70</v>
      </c>
      <c r="B386" s="3" t="s">
        <v>5680</v>
      </c>
      <c r="C386" s="14" t="s">
        <v>0</v>
      </c>
      <c r="D386" s="14" t="s">
        <v>778</v>
      </c>
      <c r="E386" s="14" t="s">
        <v>4575</v>
      </c>
      <c r="F386" s="14" t="s">
        <v>565</v>
      </c>
      <c r="G386" s="14" t="s">
        <v>121</v>
      </c>
      <c r="H386" s="14" t="s">
        <v>5681</v>
      </c>
      <c r="I386" s="14" t="s">
        <v>779</v>
      </c>
      <c r="J386" s="14" t="s">
        <v>60</v>
      </c>
      <c r="K386" s="14" t="s">
        <v>60</v>
      </c>
      <c r="L386" s="14" t="s">
        <v>60</v>
      </c>
      <c r="M386" s="14" t="s">
        <v>780</v>
      </c>
      <c r="N386" s="14" t="s">
        <v>60</v>
      </c>
      <c r="O386" s="14" t="s">
        <v>25</v>
      </c>
      <c r="P386" s="14" t="s">
        <v>5682</v>
      </c>
      <c r="Q386" s="14" t="s">
        <v>11</v>
      </c>
      <c r="R386" s="3">
        <v>0</v>
      </c>
      <c r="S386" s="3">
        <f t="shared" si="18"/>
        <v>550</v>
      </c>
      <c r="T386" s="3">
        <f t="shared" si="19"/>
        <v>0</v>
      </c>
      <c r="U386" s="3" t="s">
        <v>60</v>
      </c>
      <c r="V386" s="14" t="s">
        <v>6</v>
      </c>
      <c r="W386" s="14" t="s">
        <v>4985</v>
      </c>
      <c r="X386" s="14" t="s">
        <v>60</v>
      </c>
    </row>
    <row r="387" spans="1:24" ht="15" x14ac:dyDescent="0.3">
      <c r="A387" s="3">
        <v>71</v>
      </c>
      <c r="B387" s="3" t="s">
        <v>5683</v>
      </c>
      <c r="C387" s="14" t="s">
        <v>0</v>
      </c>
      <c r="D387" s="14" t="s">
        <v>781</v>
      </c>
      <c r="E387" s="14" t="s">
        <v>5684</v>
      </c>
      <c r="F387" s="14" t="s">
        <v>782</v>
      </c>
      <c r="G387" s="14" t="s">
        <v>3</v>
      </c>
      <c r="H387" s="14" t="s">
        <v>5685</v>
      </c>
      <c r="I387" s="14" t="s">
        <v>783</v>
      </c>
      <c r="J387" s="14" t="s">
        <v>60</v>
      </c>
      <c r="K387" s="14" t="s">
        <v>60</v>
      </c>
      <c r="L387" s="14" t="s">
        <v>60</v>
      </c>
      <c r="M387" s="14" t="s">
        <v>784</v>
      </c>
      <c r="N387" s="14" t="s">
        <v>60</v>
      </c>
      <c r="O387" s="14" t="s">
        <v>25</v>
      </c>
      <c r="P387" s="14" t="s">
        <v>5686</v>
      </c>
      <c r="Q387" s="14" t="s">
        <v>185</v>
      </c>
      <c r="R387" s="3">
        <v>0</v>
      </c>
      <c r="S387" s="3">
        <f t="shared" si="18"/>
        <v>550</v>
      </c>
      <c r="T387" s="3">
        <f t="shared" si="19"/>
        <v>0</v>
      </c>
      <c r="U387" s="3" t="s">
        <v>60</v>
      </c>
      <c r="V387" s="14" t="s">
        <v>6</v>
      </c>
      <c r="W387" s="14" t="s">
        <v>4985</v>
      </c>
      <c r="X387" s="14" t="s">
        <v>60</v>
      </c>
    </row>
    <row r="388" spans="1:24" ht="15" x14ac:dyDescent="0.3">
      <c r="A388" s="3">
        <v>72</v>
      </c>
      <c r="B388" s="3" t="s">
        <v>5687</v>
      </c>
      <c r="C388" s="14" t="s">
        <v>26</v>
      </c>
      <c r="D388" s="14" t="s">
        <v>1319</v>
      </c>
      <c r="E388" s="14" t="s">
        <v>5688</v>
      </c>
      <c r="F388" s="14" t="s">
        <v>1320</v>
      </c>
      <c r="G388" s="14" t="s">
        <v>3</v>
      </c>
      <c r="H388" s="14" t="s">
        <v>3377</v>
      </c>
      <c r="I388" s="14" t="s">
        <v>1321</v>
      </c>
      <c r="J388" s="14" t="s">
        <v>60</v>
      </c>
      <c r="K388" s="14" t="s">
        <v>60</v>
      </c>
      <c r="L388" s="14" t="s">
        <v>60</v>
      </c>
      <c r="M388" s="14" t="s">
        <v>60</v>
      </c>
      <c r="N388" s="14" t="s">
        <v>60</v>
      </c>
      <c r="O388" s="14" t="s">
        <v>60</v>
      </c>
      <c r="P388" s="14" t="s">
        <v>1322</v>
      </c>
      <c r="Q388" s="14" t="s">
        <v>1323</v>
      </c>
      <c r="R388" s="3">
        <v>0</v>
      </c>
      <c r="S388" s="3">
        <f t="shared" si="18"/>
        <v>770</v>
      </c>
      <c r="T388" s="3">
        <f t="shared" si="19"/>
        <v>0</v>
      </c>
      <c r="U388" s="3" t="s">
        <v>60</v>
      </c>
      <c r="V388" s="14" t="s">
        <v>3889</v>
      </c>
      <c r="W388" s="14" t="s">
        <v>5424</v>
      </c>
      <c r="X388" s="14" t="s">
        <v>60</v>
      </c>
    </row>
    <row r="389" spans="1:24" ht="15" x14ac:dyDescent="0.3">
      <c r="A389" s="3">
        <v>73</v>
      </c>
      <c r="B389" s="3" t="s">
        <v>5689</v>
      </c>
      <c r="C389" s="14" t="s">
        <v>26</v>
      </c>
      <c r="D389" s="14" t="s">
        <v>1244</v>
      </c>
      <c r="E389" s="14" t="s">
        <v>5690</v>
      </c>
      <c r="F389" s="14" t="s">
        <v>1245</v>
      </c>
      <c r="G389" s="14" t="s">
        <v>3</v>
      </c>
      <c r="H389" s="14" t="s">
        <v>5691</v>
      </c>
      <c r="I389" s="14" t="s">
        <v>1246</v>
      </c>
      <c r="J389" s="14" t="s">
        <v>60</v>
      </c>
      <c r="K389" s="14" t="s">
        <v>60</v>
      </c>
      <c r="L389" s="14" t="s">
        <v>60</v>
      </c>
      <c r="M389" s="14" t="s">
        <v>60</v>
      </c>
      <c r="N389" s="14" t="s">
        <v>60</v>
      </c>
      <c r="O389" s="14" t="s">
        <v>60</v>
      </c>
      <c r="P389" s="14" t="s">
        <v>1247</v>
      </c>
      <c r="Q389" s="14" t="s">
        <v>1248</v>
      </c>
      <c r="R389" s="3">
        <v>0</v>
      </c>
      <c r="S389" s="3">
        <f t="shared" si="18"/>
        <v>770</v>
      </c>
      <c r="T389" s="3">
        <f t="shared" si="19"/>
        <v>0</v>
      </c>
      <c r="U389" s="3" t="s">
        <v>60</v>
      </c>
      <c r="V389" s="14" t="s">
        <v>4208</v>
      </c>
      <c r="W389" s="14" t="s">
        <v>5424</v>
      </c>
      <c r="X389" s="14" t="s">
        <v>60</v>
      </c>
    </row>
    <row r="390" spans="1:24" ht="15" x14ac:dyDescent="0.3">
      <c r="A390" s="3">
        <v>74</v>
      </c>
      <c r="B390" s="3" t="s">
        <v>5692</v>
      </c>
      <c r="C390" s="14" t="s">
        <v>0</v>
      </c>
      <c r="D390" s="14" t="s">
        <v>3342</v>
      </c>
      <c r="E390" s="14" t="s">
        <v>5693</v>
      </c>
      <c r="F390" s="14" t="s">
        <v>3332</v>
      </c>
      <c r="G390" s="14" t="s">
        <v>3</v>
      </c>
      <c r="H390" s="14" t="s">
        <v>5694</v>
      </c>
      <c r="I390" s="14" t="s">
        <v>3393</v>
      </c>
      <c r="J390" s="14" t="s">
        <v>60</v>
      </c>
      <c r="K390" s="14" t="s">
        <v>60</v>
      </c>
      <c r="L390" s="14" t="s">
        <v>60</v>
      </c>
      <c r="M390" s="14" t="s">
        <v>3394</v>
      </c>
      <c r="N390" s="14" t="s">
        <v>60</v>
      </c>
      <c r="O390" s="14" t="s">
        <v>60</v>
      </c>
      <c r="P390" s="14" t="s">
        <v>5695</v>
      </c>
      <c r="Q390" s="14" t="s">
        <v>11</v>
      </c>
      <c r="R390" s="3">
        <v>0</v>
      </c>
      <c r="S390" s="3">
        <f t="shared" si="18"/>
        <v>550</v>
      </c>
      <c r="T390" s="3">
        <f t="shared" si="19"/>
        <v>0</v>
      </c>
      <c r="U390" s="3" t="s">
        <v>60</v>
      </c>
      <c r="V390" s="14" t="s">
        <v>4208</v>
      </c>
      <c r="W390" s="14" t="s">
        <v>5696</v>
      </c>
      <c r="X390" s="14" t="s">
        <v>60</v>
      </c>
    </row>
    <row r="391" spans="1:24" ht="15" x14ac:dyDescent="0.3">
      <c r="A391" s="3">
        <v>75</v>
      </c>
      <c r="B391" s="3" t="s">
        <v>5697</v>
      </c>
      <c r="C391" s="14" t="s">
        <v>0</v>
      </c>
      <c r="D391" s="14" t="s">
        <v>3322</v>
      </c>
      <c r="E391" s="14" t="s">
        <v>5698</v>
      </c>
      <c r="F391" s="14" t="s">
        <v>3333</v>
      </c>
      <c r="G391" s="14" t="s">
        <v>121</v>
      </c>
      <c r="H391" s="14" t="s">
        <v>5699</v>
      </c>
      <c r="I391" s="14" t="s">
        <v>3395</v>
      </c>
      <c r="J391" s="14" t="s">
        <v>60</v>
      </c>
      <c r="K391" s="14" t="s">
        <v>60</v>
      </c>
      <c r="L391" s="14" t="s">
        <v>60</v>
      </c>
      <c r="M391" s="14" t="s">
        <v>3396</v>
      </c>
      <c r="N391" s="14" t="s">
        <v>60</v>
      </c>
      <c r="O391" s="14" t="s">
        <v>60</v>
      </c>
      <c r="P391" s="14" t="s">
        <v>5700</v>
      </c>
      <c r="Q391" s="14" t="s">
        <v>11</v>
      </c>
      <c r="R391" s="3">
        <v>0</v>
      </c>
      <c r="S391" s="3">
        <f t="shared" si="18"/>
        <v>550</v>
      </c>
      <c r="T391" s="3">
        <f t="shared" si="19"/>
        <v>0</v>
      </c>
      <c r="U391" s="3" t="s">
        <v>60</v>
      </c>
      <c r="V391" s="14" t="s">
        <v>4208</v>
      </c>
      <c r="W391" s="14" t="s">
        <v>5696</v>
      </c>
      <c r="X391" s="14" t="s">
        <v>60</v>
      </c>
    </row>
    <row r="392" spans="1:24" ht="15" x14ac:dyDescent="0.3">
      <c r="A392" s="3">
        <v>76</v>
      </c>
      <c r="B392" s="3" t="s">
        <v>5701</v>
      </c>
      <c r="C392" s="14" t="s">
        <v>0</v>
      </c>
      <c r="D392" s="14" t="s">
        <v>3323</v>
      </c>
      <c r="E392" s="14" t="s">
        <v>5702</v>
      </c>
      <c r="F392" s="14" t="s">
        <v>3334</v>
      </c>
      <c r="G392" s="14" t="s">
        <v>121</v>
      </c>
      <c r="H392" s="14" t="s">
        <v>5703</v>
      </c>
      <c r="I392" s="14" t="s">
        <v>3397</v>
      </c>
      <c r="J392" s="14" t="s">
        <v>60</v>
      </c>
      <c r="K392" s="14" t="s">
        <v>60</v>
      </c>
      <c r="L392" s="14" t="s">
        <v>60</v>
      </c>
      <c r="M392" s="14" t="s">
        <v>3398</v>
      </c>
      <c r="N392" s="14" t="s">
        <v>60</v>
      </c>
      <c r="O392" s="14" t="s">
        <v>60</v>
      </c>
      <c r="P392" s="14" t="s">
        <v>5704</v>
      </c>
      <c r="Q392" s="14" t="s">
        <v>11</v>
      </c>
      <c r="R392" s="3">
        <v>0</v>
      </c>
      <c r="S392" s="3">
        <f t="shared" si="18"/>
        <v>550</v>
      </c>
      <c r="T392" s="3">
        <f t="shared" si="19"/>
        <v>0</v>
      </c>
      <c r="U392" s="3" t="s">
        <v>60</v>
      </c>
      <c r="V392" s="14" t="s">
        <v>4208</v>
      </c>
      <c r="W392" s="14" t="s">
        <v>5696</v>
      </c>
      <c r="X392" s="14" t="s">
        <v>60</v>
      </c>
    </row>
    <row r="393" spans="1:24" ht="15" x14ac:dyDescent="0.3">
      <c r="A393" s="3">
        <v>77</v>
      </c>
      <c r="B393" s="3" t="s">
        <v>5705</v>
      </c>
      <c r="C393" s="14" t="s">
        <v>0</v>
      </c>
      <c r="D393" s="14" t="s">
        <v>3511</v>
      </c>
      <c r="E393" s="14" t="s">
        <v>5706</v>
      </c>
      <c r="F393" s="14" t="s">
        <v>3518</v>
      </c>
      <c r="G393" s="14" t="s">
        <v>121</v>
      </c>
      <c r="H393" s="14" t="s">
        <v>5707</v>
      </c>
      <c r="I393" s="14" t="s">
        <v>3742</v>
      </c>
      <c r="J393" s="14" t="s">
        <v>60</v>
      </c>
      <c r="K393" s="14" t="s">
        <v>60</v>
      </c>
      <c r="L393" s="14" t="s">
        <v>60</v>
      </c>
      <c r="M393" s="14" t="s">
        <v>3743</v>
      </c>
      <c r="N393" s="14" t="s">
        <v>60</v>
      </c>
      <c r="O393" s="14" t="s">
        <v>60</v>
      </c>
      <c r="P393" s="14" t="s">
        <v>5708</v>
      </c>
      <c r="Q393" s="14" t="s">
        <v>11</v>
      </c>
      <c r="R393" s="3">
        <v>0</v>
      </c>
      <c r="S393" s="3">
        <f t="shared" si="18"/>
        <v>550</v>
      </c>
      <c r="T393" s="3">
        <f t="shared" si="19"/>
        <v>0</v>
      </c>
      <c r="U393" s="3" t="s">
        <v>60</v>
      </c>
      <c r="V393" s="14" t="s">
        <v>6</v>
      </c>
      <c r="W393" s="14" t="s">
        <v>4444</v>
      </c>
      <c r="X393" s="14" t="s">
        <v>60</v>
      </c>
    </row>
    <row r="394" spans="1:24" ht="15" x14ac:dyDescent="0.3">
      <c r="A394" s="3">
        <v>78</v>
      </c>
      <c r="B394" s="3" t="s">
        <v>5709</v>
      </c>
      <c r="C394" s="14" t="s">
        <v>0</v>
      </c>
      <c r="D394" s="14" t="s">
        <v>3512</v>
      </c>
      <c r="E394" s="14" t="s">
        <v>5710</v>
      </c>
      <c r="F394" s="14" t="s">
        <v>3525</v>
      </c>
      <c r="G394" s="14" t="s">
        <v>3</v>
      </c>
      <c r="H394" s="14" t="s">
        <v>5711</v>
      </c>
      <c r="I394" s="14" t="s">
        <v>3744</v>
      </c>
      <c r="J394" s="14" t="s">
        <v>60</v>
      </c>
      <c r="K394" s="14" t="s">
        <v>60</v>
      </c>
      <c r="L394" s="14" t="s">
        <v>60</v>
      </c>
      <c r="M394" s="14" t="s">
        <v>3745</v>
      </c>
      <c r="N394" s="14" t="s">
        <v>60</v>
      </c>
      <c r="O394" s="14" t="s">
        <v>60</v>
      </c>
      <c r="P394" s="14" t="s">
        <v>5712</v>
      </c>
      <c r="Q394" s="14" t="s">
        <v>180</v>
      </c>
      <c r="R394" s="3">
        <v>0</v>
      </c>
      <c r="S394" s="3">
        <f t="shared" si="18"/>
        <v>550</v>
      </c>
      <c r="T394" s="3">
        <f t="shared" si="19"/>
        <v>0</v>
      </c>
      <c r="U394" s="3" t="s">
        <v>60</v>
      </c>
      <c r="V394" s="14" t="s">
        <v>6</v>
      </c>
      <c r="W394" s="14" t="s">
        <v>4444</v>
      </c>
      <c r="X394" s="14" t="s">
        <v>60</v>
      </c>
    </row>
    <row r="395" spans="1:24" ht="15" x14ac:dyDescent="0.3">
      <c r="A395" s="3">
        <v>79</v>
      </c>
      <c r="B395" s="3" t="s">
        <v>5713</v>
      </c>
      <c r="C395" s="14" t="s">
        <v>0</v>
      </c>
      <c r="D395" s="14" t="s">
        <v>849</v>
      </c>
      <c r="E395" s="14" t="s">
        <v>5714</v>
      </c>
      <c r="F395" s="14" t="s">
        <v>3519</v>
      </c>
      <c r="G395" s="14" t="s">
        <v>3</v>
      </c>
      <c r="H395" s="14" t="s">
        <v>5715</v>
      </c>
      <c r="I395" s="14" t="s">
        <v>3746</v>
      </c>
      <c r="J395" s="14" t="s">
        <v>60</v>
      </c>
      <c r="K395" s="14" t="s">
        <v>60</v>
      </c>
      <c r="L395" s="14" t="s">
        <v>60</v>
      </c>
      <c r="M395" s="14" t="s">
        <v>3747</v>
      </c>
      <c r="N395" s="14" t="s">
        <v>60</v>
      </c>
      <c r="O395" s="14" t="s">
        <v>60</v>
      </c>
      <c r="P395" s="14" t="s">
        <v>5716</v>
      </c>
      <c r="Q395" s="14" t="s">
        <v>185</v>
      </c>
      <c r="R395" s="3">
        <v>0</v>
      </c>
      <c r="S395" s="3">
        <f t="shared" si="18"/>
        <v>550</v>
      </c>
      <c r="T395" s="3">
        <f t="shared" si="19"/>
        <v>0</v>
      </c>
      <c r="U395" s="3" t="s">
        <v>60</v>
      </c>
      <c r="V395" s="14" t="s">
        <v>6</v>
      </c>
      <c r="W395" s="14" t="s">
        <v>4444</v>
      </c>
      <c r="X395" s="14" t="s">
        <v>60</v>
      </c>
    </row>
    <row r="396" spans="1:24" ht="15" x14ac:dyDescent="0.3">
      <c r="A396" s="3">
        <v>80</v>
      </c>
      <c r="B396" s="3" t="s">
        <v>5717</v>
      </c>
      <c r="C396" s="14" t="s">
        <v>0</v>
      </c>
      <c r="D396" s="14" t="s">
        <v>3513</v>
      </c>
      <c r="E396" s="14" t="s">
        <v>5718</v>
      </c>
      <c r="F396" s="14" t="s">
        <v>3520</v>
      </c>
      <c r="G396" s="14" t="s">
        <v>3</v>
      </c>
      <c r="H396" s="14" t="s">
        <v>3748</v>
      </c>
      <c r="I396" s="14" t="s">
        <v>3749</v>
      </c>
      <c r="J396" s="14" t="s">
        <v>60</v>
      </c>
      <c r="K396" s="14" t="s">
        <v>60</v>
      </c>
      <c r="L396" s="14" t="s">
        <v>60</v>
      </c>
      <c r="M396" s="14" t="s">
        <v>3750</v>
      </c>
      <c r="N396" s="14" t="s">
        <v>60</v>
      </c>
      <c r="O396" s="14" t="s">
        <v>60</v>
      </c>
      <c r="P396" s="14" t="s">
        <v>5719</v>
      </c>
      <c r="Q396" s="14" t="s">
        <v>11</v>
      </c>
      <c r="R396" s="3">
        <v>0</v>
      </c>
      <c r="S396" s="3">
        <f t="shared" si="18"/>
        <v>550</v>
      </c>
      <c r="T396" s="3">
        <f t="shared" si="19"/>
        <v>0</v>
      </c>
      <c r="U396" s="3" t="s">
        <v>5720</v>
      </c>
      <c r="V396" s="14" t="s">
        <v>6</v>
      </c>
      <c r="W396" s="14" t="s">
        <v>4444</v>
      </c>
      <c r="X396" s="14" t="s">
        <v>60</v>
      </c>
    </row>
    <row r="397" spans="1:24" ht="15" x14ac:dyDescent="0.3">
      <c r="A397" s="3">
        <v>81</v>
      </c>
      <c r="B397" s="3" t="s">
        <v>5721</v>
      </c>
      <c r="C397" s="14" t="s">
        <v>0</v>
      </c>
      <c r="D397" s="14" t="s">
        <v>5722</v>
      </c>
      <c r="E397" s="14" t="s">
        <v>5723</v>
      </c>
      <c r="F397" s="14" t="s">
        <v>3521</v>
      </c>
      <c r="G397" s="14" t="s">
        <v>121</v>
      </c>
      <c r="H397" s="14" t="s">
        <v>5724</v>
      </c>
      <c r="I397" s="14" t="s">
        <v>3751</v>
      </c>
      <c r="J397" s="14" t="s">
        <v>60</v>
      </c>
      <c r="K397" s="14" t="s">
        <v>60</v>
      </c>
      <c r="L397" s="14" t="s">
        <v>60</v>
      </c>
      <c r="M397" s="14" t="s">
        <v>3752</v>
      </c>
      <c r="N397" s="14" t="s">
        <v>60</v>
      </c>
      <c r="O397" s="14" t="s">
        <v>60</v>
      </c>
      <c r="P397" s="14" t="s">
        <v>5725</v>
      </c>
      <c r="Q397" s="14" t="s">
        <v>180</v>
      </c>
      <c r="R397" s="3">
        <v>0</v>
      </c>
      <c r="S397" s="3">
        <f t="shared" si="18"/>
        <v>550</v>
      </c>
      <c r="T397" s="3">
        <f t="shared" si="19"/>
        <v>0</v>
      </c>
      <c r="U397" s="3" t="s">
        <v>60</v>
      </c>
      <c r="V397" s="14" t="s">
        <v>6</v>
      </c>
      <c r="W397" s="14" t="s">
        <v>4444</v>
      </c>
      <c r="X397" s="14" t="s">
        <v>60</v>
      </c>
    </row>
    <row r="398" spans="1:24" ht="15" x14ac:dyDescent="0.3">
      <c r="A398" s="3">
        <v>82</v>
      </c>
      <c r="B398" s="3" t="s">
        <v>5726</v>
      </c>
      <c r="C398" s="14" t="s">
        <v>0</v>
      </c>
      <c r="D398" s="14" t="s">
        <v>3514</v>
      </c>
      <c r="E398" s="14" t="s">
        <v>5727</v>
      </c>
      <c r="F398" s="14" t="s">
        <v>3522</v>
      </c>
      <c r="G398" s="14" t="s">
        <v>3</v>
      </c>
      <c r="H398" s="14" t="s">
        <v>5728</v>
      </c>
      <c r="I398" s="14" t="s">
        <v>3753</v>
      </c>
      <c r="J398" s="14" t="s">
        <v>60</v>
      </c>
      <c r="K398" s="14" t="s">
        <v>60</v>
      </c>
      <c r="L398" s="14" t="s">
        <v>60</v>
      </c>
      <c r="M398" s="14" t="s">
        <v>3754</v>
      </c>
      <c r="N398" s="14" t="s">
        <v>60</v>
      </c>
      <c r="O398" s="14" t="s">
        <v>60</v>
      </c>
      <c r="P398" s="14" t="s">
        <v>5729</v>
      </c>
      <c r="Q398" s="14" t="s">
        <v>3526</v>
      </c>
      <c r="R398" s="3">
        <v>0</v>
      </c>
      <c r="S398" s="3">
        <f t="shared" si="18"/>
        <v>550</v>
      </c>
      <c r="T398" s="3">
        <f t="shared" si="19"/>
        <v>0</v>
      </c>
      <c r="U398" s="3" t="s">
        <v>60</v>
      </c>
      <c r="V398" s="14" t="s">
        <v>6</v>
      </c>
      <c r="W398" s="14" t="s">
        <v>4444</v>
      </c>
      <c r="X398" s="14" t="s">
        <v>60</v>
      </c>
    </row>
    <row r="399" spans="1:24" ht="15" x14ac:dyDescent="0.3">
      <c r="A399" s="3">
        <v>83</v>
      </c>
      <c r="B399" s="3" t="s">
        <v>5730</v>
      </c>
      <c r="C399" s="14" t="s">
        <v>0</v>
      </c>
      <c r="D399" s="14" t="s">
        <v>3515</v>
      </c>
      <c r="E399" s="14" t="s">
        <v>5731</v>
      </c>
      <c r="F399" s="14" t="s">
        <v>3522</v>
      </c>
      <c r="G399" s="14" t="s">
        <v>3</v>
      </c>
      <c r="H399" s="14" t="s">
        <v>3755</v>
      </c>
      <c r="I399" s="14" t="s">
        <v>3756</v>
      </c>
      <c r="J399" s="14" t="s">
        <v>60</v>
      </c>
      <c r="K399" s="14" t="s">
        <v>60</v>
      </c>
      <c r="L399" s="14" t="s">
        <v>60</v>
      </c>
      <c r="M399" s="14" t="s">
        <v>3757</v>
      </c>
      <c r="N399" s="14" t="s">
        <v>60</v>
      </c>
      <c r="O399" s="14" t="s">
        <v>60</v>
      </c>
      <c r="P399" s="14" t="s">
        <v>5732</v>
      </c>
      <c r="Q399" s="14" t="s">
        <v>3526</v>
      </c>
      <c r="R399" s="3">
        <v>0</v>
      </c>
      <c r="S399" s="3">
        <f t="shared" si="18"/>
        <v>550</v>
      </c>
      <c r="T399" s="3">
        <f t="shared" si="19"/>
        <v>0</v>
      </c>
      <c r="U399" s="3" t="s">
        <v>60</v>
      </c>
      <c r="V399" s="14" t="s">
        <v>6</v>
      </c>
      <c r="W399" s="14" t="s">
        <v>4444</v>
      </c>
      <c r="X399" s="14" t="s">
        <v>60</v>
      </c>
    </row>
    <row r="400" spans="1:24" ht="15" x14ac:dyDescent="0.3">
      <c r="A400" s="3">
        <v>84</v>
      </c>
      <c r="B400" s="3" t="s">
        <v>5733</v>
      </c>
      <c r="C400" s="14" t="s">
        <v>0</v>
      </c>
      <c r="D400" s="14" t="s">
        <v>767</v>
      </c>
      <c r="E400" s="14" t="s">
        <v>5435</v>
      </c>
      <c r="F400" s="14" t="s">
        <v>3523</v>
      </c>
      <c r="G400" s="14" t="s">
        <v>3</v>
      </c>
      <c r="H400" s="14" t="s">
        <v>5734</v>
      </c>
      <c r="I400" s="14" t="s">
        <v>3758</v>
      </c>
      <c r="J400" s="14" t="s">
        <v>60</v>
      </c>
      <c r="K400" s="14" t="s">
        <v>60</v>
      </c>
      <c r="L400" s="14" t="s">
        <v>60</v>
      </c>
      <c r="M400" s="14" t="s">
        <v>3759</v>
      </c>
      <c r="N400" s="14" t="s">
        <v>60</v>
      </c>
      <c r="O400" s="14" t="s">
        <v>60</v>
      </c>
      <c r="P400" s="14" t="s">
        <v>5735</v>
      </c>
      <c r="Q400" s="14" t="s">
        <v>3526</v>
      </c>
      <c r="R400" s="3">
        <v>0</v>
      </c>
      <c r="S400" s="3">
        <f t="shared" si="18"/>
        <v>550</v>
      </c>
      <c r="T400" s="3">
        <f t="shared" si="19"/>
        <v>0</v>
      </c>
      <c r="U400" s="3" t="s">
        <v>60</v>
      </c>
      <c r="V400" s="14" t="s">
        <v>6</v>
      </c>
      <c r="W400" s="14" t="s">
        <v>4444</v>
      </c>
      <c r="X400" s="14" t="s">
        <v>60</v>
      </c>
    </row>
    <row r="401" spans="1:24" ht="15" x14ac:dyDescent="0.3">
      <c r="A401" s="3">
        <v>85</v>
      </c>
      <c r="B401" s="3" t="s">
        <v>5736</v>
      </c>
      <c r="C401" s="14" t="s">
        <v>0</v>
      </c>
      <c r="D401" s="14" t="s">
        <v>3516</v>
      </c>
      <c r="E401" s="14" t="s">
        <v>5737</v>
      </c>
      <c r="F401" s="14" t="s">
        <v>3515</v>
      </c>
      <c r="G401" s="14" t="s">
        <v>121</v>
      </c>
      <c r="H401" s="14" t="s">
        <v>5738</v>
      </c>
      <c r="I401" s="14" t="s">
        <v>3760</v>
      </c>
      <c r="J401" s="14" t="s">
        <v>60</v>
      </c>
      <c r="K401" s="14" t="s">
        <v>60</v>
      </c>
      <c r="L401" s="14" t="s">
        <v>60</v>
      </c>
      <c r="M401" s="14" t="s">
        <v>3761</v>
      </c>
      <c r="N401" s="14" t="s">
        <v>60</v>
      </c>
      <c r="O401" s="14" t="s">
        <v>60</v>
      </c>
      <c r="P401" s="14" t="s">
        <v>5739</v>
      </c>
      <c r="Q401" s="14" t="s">
        <v>3526</v>
      </c>
      <c r="R401" s="3">
        <v>0</v>
      </c>
      <c r="S401" s="3">
        <f t="shared" si="18"/>
        <v>550</v>
      </c>
      <c r="T401" s="3">
        <f t="shared" si="19"/>
        <v>0</v>
      </c>
      <c r="U401" s="3" t="s">
        <v>60</v>
      </c>
      <c r="V401" s="14" t="s">
        <v>6</v>
      </c>
      <c r="W401" s="14" t="s">
        <v>4444</v>
      </c>
      <c r="X401" s="14" t="s">
        <v>60</v>
      </c>
    </row>
    <row r="402" spans="1:24" ht="15" x14ac:dyDescent="0.3">
      <c r="A402" s="3">
        <v>86</v>
      </c>
      <c r="B402" s="3" t="s">
        <v>5740</v>
      </c>
      <c r="C402" s="14" t="s">
        <v>0</v>
      </c>
      <c r="D402" s="14" t="s">
        <v>3517</v>
      </c>
      <c r="E402" s="14" t="s">
        <v>5741</v>
      </c>
      <c r="F402" s="14" t="s">
        <v>3524</v>
      </c>
      <c r="G402" s="14" t="s">
        <v>121</v>
      </c>
      <c r="H402" s="14" t="s">
        <v>5742</v>
      </c>
      <c r="I402" s="14" t="s">
        <v>3762</v>
      </c>
      <c r="J402" s="14" t="s">
        <v>60</v>
      </c>
      <c r="K402" s="14" t="s">
        <v>60</v>
      </c>
      <c r="L402" s="14" t="s">
        <v>60</v>
      </c>
      <c r="M402" s="14" t="s">
        <v>3763</v>
      </c>
      <c r="N402" s="14" t="s">
        <v>60</v>
      </c>
      <c r="O402" s="14" t="s">
        <v>60</v>
      </c>
      <c r="P402" s="14" t="s">
        <v>5743</v>
      </c>
      <c r="Q402" s="14" t="s">
        <v>3526</v>
      </c>
      <c r="R402" s="3">
        <v>0</v>
      </c>
      <c r="S402" s="3">
        <f t="shared" si="18"/>
        <v>550</v>
      </c>
      <c r="T402" s="3">
        <f t="shared" si="19"/>
        <v>0</v>
      </c>
      <c r="U402" s="3" t="s">
        <v>60</v>
      </c>
      <c r="V402" s="14" t="s">
        <v>6</v>
      </c>
      <c r="W402" s="14" t="s">
        <v>4444</v>
      </c>
      <c r="X402" s="14" t="s">
        <v>60</v>
      </c>
    </row>
    <row r="403" spans="1:24" ht="15" x14ac:dyDescent="0.3">
      <c r="A403" s="3">
        <v>87</v>
      </c>
      <c r="B403" s="3" t="s">
        <v>446</v>
      </c>
      <c r="C403" s="14" t="s">
        <v>0</v>
      </c>
      <c r="D403" s="14" t="s">
        <v>447</v>
      </c>
      <c r="E403" s="14" t="s">
        <v>5744</v>
      </c>
      <c r="F403" s="14" t="s">
        <v>448</v>
      </c>
      <c r="G403" s="14" t="s">
        <v>3</v>
      </c>
      <c r="H403" s="14" t="s">
        <v>5745</v>
      </c>
      <c r="I403" s="14" t="s">
        <v>5746</v>
      </c>
      <c r="J403" s="14" t="s">
        <v>60</v>
      </c>
      <c r="K403" s="14" t="s">
        <v>60</v>
      </c>
      <c r="L403" s="14" t="s">
        <v>60</v>
      </c>
      <c r="M403" s="14" t="s">
        <v>449</v>
      </c>
      <c r="N403" s="14" t="s">
        <v>60</v>
      </c>
      <c r="O403" s="14" t="s">
        <v>59</v>
      </c>
      <c r="P403" s="14" t="s">
        <v>5747</v>
      </c>
      <c r="Q403" s="14" t="s">
        <v>185</v>
      </c>
      <c r="R403" s="3">
        <v>0</v>
      </c>
      <c r="S403" s="3">
        <f t="shared" si="18"/>
        <v>550</v>
      </c>
      <c r="T403" s="3">
        <f t="shared" si="19"/>
        <v>0</v>
      </c>
      <c r="U403" s="3" t="s">
        <v>60</v>
      </c>
      <c r="V403" s="14" t="s">
        <v>6</v>
      </c>
      <c r="W403" s="14" t="s">
        <v>4287</v>
      </c>
      <c r="X403" s="14" t="s">
        <v>60</v>
      </c>
    </row>
    <row r="404" spans="1:24" ht="15" x14ac:dyDescent="0.3">
      <c r="A404" s="3">
        <v>88</v>
      </c>
      <c r="B404" s="3" t="s">
        <v>5748</v>
      </c>
      <c r="C404" s="14" t="s">
        <v>0</v>
      </c>
      <c r="D404" s="14" t="s">
        <v>595</v>
      </c>
      <c r="E404" s="14" t="s">
        <v>5749</v>
      </c>
      <c r="F404" s="14" t="s">
        <v>596</v>
      </c>
      <c r="G404" s="14" t="s">
        <v>121</v>
      </c>
      <c r="H404" s="14" t="s">
        <v>5750</v>
      </c>
      <c r="I404" s="14" t="s">
        <v>597</v>
      </c>
      <c r="J404" s="14" t="s">
        <v>60</v>
      </c>
      <c r="K404" s="14" t="s">
        <v>60</v>
      </c>
      <c r="L404" s="14" t="s">
        <v>60</v>
      </c>
      <c r="M404" s="14" t="s">
        <v>60</v>
      </c>
      <c r="N404" s="14" t="s">
        <v>60</v>
      </c>
      <c r="O404" s="14" t="s">
        <v>558</v>
      </c>
      <c r="P404" s="14" t="s">
        <v>5751</v>
      </c>
      <c r="Q404" s="14" t="s">
        <v>11</v>
      </c>
      <c r="R404" s="3">
        <v>0</v>
      </c>
      <c r="S404" s="3">
        <f t="shared" si="18"/>
        <v>550</v>
      </c>
      <c r="T404" s="3">
        <f t="shared" si="19"/>
        <v>0</v>
      </c>
      <c r="U404" s="3" t="s">
        <v>60</v>
      </c>
      <c r="V404" s="14" t="s">
        <v>6</v>
      </c>
      <c r="W404" s="14" t="s">
        <v>4287</v>
      </c>
      <c r="X404" s="14" t="s">
        <v>60</v>
      </c>
    </row>
    <row r="405" spans="1:24" ht="15" x14ac:dyDescent="0.3">
      <c r="A405" s="3">
        <v>89</v>
      </c>
      <c r="B405" s="3" t="s">
        <v>5752</v>
      </c>
      <c r="C405" s="14" t="s">
        <v>146</v>
      </c>
      <c r="D405" s="14" t="s">
        <v>3907</v>
      </c>
      <c r="E405" s="14" t="s">
        <v>5753</v>
      </c>
      <c r="F405" s="14" t="s">
        <v>3908</v>
      </c>
      <c r="G405" s="14" t="s">
        <v>3</v>
      </c>
      <c r="H405" s="14" t="s">
        <v>3916</v>
      </c>
      <c r="I405" s="14" t="s">
        <v>3917</v>
      </c>
      <c r="J405" s="14" t="s">
        <v>60</v>
      </c>
      <c r="K405" s="14" t="s">
        <v>60</v>
      </c>
      <c r="L405" s="14" t="s">
        <v>60</v>
      </c>
      <c r="M405" s="14" t="s">
        <v>3909</v>
      </c>
      <c r="N405" s="14" t="s">
        <v>60</v>
      </c>
      <c r="O405" s="14" t="s">
        <v>3910</v>
      </c>
      <c r="P405" s="14" t="s">
        <v>5754</v>
      </c>
      <c r="Q405" s="14" t="s">
        <v>185</v>
      </c>
      <c r="R405" s="3">
        <v>0</v>
      </c>
      <c r="S405" s="3">
        <f t="shared" si="18"/>
        <v>570</v>
      </c>
      <c r="T405" s="3">
        <f t="shared" si="19"/>
        <v>0</v>
      </c>
      <c r="U405" s="3" t="s">
        <v>60</v>
      </c>
      <c r="V405" s="14" t="s">
        <v>6</v>
      </c>
      <c r="W405" s="14" t="s">
        <v>5755</v>
      </c>
      <c r="X405" s="14" t="s">
        <v>60</v>
      </c>
    </row>
    <row r="406" spans="1:24" ht="15" x14ac:dyDescent="0.3">
      <c r="A406" s="3">
        <v>90</v>
      </c>
      <c r="B406" s="3" t="s">
        <v>5756</v>
      </c>
      <c r="C406" s="14" t="s">
        <v>0</v>
      </c>
      <c r="D406" s="14" t="s">
        <v>423</v>
      </c>
      <c r="E406" s="14" t="s">
        <v>5757</v>
      </c>
      <c r="F406" s="14" t="s">
        <v>424</v>
      </c>
      <c r="G406" s="14" t="s">
        <v>3</v>
      </c>
      <c r="H406" s="14" t="s">
        <v>5758</v>
      </c>
      <c r="I406" s="14" t="s">
        <v>5759</v>
      </c>
      <c r="J406" s="14" t="s">
        <v>60</v>
      </c>
      <c r="K406" s="14" t="s">
        <v>60</v>
      </c>
      <c r="L406" s="14" t="s">
        <v>60</v>
      </c>
      <c r="M406" s="14" t="s">
        <v>425</v>
      </c>
      <c r="N406" s="14" t="s">
        <v>60</v>
      </c>
      <c r="O406" s="14" t="s">
        <v>59</v>
      </c>
      <c r="P406" s="14" t="s">
        <v>5760</v>
      </c>
      <c r="Q406" s="14" t="s">
        <v>426</v>
      </c>
      <c r="R406" s="3">
        <v>0</v>
      </c>
      <c r="S406" s="3">
        <f t="shared" si="18"/>
        <v>550</v>
      </c>
      <c r="T406" s="3">
        <f t="shared" si="19"/>
        <v>0</v>
      </c>
      <c r="U406" s="3" t="s">
        <v>60</v>
      </c>
      <c r="V406" s="14" t="s">
        <v>6</v>
      </c>
      <c r="W406" s="14" t="s">
        <v>4287</v>
      </c>
      <c r="X406" s="14" t="s">
        <v>60</v>
      </c>
    </row>
    <row r="407" spans="1:24" ht="15" x14ac:dyDescent="0.3">
      <c r="A407" s="3">
        <v>91</v>
      </c>
      <c r="B407" s="3" t="s">
        <v>5761</v>
      </c>
      <c r="C407" s="14" t="s">
        <v>0</v>
      </c>
      <c r="D407" s="14" t="s">
        <v>505</v>
      </c>
      <c r="E407" s="14" t="s">
        <v>5762</v>
      </c>
      <c r="F407" s="14" t="s">
        <v>506</v>
      </c>
      <c r="G407" s="14" t="s">
        <v>3</v>
      </c>
      <c r="H407" s="14" t="s">
        <v>5763</v>
      </c>
      <c r="I407" s="14" t="s">
        <v>507</v>
      </c>
      <c r="J407" s="14" t="s">
        <v>60</v>
      </c>
      <c r="K407" s="14" t="s">
        <v>60</v>
      </c>
      <c r="L407" s="14" t="s">
        <v>60</v>
      </c>
      <c r="M407" s="14" t="s">
        <v>508</v>
      </c>
      <c r="N407" s="14" t="s">
        <v>60</v>
      </c>
      <c r="O407" s="14" t="s">
        <v>25</v>
      </c>
      <c r="P407" s="14" t="s">
        <v>5764</v>
      </c>
      <c r="Q407" s="14" t="s">
        <v>11</v>
      </c>
      <c r="R407" s="3">
        <v>0</v>
      </c>
      <c r="S407" s="3">
        <f t="shared" si="18"/>
        <v>550</v>
      </c>
      <c r="T407" s="3">
        <f t="shared" si="19"/>
        <v>0</v>
      </c>
      <c r="U407" s="3" t="s">
        <v>60</v>
      </c>
      <c r="V407" s="14" t="s">
        <v>6</v>
      </c>
      <c r="W407" s="14" t="s">
        <v>5248</v>
      </c>
      <c r="X407" s="14" t="s">
        <v>60</v>
      </c>
    </row>
    <row r="408" spans="1:24" ht="15" x14ac:dyDescent="0.3">
      <c r="A408" s="3">
        <v>92</v>
      </c>
      <c r="B408" s="3" t="s">
        <v>5765</v>
      </c>
      <c r="C408" s="14" t="s">
        <v>0</v>
      </c>
      <c r="D408" s="14" t="s">
        <v>727</v>
      </c>
      <c r="E408" s="14" t="s">
        <v>4746</v>
      </c>
      <c r="F408" s="14" t="s">
        <v>728</v>
      </c>
      <c r="G408" s="14" t="s">
        <v>3</v>
      </c>
      <c r="H408" s="14" t="s">
        <v>5766</v>
      </c>
      <c r="I408" s="14" t="s">
        <v>729</v>
      </c>
      <c r="J408" s="14" t="s">
        <v>60</v>
      </c>
      <c r="K408" s="14" t="s">
        <v>60</v>
      </c>
      <c r="L408" s="14" t="s">
        <v>60</v>
      </c>
      <c r="M408" s="14" t="s">
        <v>730</v>
      </c>
      <c r="N408" s="14" t="s">
        <v>60</v>
      </c>
      <c r="O408" s="14" t="s">
        <v>25</v>
      </c>
      <c r="P408" s="14" t="s">
        <v>5767</v>
      </c>
      <c r="Q408" s="14" t="s">
        <v>11</v>
      </c>
      <c r="R408" s="3">
        <v>0</v>
      </c>
      <c r="S408" s="3">
        <f t="shared" si="18"/>
        <v>550</v>
      </c>
      <c r="T408" s="3">
        <f t="shared" si="19"/>
        <v>0</v>
      </c>
      <c r="U408" s="3" t="s">
        <v>60</v>
      </c>
      <c r="V408" s="14" t="s">
        <v>6</v>
      </c>
      <c r="W408" s="14" t="s">
        <v>4985</v>
      </c>
      <c r="X408" s="14" t="s">
        <v>60</v>
      </c>
    </row>
    <row r="409" spans="1:24" ht="15" x14ac:dyDescent="0.3">
      <c r="A409" s="3">
        <v>93</v>
      </c>
      <c r="B409" s="3" t="s">
        <v>5768</v>
      </c>
      <c r="C409" s="14" t="s">
        <v>0</v>
      </c>
      <c r="D409" s="14" t="s">
        <v>744</v>
      </c>
      <c r="E409" s="14" t="s">
        <v>4778</v>
      </c>
      <c r="F409" s="14" t="s">
        <v>745</v>
      </c>
      <c r="G409" s="14" t="s">
        <v>3</v>
      </c>
      <c r="H409" s="14" t="s">
        <v>5769</v>
      </c>
      <c r="I409" s="14" t="s">
        <v>746</v>
      </c>
      <c r="J409" s="14" t="s">
        <v>60</v>
      </c>
      <c r="K409" s="14" t="s">
        <v>60</v>
      </c>
      <c r="L409" s="14" t="s">
        <v>60</v>
      </c>
      <c r="M409" s="14" t="s">
        <v>747</v>
      </c>
      <c r="N409" s="14" t="s">
        <v>60</v>
      </c>
      <c r="O409" s="14" t="s">
        <v>25</v>
      </c>
      <c r="P409" s="14" t="s">
        <v>5770</v>
      </c>
      <c r="Q409" s="14" t="s">
        <v>11</v>
      </c>
      <c r="R409" s="3">
        <v>0</v>
      </c>
      <c r="S409" s="3">
        <f t="shared" si="18"/>
        <v>550</v>
      </c>
      <c r="T409" s="3">
        <f t="shared" si="19"/>
        <v>0</v>
      </c>
      <c r="U409" s="3" t="s">
        <v>60</v>
      </c>
      <c r="V409" s="14" t="s">
        <v>6</v>
      </c>
      <c r="W409" s="14" t="s">
        <v>5248</v>
      </c>
      <c r="X409" s="14" t="s">
        <v>60</v>
      </c>
    </row>
    <row r="410" spans="1:24" ht="15" x14ac:dyDescent="0.3">
      <c r="A410" s="3">
        <v>94</v>
      </c>
      <c r="B410" s="3" t="s">
        <v>5771</v>
      </c>
      <c r="C410" s="14" t="s">
        <v>0</v>
      </c>
      <c r="D410" s="14" t="s">
        <v>748</v>
      </c>
      <c r="E410" s="14" t="s">
        <v>4195</v>
      </c>
      <c r="F410" s="14" t="s">
        <v>749</v>
      </c>
      <c r="G410" s="14" t="s">
        <v>3</v>
      </c>
      <c r="H410" s="14" t="s">
        <v>750</v>
      </c>
      <c r="I410" s="14" t="s">
        <v>751</v>
      </c>
      <c r="J410" s="14" t="s">
        <v>60</v>
      </c>
      <c r="K410" s="14" t="s">
        <v>60</v>
      </c>
      <c r="L410" s="14" t="s">
        <v>60</v>
      </c>
      <c r="M410" s="14" t="s">
        <v>752</v>
      </c>
      <c r="N410" s="14" t="s">
        <v>60</v>
      </c>
      <c r="O410" s="14" t="s">
        <v>25</v>
      </c>
      <c r="P410" s="14" t="s">
        <v>5772</v>
      </c>
      <c r="Q410" s="14" t="s">
        <v>11</v>
      </c>
      <c r="R410" s="3">
        <v>0</v>
      </c>
      <c r="S410" s="3">
        <f t="shared" si="18"/>
        <v>550</v>
      </c>
      <c r="T410" s="3">
        <f t="shared" si="19"/>
        <v>0</v>
      </c>
      <c r="U410" s="3" t="s">
        <v>60</v>
      </c>
      <c r="V410" s="14" t="s">
        <v>6</v>
      </c>
      <c r="W410" s="14" t="s">
        <v>5248</v>
      </c>
      <c r="X410" s="14" t="s">
        <v>60</v>
      </c>
    </row>
    <row r="411" spans="1:24" ht="15" x14ac:dyDescent="0.3">
      <c r="A411" s="3">
        <v>95</v>
      </c>
      <c r="B411" s="3" t="s">
        <v>5773</v>
      </c>
      <c r="C411" s="14" t="s">
        <v>0</v>
      </c>
      <c r="D411" s="14" t="s">
        <v>3467</v>
      </c>
      <c r="E411" s="14" t="s">
        <v>5258</v>
      </c>
      <c r="F411" s="14" t="s">
        <v>3476</v>
      </c>
      <c r="G411" s="14" t="s">
        <v>3</v>
      </c>
      <c r="H411" s="14" t="s">
        <v>5774</v>
      </c>
      <c r="I411" s="14" t="s">
        <v>3689</v>
      </c>
      <c r="J411" s="14" t="s">
        <v>60</v>
      </c>
      <c r="K411" s="14" t="s">
        <v>60</v>
      </c>
      <c r="L411" s="14" t="s">
        <v>60</v>
      </c>
      <c r="M411" s="14" t="s">
        <v>3690</v>
      </c>
      <c r="N411" s="14" t="s">
        <v>60</v>
      </c>
      <c r="O411" s="14" t="s">
        <v>60</v>
      </c>
      <c r="P411" s="14" t="s">
        <v>5775</v>
      </c>
      <c r="Q411" s="14" t="s">
        <v>11</v>
      </c>
      <c r="R411" s="3">
        <v>0</v>
      </c>
      <c r="S411" s="3">
        <f t="shared" si="18"/>
        <v>550</v>
      </c>
      <c r="T411" s="3">
        <f t="shared" si="19"/>
        <v>0</v>
      </c>
      <c r="U411" s="3" t="s">
        <v>60</v>
      </c>
      <c r="V411" s="14" t="s">
        <v>6</v>
      </c>
      <c r="W411" s="14" t="s">
        <v>4500</v>
      </c>
      <c r="X411" s="14" t="s">
        <v>60</v>
      </c>
    </row>
    <row r="412" spans="1:24" ht="15.6" x14ac:dyDescent="0.3">
      <c r="A412" s="3">
        <v>96</v>
      </c>
      <c r="B412" s="25" t="s">
        <v>5776</v>
      </c>
      <c r="C412" s="14" t="s">
        <v>0</v>
      </c>
      <c r="D412" s="14" t="s">
        <v>4108</v>
      </c>
      <c r="E412" s="14" t="s">
        <v>5777</v>
      </c>
      <c r="F412" s="14" t="s">
        <v>4109</v>
      </c>
      <c r="G412" s="14" t="s">
        <v>3</v>
      </c>
      <c r="H412" s="14" t="s">
        <v>5778</v>
      </c>
      <c r="I412" s="14" t="s">
        <v>5779</v>
      </c>
      <c r="J412" s="14" t="s">
        <v>60</v>
      </c>
      <c r="K412" s="14" t="s">
        <v>60</v>
      </c>
      <c r="L412" s="14" t="s">
        <v>60</v>
      </c>
      <c r="M412" s="14" t="s">
        <v>5780</v>
      </c>
      <c r="N412" s="14" t="s">
        <v>60</v>
      </c>
      <c r="O412" s="14" t="s">
        <v>60</v>
      </c>
      <c r="P412" s="14" t="s">
        <v>5781</v>
      </c>
      <c r="Q412" s="14" t="s">
        <v>739</v>
      </c>
      <c r="R412" s="3">
        <v>0</v>
      </c>
      <c r="S412" s="3">
        <f t="shared" si="18"/>
        <v>550</v>
      </c>
      <c r="T412" s="3">
        <f t="shared" si="19"/>
        <v>0</v>
      </c>
      <c r="U412" s="3" t="s">
        <v>60</v>
      </c>
      <c r="V412" s="14" t="s">
        <v>6</v>
      </c>
      <c r="W412" s="14" t="s">
        <v>4495</v>
      </c>
      <c r="X412" s="14" t="s">
        <v>60</v>
      </c>
    </row>
    <row r="413" spans="1:24" ht="15.6" x14ac:dyDescent="0.3">
      <c r="A413" s="3">
        <v>97</v>
      </c>
      <c r="B413" s="25" t="s">
        <v>5782</v>
      </c>
      <c r="C413" s="14" t="s">
        <v>0</v>
      </c>
      <c r="D413" s="14" t="s">
        <v>4110</v>
      </c>
      <c r="E413" s="14" t="s">
        <v>5783</v>
      </c>
      <c r="F413" s="14" t="s">
        <v>4111</v>
      </c>
      <c r="G413" s="14" t="s">
        <v>3</v>
      </c>
      <c r="H413" s="14" t="s">
        <v>5784</v>
      </c>
      <c r="I413" s="14" t="s">
        <v>5785</v>
      </c>
      <c r="J413" s="14" t="s">
        <v>60</v>
      </c>
      <c r="K413" s="14" t="s">
        <v>60</v>
      </c>
      <c r="L413" s="14" t="s">
        <v>60</v>
      </c>
      <c r="M413" s="14" t="s">
        <v>5786</v>
      </c>
      <c r="N413" s="14" t="s">
        <v>60</v>
      </c>
      <c r="O413" s="14"/>
      <c r="P413" s="14" t="s">
        <v>5787</v>
      </c>
      <c r="Q413" s="14" t="s">
        <v>4112</v>
      </c>
      <c r="R413" s="3">
        <v>0</v>
      </c>
      <c r="S413" s="3">
        <f t="shared" si="18"/>
        <v>550</v>
      </c>
      <c r="T413" s="3">
        <f t="shared" si="19"/>
        <v>0</v>
      </c>
      <c r="U413" s="3" t="s">
        <v>5788</v>
      </c>
      <c r="V413" s="14" t="s">
        <v>6</v>
      </c>
      <c r="W413" s="14" t="s">
        <v>4495</v>
      </c>
      <c r="X413" s="14" t="s">
        <v>60</v>
      </c>
    </row>
    <row r="414" spans="1:24" ht="15.6" x14ac:dyDescent="0.3">
      <c r="A414" s="26" t="s">
        <v>60</v>
      </c>
      <c r="B414" s="26" t="s">
        <v>60</v>
      </c>
      <c r="C414" s="27" t="s">
        <v>60</v>
      </c>
      <c r="D414" s="27" t="s">
        <v>60</v>
      </c>
      <c r="E414" s="27" t="s">
        <v>60</v>
      </c>
      <c r="F414" s="27" t="s">
        <v>60</v>
      </c>
      <c r="G414" s="27" t="s">
        <v>60</v>
      </c>
      <c r="H414" s="27" t="s">
        <v>60</v>
      </c>
      <c r="I414" s="27" t="s">
        <v>60</v>
      </c>
      <c r="J414" s="27" t="s">
        <v>60</v>
      </c>
      <c r="K414" s="27" t="s">
        <v>60</v>
      </c>
      <c r="L414" s="27" t="s">
        <v>60</v>
      </c>
      <c r="M414" s="27" t="s">
        <v>60</v>
      </c>
      <c r="N414" s="27" t="s">
        <v>60</v>
      </c>
      <c r="O414" s="27" t="s">
        <v>60</v>
      </c>
      <c r="P414" s="27" t="s">
        <v>60</v>
      </c>
      <c r="Q414" s="27" t="s">
        <v>60</v>
      </c>
      <c r="R414" s="35" t="s">
        <v>2009</v>
      </c>
      <c r="S414" s="35" t="s">
        <v>60</v>
      </c>
      <c r="T414" s="26">
        <f>SUM(T316:T413)</f>
        <v>0</v>
      </c>
      <c r="U414" s="26" t="s">
        <v>5789</v>
      </c>
      <c r="V414" s="27" t="s">
        <v>60</v>
      </c>
      <c r="W414" s="27" t="s">
        <v>60</v>
      </c>
      <c r="X414" s="27" t="s">
        <v>60</v>
      </c>
    </row>
    <row r="415" spans="1:24" ht="15.6" x14ac:dyDescent="0.3">
      <c r="A415" s="34" t="s">
        <v>5790</v>
      </c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 spans="1:24" ht="109.2" x14ac:dyDescent="0.3">
      <c r="A416" s="23" t="s">
        <v>42</v>
      </c>
      <c r="B416" s="23" t="s">
        <v>43</v>
      </c>
      <c r="C416" s="24" t="s">
        <v>44</v>
      </c>
      <c r="D416" s="24" t="s">
        <v>4154</v>
      </c>
      <c r="E416" s="24" t="s">
        <v>4155</v>
      </c>
      <c r="F416" s="24" t="s">
        <v>4156</v>
      </c>
      <c r="G416" s="24" t="s">
        <v>45</v>
      </c>
      <c r="H416" s="24" t="s">
        <v>4157</v>
      </c>
      <c r="I416" s="24" t="s">
        <v>46</v>
      </c>
      <c r="J416" s="24" t="s">
        <v>4158</v>
      </c>
      <c r="K416" s="24" t="s">
        <v>4159</v>
      </c>
      <c r="L416" s="24" t="s">
        <v>4160</v>
      </c>
      <c r="M416" s="24" t="s">
        <v>4161</v>
      </c>
      <c r="N416" s="24" t="s">
        <v>47</v>
      </c>
      <c r="O416" s="24" t="s">
        <v>48</v>
      </c>
      <c r="P416" s="24" t="s">
        <v>49</v>
      </c>
      <c r="Q416" s="24" t="s">
        <v>50</v>
      </c>
      <c r="R416" s="23" t="s">
        <v>4162</v>
      </c>
      <c r="S416" s="23" t="s">
        <v>4163</v>
      </c>
      <c r="T416" s="23" t="s">
        <v>4164</v>
      </c>
      <c r="U416" s="23" t="s">
        <v>4165</v>
      </c>
      <c r="V416" s="24" t="s">
        <v>51</v>
      </c>
      <c r="W416" s="24" t="s">
        <v>52</v>
      </c>
      <c r="X416" s="24" t="s">
        <v>53</v>
      </c>
    </row>
    <row r="417" spans="1:24" ht="15" x14ac:dyDescent="0.3">
      <c r="A417" s="3">
        <v>1</v>
      </c>
      <c r="B417" s="3" t="s">
        <v>5791</v>
      </c>
      <c r="C417" s="14" t="s">
        <v>69</v>
      </c>
      <c r="D417" s="14" t="s">
        <v>598</v>
      </c>
      <c r="E417" s="14" t="s">
        <v>5792</v>
      </c>
      <c r="F417" s="14" t="s">
        <v>599</v>
      </c>
      <c r="G417" s="14" t="s">
        <v>3</v>
      </c>
      <c r="H417" s="14" t="s">
        <v>5793</v>
      </c>
      <c r="I417" s="14" t="s">
        <v>600</v>
      </c>
      <c r="J417" s="14" t="s">
        <v>60</v>
      </c>
      <c r="K417" s="14" t="s">
        <v>60</v>
      </c>
      <c r="L417" s="14" t="s">
        <v>60</v>
      </c>
      <c r="M417" s="14" t="s">
        <v>601</v>
      </c>
      <c r="N417" s="14" t="s">
        <v>60</v>
      </c>
      <c r="O417" s="14" t="s">
        <v>558</v>
      </c>
      <c r="P417" s="14" t="s">
        <v>5794</v>
      </c>
      <c r="Q417" s="14" t="s">
        <v>185</v>
      </c>
      <c r="R417" s="3">
        <v>0</v>
      </c>
      <c r="S417" s="3">
        <f t="shared" ref="S417:S428" si="20">IF(RIGHT(C417,3)="MAZ",550,IF(RIGHT(C417,4)="MATE",570,IF(RIGHT(C417,7)="SKD-III",640,IF(RIGHT(C417,6)="SKD-II",770,IF(RIGHT(C417,5)="SKD-I",900,IF(RIGHT(C417,5)="CPDVR",770,""))))))</f>
        <v>570</v>
      </c>
      <c r="T417" s="3">
        <f t="shared" ref="T417:T428" si="21">R417*S417</f>
        <v>0</v>
      </c>
      <c r="U417" s="3" t="s">
        <v>60</v>
      </c>
      <c r="V417" s="14" t="s">
        <v>6</v>
      </c>
      <c r="W417" s="14" t="s">
        <v>4287</v>
      </c>
      <c r="X417" s="14" t="s">
        <v>60</v>
      </c>
    </row>
    <row r="418" spans="1:24" ht="15" x14ac:dyDescent="0.3">
      <c r="A418" s="3">
        <v>2</v>
      </c>
      <c r="B418" s="3" t="s">
        <v>700</v>
      </c>
      <c r="C418" s="14" t="s">
        <v>14</v>
      </c>
      <c r="D418" s="14" t="s">
        <v>701</v>
      </c>
      <c r="E418" s="14" t="s">
        <v>5792</v>
      </c>
      <c r="F418" s="14" t="s">
        <v>702</v>
      </c>
      <c r="G418" s="14" t="s">
        <v>3</v>
      </c>
      <c r="H418" s="14" t="s">
        <v>5795</v>
      </c>
      <c r="I418" s="14" t="s">
        <v>703</v>
      </c>
      <c r="J418" s="14" t="s">
        <v>60</v>
      </c>
      <c r="K418" s="14" t="s">
        <v>60</v>
      </c>
      <c r="L418" s="14" t="s">
        <v>60</v>
      </c>
      <c r="M418" s="14" t="s">
        <v>704</v>
      </c>
      <c r="N418" s="14" t="s">
        <v>60</v>
      </c>
      <c r="O418" s="14" t="s">
        <v>179</v>
      </c>
      <c r="P418" s="14" t="s">
        <v>5796</v>
      </c>
      <c r="Q418" s="14" t="s">
        <v>185</v>
      </c>
      <c r="R418" s="3">
        <v>0</v>
      </c>
      <c r="S418" s="3">
        <f t="shared" si="20"/>
        <v>640</v>
      </c>
      <c r="T418" s="3">
        <f t="shared" si="21"/>
        <v>0</v>
      </c>
      <c r="U418" s="3" t="s">
        <v>60</v>
      </c>
      <c r="V418" s="14" t="s">
        <v>6</v>
      </c>
      <c r="W418" s="14" t="s">
        <v>4287</v>
      </c>
      <c r="X418" s="14" t="s">
        <v>60</v>
      </c>
    </row>
    <row r="419" spans="1:24" ht="15" x14ac:dyDescent="0.3">
      <c r="A419" s="3">
        <v>3</v>
      </c>
      <c r="B419" s="3" t="s">
        <v>5797</v>
      </c>
      <c r="C419" s="14" t="s">
        <v>0</v>
      </c>
      <c r="D419" s="14" t="s">
        <v>589</v>
      </c>
      <c r="E419" s="14" t="s">
        <v>5798</v>
      </c>
      <c r="F419" s="14" t="s">
        <v>584</v>
      </c>
      <c r="G419" s="14" t="s">
        <v>3</v>
      </c>
      <c r="H419" s="14" t="s">
        <v>5799</v>
      </c>
      <c r="I419" s="14" t="s">
        <v>5800</v>
      </c>
      <c r="J419" s="14" t="s">
        <v>60</v>
      </c>
      <c r="K419" s="14" t="s">
        <v>60</v>
      </c>
      <c r="L419" s="14" t="s">
        <v>590</v>
      </c>
      <c r="M419" s="14" t="s">
        <v>591</v>
      </c>
      <c r="N419" s="14" t="s">
        <v>60</v>
      </c>
      <c r="O419" s="14" t="s">
        <v>558</v>
      </c>
      <c r="P419" s="14" t="s">
        <v>5801</v>
      </c>
      <c r="Q419" s="14" t="s">
        <v>185</v>
      </c>
      <c r="R419" s="3">
        <v>0</v>
      </c>
      <c r="S419" s="3">
        <f t="shared" si="20"/>
        <v>550</v>
      </c>
      <c r="T419" s="3">
        <f t="shared" si="21"/>
        <v>0</v>
      </c>
      <c r="U419" s="3" t="s">
        <v>60</v>
      </c>
      <c r="V419" s="14" t="s">
        <v>6</v>
      </c>
      <c r="W419" s="14" t="s">
        <v>4287</v>
      </c>
      <c r="X419" s="14" t="s">
        <v>60</v>
      </c>
    </row>
    <row r="420" spans="1:24" ht="15" x14ac:dyDescent="0.3">
      <c r="A420" s="3">
        <v>4</v>
      </c>
      <c r="B420" s="3" t="s">
        <v>5802</v>
      </c>
      <c r="C420" s="14" t="s">
        <v>0</v>
      </c>
      <c r="D420" s="14" t="s">
        <v>592</v>
      </c>
      <c r="E420" s="14" t="s">
        <v>5544</v>
      </c>
      <c r="F420" s="14" t="s">
        <v>593</v>
      </c>
      <c r="G420" s="14" t="s">
        <v>3</v>
      </c>
      <c r="H420" s="14" t="s">
        <v>5803</v>
      </c>
      <c r="I420" s="14" t="s">
        <v>594</v>
      </c>
      <c r="J420" s="14" t="s">
        <v>60</v>
      </c>
      <c r="K420" s="14" t="s">
        <v>60</v>
      </c>
      <c r="L420" s="14" t="s">
        <v>60</v>
      </c>
      <c r="M420" s="14" t="s">
        <v>60</v>
      </c>
      <c r="N420" s="14" t="s">
        <v>60</v>
      </c>
      <c r="O420" s="14" t="s">
        <v>5804</v>
      </c>
      <c r="P420" s="14" t="s">
        <v>5805</v>
      </c>
      <c r="Q420" s="14" t="s">
        <v>180</v>
      </c>
      <c r="R420" s="3">
        <v>0</v>
      </c>
      <c r="S420" s="3">
        <f t="shared" si="20"/>
        <v>550</v>
      </c>
      <c r="T420" s="3">
        <f t="shared" si="21"/>
        <v>0</v>
      </c>
      <c r="U420" s="3" t="s">
        <v>60</v>
      </c>
      <c r="V420" s="14" t="s">
        <v>6</v>
      </c>
      <c r="W420" s="14" t="s">
        <v>4287</v>
      </c>
      <c r="X420" s="14" t="s">
        <v>60</v>
      </c>
    </row>
    <row r="421" spans="1:24" ht="15" x14ac:dyDescent="0.3">
      <c r="A421" s="3">
        <v>5</v>
      </c>
      <c r="B421" s="3" t="s">
        <v>5806</v>
      </c>
      <c r="C421" s="14" t="s">
        <v>0</v>
      </c>
      <c r="D421" s="14" t="s">
        <v>608</v>
      </c>
      <c r="E421" s="14" t="s">
        <v>5807</v>
      </c>
      <c r="F421" s="14" t="s">
        <v>609</v>
      </c>
      <c r="G421" s="14" t="s">
        <v>121</v>
      </c>
      <c r="H421" s="14" t="s">
        <v>5808</v>
      </c>
      <c r="I421" s="14" t="s">
        <v>610</v>
      </c>
      <c r="J421" s="14" t="s">
        <v>60</v>
      </c>
      <c r="K421" s="14" t="s">
        <v>60</v>
      </c>
      <c r="L421" s="14" t="s">
        <v>590</v>
      </c>
      <c r="M421" s="14" t="s">
        <v>611</v>
      </c>
      <c r="N421" s="14" t="s">
        <v>612</v>
      </c>
      <c r="O421" s="14" t="s">
        <v>558</v>
      </c>
      <c r="P421" s="14" t="s">
        <v>5809</v>
      </c>
      <c r="Q421" s="14" t="s">
        <v>185</v>
      </c>
      <c r="R421" s="3">
        <v>0</v>
      </c>
      <c r="S421" s="3">
        <f t="shared" si="20"/>
        <v>550</v>
      </c>
      <c r="T421" s="3">
        <f t="shared" si="21"/>
        <v>0</v>
      </c>
      <c r="U421" s="3" t="s">
        <v>60</v>
      </c>
      <c r="V421" s="14" t="s">
        <v>6</v>
      </c>
      <c r="W421" s="14" t="s">
        <v>4287</v>
      </c>
      <c r="X421" s="14" t="s">
        <v>60</v>
      </c>
    </row>
    <row r="422" spans="1:24" ht="15" x14ac:dyDescent="0.3">
      <c r="A422" s="3">
        <v>6</v>
      </c>
      <c r="B422" s="3" t="s">
        <v>5810</v>
      </c>
      <c r="C422" s="14" t="s">
        <v>0</v>
      </c>
      <c r="D422" s="14" t="s">
        <v>613</v>
      </c>
      <c r="E422" s="14" t="s">
        <v>5811</v>
      </c>
      <c r="F422" s="14" t="s">
        <v>614</v>
      </c>
      <c r="G422" s="14" t="s">
        <v>121</v>
      </c>
      <c r="H422" s="14" t="s">
        <v>5812</v>
      </c>
      <c r="I422" s="14" t="s">
        <v>5813</v>
      </c>
      <c r="J422" s="14" t="s">
        <v>228</v>
      </c>
      <c r="K422" s="14" t="s">
        <v>60</v>
      </c>
      <c r="L422" s="14" t="s">
        <v>590</v>
      </c>
      <c r="M422" s="14" t="s">
        <v>615</v>
      </c>
      <c r="N422" s="14" t="s">
        <v>616</v>
      </c>
      <c r="O422" s="14" t="s">
        <v>558</v>
      </c>
      <c r="P422" s="14" t="s">
        <v>5814</v>
      </c>
      <c r="Q422" s="14" t="s">
        <v>11</v>
      </c>
      <c r="R422" s="3">
        <v>0</v>
      </c>
      <c r="S422" s="3">
        <f t="shared" si="20"/>
        <v>550</v>
      </c>
      <c r="T422" s="3">
        <f t="shared" si="21"/>
        <v>0</v>
      </c>
      <c r="U422" s="3" t="s">
        <v>60</v>
      </c>
      <c r="V422" s="14" t="s">
        <v>6</v>
      </c>
      <c r="W422" s="14" t="s">
        <v>4287</v>
      </c>
      <c r="X422" s="14" t="s">
        <v>60</v>
      </c>
    </row>
    <row r="423" spans="1:24" ht="15" x14ac:dyDescent="0.3">
      <c r="A423" s="3">
        <v>7</v>
      </c>
      <c r="B423" s="3" t="s">
        <v>5815</v>
      </c>
      <c r="C423" s="14" t="s">
        <v>0</v>
      </c>
      <c r="D423" s="14" t="s">
        <v>617</v>
      </c>
      <c r="E423" s="14" t="s">
        <v>5816</v>
      </c>
      <c r="F423" s="14" t="s">
        <v>618</v>
      </c>
      <c r="G423" s="14" t="s">
        <v>121</v>
      </c>
      <c r="H423" s="14" t="s">
        <v>5817</v>
      </c>
      <c r="I423" s="14" t="s">
        <v>5818</v>
      </c>
      <c r="J423" s="14" t="s">
        <v>60</v>
      </c>
      <c r="K423" s="14" t="s">
        <v>60</v>
      </c>
      <c r="L423" s="14" t="s">
        <v>60</v>
      </c>
      <c r="M423" s="14" t="s">
        <v>619</v>
      </c>
      <c r="N423" s="14" t="s">
        <v>60</v>
      </c>
      <c r="O423" s="14" t="s">
        <v>558</v>
      </c>
      <c r="P423" s="14" t="s">
        <v>5819</v>
      </c>
      <c r="Q423" s="14" t="s">
        <v>185</v>
      </c>
      <c r="R423" s="3">
        <v>0</v>
      </c>
      <c r="S423" s="3">
        <f t="shared" si="20"/>
        <v>550</v>
      </c>
      <c r="T423" s="3">
        <f t="shared" si="21"/>
        <v>0</v>
      </c>
      <c r="U423" s="3" t="s">
        <v>60</v>
      </c>
      <c r="V423" s="14" t="s">
        <v>6</v>
      </c>
      <c r="W423" s="14" t="s">
        <v>4287</v>
      </c>
      <c r="X423" s="14" t="s">
        <v>60</v>
      </c>
    </row>
    <row r="424" spans="1:24" ht="15" x14ac:dyDescent="0.3">
      <c r="A424" s="3">
        <v>8</v>
      </c>
      <c r="B424" s="3" t="s">
        <v>5820</v>
      </c>
      <c r="C424" s="14" t="s">
        <v>0</v>
      </c>
      <c r="D424" s="14" t="s">
        <v>620</v>
      </c>
      <c r="E424" s="14" t="s">
        <v>5821</v>
      </c>
      <c r="F424" s="14" t="s">
        <v>621</v>
      </c>
      <c r="G424" s="14" t="s">
        <v>121</v>
      </c>
      <c r="H424" s="14" t="s">
        <v>5822</v>
      </c>
      <c r="I424" s="14" t="s">
        <v>622</v>
      </c>
      <c r="J424" s="14" t="s">
        <v>60</v>
      </c>
      <c r="K424" s="14" t="s">
        <v>60</v>
      </c>
      <c r="L424" s="14" t="s">
        <v>590</v>
      </c>
      <c r="M424" s="14" t="s">
        <v>60</v>
      </c>
      <c r="N424" s="14" t="s">
        <v>60</v>
      </c>
      <c r="O424" s="14" t="s">
        <v>558</v>
      </c>
      <c r="P424" s="14" t="s">
        <v>5823</v>
      </c>
      <c r="Q424" s="14" t="s">
        <v>185</v>
      </c>
      <c r="R424" s="3">
        <v>0</v>
      </c>
      <c r="S424" s="3">
        <f t="shared" si="20"/>
        <v>550</v>
      </c>
      <c r="T424" s="3">
        <f t="shared" si="21"/>
        <v>0</v>
      </c>
      <c r="U424" s="3" t="s">
        <v>60</v>
      </c>
      <c r="V424" s="14" t="s">
        <v>6</v>
      </c>
      <c r="W424" s="14" t="s">
        <v>4287</v>
      </c>
      <c r="X424" s="14" t="s">
        <v>60</v>
      </c>
    </row>
    <row r="425" spans="1:24" ht="15" x14ac:dyDescent="0.3">
      <c r="A425" s="3">
        <v>9</v>
      </c>
      <c r="B425" s="3" t="s">
        <v>5824</v>
      </c>
      <c r="C425" s="14" t="s">
        <v>0</v>
      </c>
      <c r="D425" s="14" t="s">
        <v>631</v>
      </c>
      <c r="E425" s="14" t="s">
        <v>4815</v>
      </c>
      <c r="F425" s="14" t="s">
        <v>632</v>
      </c>
      <c r="G425" s="14" t="s">
        <v>3</v>
      </c>
      <c r="H425" s="14" t="s">
        <v>5825</v>
      </c>
      <c r="I425" s="14" t="s">
        <v>633</v>
      </c>
      <c r="J425" s="14" t="s">
        <v>60</v>
      </c>
      <c r="K425" s="14" t="s">
        <v>60</v>
      </c>
      <c r="L425" s="14" t="s">
        <v>60</v>
      </c>
      <c r="M425" s="14" t="s">
        <v>634</v>
      </c>
      <c r="N425" s="14" t="s">
        <v>60</v>
      </c>
      <c r="O425" s="14" t="s">
        <v>558</v>
      </c>
      <c r="P425" s="14" t="s">
        <v>5826</v>
      </c>
      <c r="Q425" s="14" t="s">
        <v>426</v>
      </c>
      <c r="R425" s="3">
        <v>0</v>
      </c>
      <c r="S425" s="3">
        <f t="shared" si="20"/>
        <v>550</v>
      </c>
      <c r="T425" s="3">
        <f t="shared" si="21"/>
        <v>0</v>
      </c>
      <c r="U425" s="3" t="s">
        <v>60</v>
      </c>
      <c r="V425" s="14" t="s">
        <v>6</v>
      </c>
      <c r="W425" s="14" t="s">
        <v>5388</v>
      </c>
      <c r="X425" s="14" t="s">
        <v>60</v>
      </c>
    </row>
    <row r="426" spans="1:24" ht="15" x14ac:dyDescent="0.3">
      <c r="A426" s="3">
        <v>10</v>
      </c>
      <c r="B426" s="3" t="s">
        <v>5827</v>
      </c>
      <c r="C426" s="14" t="s">
        <v>0</v>
      </c>
      <c r="D426" s="14" t="s">
        <v>635</v>
      </c>
      <c r="E426" s="14" t="s">
        <v>5828</v>
      </c>
      <c r="F426" s="14" t="s">
        <v>636</v>
      </c>
      <c r="G426" s="14" t="s">
        <v>121</v>
      </c>
      <c r="H426" s="14" t="s">
        <v>5829</v>
      </c>
      <c r="I426" s="14" t="s">
        <v>637</v>
      </c>
      <c r="J426" s="14" t="s">
        <v>60</v>
      </c>
      <c r="K426" s="14" t="s">
        <v>60</v>
      </c>
      <c r="L426" s="14" t="s">
        <v>590</v>
      </c>
      <c r="M426" s="14" t="s">
        <v>638</v>
      </c>
      <c r="N426" s="14" t="s">
        <v>639</v>
      </c>
      <c r="O426" s="14" t="s">
        <v>558</v>
      </c>
      <c r="P426" s="14" t="s">
        <v>5830</v>
      </c>
      <c r="Q426" s="14" t="s">
        <v>180</v>
      </c>
      <c r="R426" s="3">
        <v>0</v>
      </c>
      <c r="S426" s="3">
        <f t="shared" si="20"/>
        <v>550</v>
      </c>
      <c r="T426" s="3">
        <f t="shared" si="21"/>
        <v>0</v>
      </c>
      <c r="U426" s="3" t="s">
        <v>60</v>
      </c>
      <c r="V426" s="14" t="s">
        <v>6</v>
      </c>
      <c r="W426" s="14" t="s">
        <v>4287</v>
      </c>
      <c r="X426" s="14" t="s">
        <v>60</v>
      </c>
    </row>
    <row r="427" spans="1:24" ht="15" x14ac:dyDescent="0.3">
      <c r="A427" s="3">
        <v>11</v>
      </c>
      <c r="B427" s="3" t="s">
        <v>5831</v>
      </c>
      <c r="C427" s="14" t="s">
        <v>0</v>
      </c>
      <c r="D427" s="14" t="s">
        <v>648</v>
      </c>
      <c r="E427" s="14" t="s">
        <v>4205</v>
      </c>
      <c r="F427" s="14" t="s">
        <v>649</v>
      </c>
      <c r="G427" s="14" t="s">
        <v>3</v>
      </c>
      <c r="H427" s="14" t="s">
        <v>5832</v>
      </c>
      <c r="I427" s="14" t="s">
        <v>650</v>
      </c>
      <c r="J427" s="14" t="s">
        <v>60</v>
      </c>
      <c r="K427" s="14" t="s">
        <v>60</v>
      </c>
      <c r="L427" s="14" t="s">
        <v>60</v>
      </c>
      <c r="M427" s="14" t="s">
        <v>651</v>
      </c>
      <c r="N427" s="14" t="s">
        <v>60</v>
      </c>
      <c r="O427" s="14" t="s">
        <v>558</v>
      </c>
      <c r="P427" s="14" t="s">
        <v>5833</v>
      </c>
      <c r="Q427" s="14" t="s">
        <v>11</v>
      </c>
      <c r="R427" s="3">
        <v>0</v>
      </c>
      <c r="S427" s="3">
        <f t="shared" si="20"/>
        <v>550</v>
      </c>
      <c r="T427" s="3">
        <f t="shared" si="21"/>
        <v>0</v>
      </c>
      <c r="U427" s="3" t="s">
        <v>60</v>
      </c>
      <c r="V427" s="14" t="s">
        <v>6</v>
      </c>
      <c r="W427" s="14" t="s">
        <v>4287</v>
      </c>
      <c r="X427" s="14" t="s">
        <v>60</v>
      </c>
    </row>
    <row r="428" spans="1:24" ht="15" x14ac:dyDescent="0.3">
      <c r="A428" s="3">
        <v>12</v>
      </c>
      <c r="B428" s="3" t="s">
        <v>5834</v>
      </c>
      <c r="C428" s="14" t="s">
        <v>26</v>
      </c>
      <c r="D428" s="14" t="s">
        <v>3316</v>
      </c>
      <c r="E428" s="14" t="s">
        <v>5835</v>
      </c>
      <c r="F428" s="14" t="s">
        <v>3327</v>
      </c>
      <c r="G428" s="14" t="s">
        <v>3</v>
      </c>
      <c r="H428" s="14" t="s">
        <v>5836</v>
      </c>
      <c r="I428" s="14" t="s">
        <v>3378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3741</v>
      </c>
      <c r="Q428" s="14" t="s">
        <v>3335</v>
      </c>
      <c r="R428" s="3">
        <v>0</v>
      </c>
      <c r="S428" s="3">
        <f t="shared" si="20"/>
        <v>770</v>
      </c>
      <c r="T428" s="3">
        <f t="shared" si="21"/>
        <v>0</v>
      </c>
      <c r="U428" s="3" t="s">
        <v>5837</v>
      </c>
      <c r="V428" s="14" t="s">
        <v>4208</v>
      </c>
      <c r="W428" s="14" t="s">
        <v>5424</v>
      </c>
      <c r="X428" s="14" t="s">
        <v>60</v>
      </c>
    </row>
    <row r="429" spans="1:24" ht="15.6" x14ac:dyDescent="0.3">
      <c r="A429" s="26" t="s">
        <v>60</v>
      </c>
      <c r="B429" s="26" t="s">
        <v>60</v>
      </c>
      <c r="C429" s="27" t="s">
        <v>60</v>
      </c>
      <c r="D429" s="27" t="s">
        <v>60</v>
      </c>
      <c r="E429" s="27" t="s">
        <v>60</v>
      </c>
      <c r="F429" s="27" t="s">
        <v>60</v>
      </c>
      <c r="G429" s="27" t="s">
        <v>60</v>
      </c>
      <c r="H429" s="27" t="s">
        <v>60</v>
      </c>
      <c r="I429" s="27" t="s">
        <v>60</v>
      </c>
      <c r="J429" s="27" t="s">
        <v>60</v>
      </c>
      <c r="K429" s="27" t="s">
        <v>60</v>
      </c>
      <c r="L429" s="27" t="s">
        <v>60</v>
      </c>
      <c r="M429" s="27" t="s">
        <v>60</v>
      </c>
      <c r="N429" s="27" t="s">
        <v>60</v>
      </c>
      <c r="O429" s="27" t="s">
        <v>60</v>
      </c>
      <c r="P429" s="27" t="s">
        <v>60</v>
      </c>
      <c r="Q429" s="27" t="s">
        <v>60</v>
      </c>
      <c r="R429" s="35" t="s">
        <v>2009</v>
      </c>
      <c r="S429" s="35" t="s">
        <v>60</v>
      </c>
      <c r="T429" s="26">
        <f>SUM(T416:T428)</f>
        <v>0</v>
      </c>
      <c r="U429" s="26" t="s">
        <v>5837</v>
      </c>
      <c r="V429" s="27" t="s">
        <v>60</v>
      </c>
      <c r="W429" s="27" t="s">
        <v>60</v>
      </c>
      <c r="X429" s="27" t="s">
        <v>60</v>
      </c>
    </row>
    <row r="430" spans="1:24" ht="15.6" x14ac:dyDescent="0.3">
      <c r="A430" s="34" t="s">
        <v>5838</v>
      </c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 spans="1:24" ht="109.2" x14ac:dyDescent="0.3">
      <c r="A431" s="23" t="s">
        <v>42</v>
      </c>
      <c r="B431" s="23" t="s">
        <v>43</v>
      </c>
      <c r="C431" s="24" t="s">
        <v>44</v>
      </c>
      <c r="D431" s="24" t="s">
        <v>4154</v>
      </c>
      <c r="E431" s="24" t="s">
        <v>4155</v>
      </c>
      <c r="F431" s="24" t="s">
        <v>4156</v>
      </c>
      <c r="G431" s="24" t="s">
        <v>45</v>
      </c>
      <c r="H431" s="24" t="s">
        <v>4157</v>
      </c>
      <c r="I431" s="24" t="s">
        <v>46</v>
      </c>
      <c r="J431" s="24" t="s">
        <v>4158</v>
      </c>
      <c r="K431" s="24" t="s">
        <v>4159</v>
      </c>
      <c r="L431" s="24" t="s">
        <v>4160</v>
      </c>
      <c r="M431" s="24" t="s">
        <v>4161</v>
      </c>
      <c r="N431" s="24" t="s">
        <v>47</v>
      </c>
      <c r="O431" s="24" t="s">
        <v>48</v>
      </c>
      <c r="P431" s="24" t="s">
        <v>49</v>
      </c>
      <c r="Q431" s="24" t="s">
        <v>50</v>
      </c>
      <c r="R431" s="23" t="s">
        <v>4162</v>
      </c>
      <c r="S431" s="23" t="s">
        <v>4163</v>
      </c>
      <c r="T431" s="23" t="s">
        <v>4164</v>
      </c>
      <c r="U431" s="23" t="s">
        <v>4165</v>
      </c>
      <c r="V431" s="24" t="s">
        <v>51</v>
      </c>
      <c r="W431" s="24" t="s">
        <v>52</v>
      </c>
      <c r="X431" s="24" t="s">
        <v>53</v>
      </c>
    </row>
    <row r="432" spans="1:24" ht="15" x14ac:dyDescent="0.3">
      <c r="A432" s="3">
        <v>1</v>
      </c>
      <c r="B432" s="3" t="s">
        <v>913</v>
      </c>
      <c r="C432" s="14" t="s">
        <v>69</v>
      </c>
      <c r="D432" s="14" t="s">
        <v>914</v>
      </c>
      <c r="E432" s="14" t="s">
        <v>5839</v>
      </c>
      <c r="F432" s="14" t="s">
        <v>915</v>
      </c>
      <c r="G432" s="14" t="s">
        <v>3</v>
      </c>
      <c r="H432" s="14" t="s">
        <v>5840</v>
      </c>
      <c r="I432" s="14" t="s">
        <v>5841</v>
      </c>
      <c r="J432" s="14" t="s">
        <v>228</v>
      </c>
      <c r="K432" s="14" t="s">
        <v>60</v>
      </c>
      <c r="L432" s="14" t="s">
        <v>60</v>
      </c>
      <c r="M432" s="14" t="s">
        <v>916</v>
      </c>
      <c r="N432" s="14" t="s">
        <v>60</v>
      </c>
      <c r="O432" s="14" t="s">
        <v>917</v>
      </c>
      <c r="P432" s="14" t="s">
        <v>5842</v>
      </c>
      <c r="Q432" s="14" t="s">
        <v>11</v>
      </c>
      <c r="R432" s="3">
        <v>0</v>
      </c>
      <c r="S432" s="3">
        <f t="shared" ref="S432:S470" si="22">IF(RIGHT(C432,3)="MAZ",550,IF(RIGHT(C432,4)="MATE",570,IF(RIGHT(C432,7)="SKD-III",640,IF(RIGHT(C432,6)="SKD-II",770,IF(RIGHT(C432,5)="SKD-I",900,IF(RIGHT(C432,5)="CPDVR",770,""))))))</f>
        <v>570</v>
      </c>
      <c r="T432" s="3">
        <f t="shared" ref="T432:T470" si="23">R432*S432</f>
        <v>0</v>
      </c>
      <c r="U432" s="3" t="s">
        <v>60</v>
      </c>
      <c r="V432" s="14" t="s">
        <v>6</v>
      </c>
      <c r="W432" s="14" t="s">
        <v>4287</v>
      </c>
      <c r="X432" s="14" t="s">
        <v>60</v>
      </c>
    </row>
    <row r="433" spans="1:24" ht="15" x14ac:dyDescent="0.3">
      <c r="A433" s="3">
        <v>2</v>
      </c>
      <c r="B433" s="3" t="s">
        <v>918</v>
      </c>
      <c r="C433" s="14" t="s">
        <v>390</v>
      </c>
      <c r="D433" s="14" t="s">
        <v>919</v>
      </c>
      <c r="E433" s="14" t="s">
        <v>5843</v>
      </c>
      <c r="F433" s="14" t="s">
        <v>920</v>
      </c>
      <c r="G433" s="14" t="s">
        <v>3</v>
      </c>
      <c r="H433" s="14" t="s">
        <v>921</v>
      </c>
      <c r="I433" s="14" t="s">
        <v>5844</v>
      </c>
      <c r="J433" s="14" t="s">
        <v>60</v>
      </c>
      <c r="K433" s="14" t="s">
        <v>60</v>
      </c>
      <c r="L433" s="14" t="s">
        <v>590</v>
      </c>
      <c r="M433" s="14" t="s">
        <v>922</v>
      </c>
      <c r="N433" s="14" t="s">
        <v>923</v>
      </c>
      <c r="O433" s="14" t="s">
        <v>60</v>
      </c>
      <c r="P433" s="14" t="s">
        <v>5845</v>
      </c>
      <c r="Q433" s="14" t="s">
        <v>185</v>
      </c>
      <c r="R433" s="3">
        <v>0</v>
      </c>
      <c r="S433" s="3">
        <f t="shared" si="22"/>
        <v>770</v>
      </c>
      <c r="T433" s="3">
        <f t="shared" si="23"/>
        <v>0</v>
      </c>
      <c r="U433" s="3" t="s">
        <v>60</v>
      </c>
      <c r="V433" s="14" t="s">
        <v>6</v>
      </c>
      <c r="W433" s="14" t="s">
        <v>4287</v>
      </c>
      <c r="X433" s="14" t="s">
        <v>60</v>
      </c>
    </row>
    <row r="434" spans="1:24" ht="15" x14ac:dyDescent="0.3">
      <c r="A434" s="3">
        <v>3</v>
      </c>
      <c r="B434" s="3" t="s">
        <v>924</v>
      </c>
      <c r="C434" s="14" t="s">
        <v>14</v>
      </c>
      <c r="D434" s="14" t="s">
        <v>925</v>
      </c>
      <c r="E434" s="14" t="s">
        <v>5846</v>
      </c>
      <c r="F434" s="14" t="s">
        <v>926</v>
      </c>
      <c r="G434" s="14" t="s">
        <v>121</v>
      </c>
      <c r="H434" s="14" t="s">
        <v>5847</v>
      </c>
      <c r="I434" s="14" t="s">
        <v>927</v>
      </c>
      <c r="J434" s="14" t="s">
        <v>60</v>
      </c>
      <c r="K434" s="14" t="s">
        <v>60</v>
      </c>
      <c r="L434" s="14" t="s">
        <v>590</v>
      </c>
      <c r="M434" s="14" t="s">
        <v>928</v>
      </c>
      <c r="N434" s="14" t="s">
        <v>60</v>
      </c>
      <c r="O434" s="14" t="s">
        <v>60</v>
      </c>
      <c r="P434" s="14" t="s">
        <v>5848</v>
      </c>
      <c r="Q434" s="14" t="s">
        <v>185</v>
      </c>
      <c r="R434" s="3">
        <v>0</v>
      </c>
      <c r="S434" s="3">
        <f t="shared" si="22"/>
        <v>640</v>
      </c>
      <c r="T434" s="3">
        <f t="shared" si="23"/>
        <v>0</v>
      </c>
      <c r="U434" s="3" t="s">
        <v>60</v>
      </c>
      <c r="V434" s="14" t="s">
        <v>6</v>
      </c>
      <c r="W434" s="14" t="s">
        <v>4287</v>
      </c>
      <c r="X434" s="14" t="s">
        <v>60</v>
      </c>
    </row>
    <row r="435" spans="1:24" ht="15" x14ac:dyDescent="0.3">
      <c r="A435" s="3">
        <v>4</v>
      </c>
      <c r="B435" s="3" t="s">
        <v>5849</v>
      </c>
      <c r="C435" s="14" t="s">
        <v>0</v>
      </c>
      <c r="D435" s="14" t="s">
        <v>929</v>
      </c>
      <c r="E435" s="14" t="s">
        <v>5850</v>
      </c>
      <c r="F435" s="14" t="s">
        <v>930</v>
      </c>
      <c r="G435" s="14" t="s">
        <v>3</v>
      </c>
      <c r="H435" s="14" t="s">
        <v>5851</v>
      </c>
      <c r="I435" s="14" t="s">
        <v>931</v>
      </c>
      <c r="J435" s="14" t="s">
        <v>228</v>
      </c>
      <c r="K435" s="14" t="s">
        <v>60</v>
      </c>
      <c r="L435" s="14" t="s">
        <v>60</v>
      </c>
      <c r="M435" s="14" t="s">
        <v>932</v>
      </c>
      <c r="N435" s="14" t="s">
        <v>60</v>
      </c>
      <c r="O435" s="14" t="s">
        <v>933</v>
      </c>
      <c r="P435" s="14" t="s">
        <v>5852</v>
      </c>
      <c r="Q435" s="14" t="s">
        <v>11</v>
      </c>
      <c r="R435" s="3">
        <v>0</v>
      </c>
      <c r="S435" s="3">
        <f t="shared" si="22"/>
        <v>550</v>
      </c>
      <c r="T435" s="3">
        <f t="shared" si="23"/>
        <v>0</v>
      </c>
      <c r="U435" s="3" t="s">
        <v>60</v>
      </c>
      <c r="V435" s="14" t="s">
        <v>6</v>
      </c>
      <c r="W435" s="14" t="s">
        <v>4287</v>
      </c>
      <c r="X435" s="14" t="s">
        <v>60</v>
      </c>
    </row>
    <row r="436" spans="1:24" ht="15" x14ac:dyDescent="0.3">
      <c r="A436" s="3">
        <v>5</v>
      </c>
      <c r="B436" s="3" t="s">
        <v>934</v>
      </c>
      <c r="C436" s="14" t="s">
        <v>0</v>
      </c>
      <c r="D436" s="14" t="s">
        <v>935</v>
      </c>
      <c r="E436" s="14" t="s">
        <v>4895</v>
      </c>
      <c r="F436" s="14" t="s">
        <v>936</v>
      </c>
      <c r="G436" s="14" t="s">
        <v>3</v>
      </c>
      <c r="H436" s="14" t="s">
        <v>5853</v>
      </c>
      <c r="I436" s="14" t="s">
        <v>937</v>
      </c>
      <c r="J436" s="14" t="s">
        <v>228</v>
      </c>
      <c r="K436" s="14" t="s">
        <v>60</v>
      </c>
      <c r="L436" s="14" t="s">
        <v>60</v>
      </c>
      <c r="M436" s="14" t="s">
        <v>60</v>
      </c>
      <c r="N436" s="14" t="s">
        <v>60</v>
      </c>
      <c r="O436" s="14" t="s">
        <v>193</v>
      </c>
      <c r="P436" s="14" t="s">
        <v>5854</v>
      </c>
      <c r="Q436" s="14" t="s">
        <v>11</v>
      </c>
      <c r="R436" s="3">
        <v>0</v>
      </c>
      <c r="S436" s="3">
        <f t="shared" si="22"/>
        <v>550</v>
      </c>
      <c r="T436" s="3">
        <f t="shared" si="23"/>
        <v>0</v>
      </c>
      <c r="U436" s="3" t="s">
        <v>60</v>
      </c>
      <c r="V436" s="14" t="s">
        <v>6</v>
      </c>
      <c r="W436" s="14" t="s">
        <v>4287</v>
      </c>
      <c r="X436" s="14" t="s">
        <v>60</v>
      </c>
    </row>
    <row r="437" spans="1:24" ht="15" x14ac:dyDescent="0.3">
      <c r="A437" s="3">
        <v>6</v>
      </c>
      <c r="B437" s="3" t="s">
        <v>5855</v>
      </c>
      <c r="C437" s="14" t="s">
        <v>0</v>
      </c>
      <c r="D437" s="14" t="s">
        <v>938</v>
      </c>
      <c r="E437" s="14" t="s">
        <v>5856</v>
      </c>
      <c r="F437" s="14" t="s">
        <v>939</v>
      </c>
      <c r="G437" s="14" t="s">
        <v>121</v>
      </c>
      <c r="H437" s="14" t="s">
        <v>5857</v>
      </c>
      <c r="I437" s="14" t="s">
        <v>5858</v>
      </c>
      <c r="J437" s="14" t="s">
        <v>228</v>
      </c>
      <c r="K437" s="14" t="s">
        <v>60</v>
      </c>
      <c r="L437" s="14" t="s">
        <v>940</v>
      </c>
      <c r="M437" s="14" t="s">
        <v>941</v>
      </c>
      <c r="N437" s="14" t="s">
        <v>942</v>
      </c>
      <c r="O437" s="14" t="s">
        <v>60</v>
      </c>
      <c r="P437" s="14" t="s">
        <v>5859</v>
      </c>
      <c r="Q437" s="14" t="s">
        <v>11</v>
      </c>
      <c r="R437" s="3">
        <v>0</v>
      </c>
      <c r="S437" s="3">
        <f t="shared" si="22"/>
        <v>550</v>
      </c>
      <c r="T437" s="3">
        <f t="shared" si="23"/>
        <v>0</v>
      </c>
      <c r="U437" s="3" t="s">
        <v>60</v>
      </c>
      <c r="V437" s="14" t="s">
        <v>6</v>
      </c>
      <c r="W437" s="14" t="s">
        <v>4287</v>
      </c>
      <c r="X437" s="14" t="s">
        <v>60</v>
      </c>
    </row>
    <row r="438" spans="1:24" ht="15" x14ac:dyDescent="0.3">
      <c r="A438" s="3">
        <v>7</v>
      </c>
      <c r="B438" s="3" t="s">
        <v>5860</v>
      </c>
      <c r="C438" s="14" t="s">
        <v>0</v>
      </c>
      <c r="D438" s="14" t="s">
        <v>943</v>
      </c>
      <c r="E438" s="14" t="s">
        <v>5861</v>
      </c>
      <c r="F438" s="14" t="s">
        <v>944</v>
      </c>
      <c r="G438" s="14" t="s">
        <v>3</v>
      </c>
      <c r="H438" s="14" t="s">
        <v>5862</v>
      </c>
      <c r="I438" s="14" t="s">
        <v>5863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5864</v>
      </c>
      <c r="P438" s="14" t="s">
        <v>5865</v>
      </c>
      <c r="Q438" s="14" t="s">
        <v>11</v>
      </c>
      <c r="R438" s="3">
        <v>0</v>
      </c>
      <c r="S438" s="3">
        <f t="shared" si="22"/>
        <v>550</v>
      </c>
      <c r="T438" s="3">
        <f t="shared" si="23"/>
        <v>0</v>
      </c>
      <c r="U438" s="3" t="s">
        <v>60</v>
      </c>
      <c r="V438" s="14" t="s">
        <v>6</v>
      </c>
      <c r="W438" s="14" t="s">
        <v>4287</v>
      </c>
      <c r="X438" s="14" t="s">
        <v>60</v>
      </c>
    </row>
    <row r="439" spans="1:24" ht="15" x14ac:dyDescent="0.3">
      <c r="A439" s="3">
        <v>8</v>
      </c>
      <c r="B439" s="3" t="s">
        <v>5866</v>
      </c>
      <c r="C439" s="14" t="s">
        <v>0</v>
      </c>
      <c r="D439" s="14" t="s">
        <v>945</v>
      </c>
      <c r="E439" s="14" t="s">
        <v>5867</v>
      </c>
      <c r="F439" s="14" t="s">
        <v>946</v>
      </c>
      <c r="G439" s="14" t="s">
        <v>3</v>
      </c>
      <c r="H439" s="14" t="s">
        <v>5868</v>
      </c>
      <c r="I439" s="14" t="s">
        <v>947</v>
      </c>
      <c r="J439" s="14" t="s">
        <v>60</v>
      </c>
      <c r="K439" s="14" t="s">
        <v>60</v>
      </c>
      <c r="L439" s="14" t="s">
        <v>60</v>
      </c>
      <c r="M439" s="14" t="s">
        <v>948</v>
      </c>
      <c r="N439" s="14" t="s">
        <v>60</v>
      </c>
      <c r="O439" s="14" t="s">
        <v>949</v>
      </c>
      <c r="P439" s="14" t="s">
        <v>5869</v>
      </c>
      <c r="Q439" s="14" t="s">
        <v>11</v>
      </c>
      <c r="R439" s="3">
        <v>0</v>
      </c>
      <c r="S439" s="3">
        <f t="shared" si="22"/>
        <v>550</v>
      </c>
      <c r="T439" s="3">
        <f t="shared" si="23"/>
        <v>0</v>
      </c>
      <c r="U439" s="3" t="s">
        <v>60</v>
      </c>
      <c r="V439" s="14" t="s">
        <v>6</v>
      </c>
      <c r="W439" s="14" t="s">
        <v>4287</v>
      </c>
      <c r="X439" s="14" t="s">
        <v>60</v>
      </c>
    </row>
    <row r="440" spans="1:24" ht="15" x14ac:dyDescent="0.3">
      <c r="A440" s="3">
        <v>9</v>
      </c>
      <c r="B440" s="3" t="s">
        <v>5871</v>
      </c>
      <c r="C440" s="14" t="s">
        <v>0</v>
      </c>
      <c r="D440" s="14" t="s">
        <v>950</v>
      </c>
      <c r="E440" s="14" t="s">
        <v>5872</v>
      </c>
      <c r="F440" s="14" t="s">
        <v>951</v>
      </c>
      <c r="G440" s="14" t="s">
        <v>3</v>
      </c>
      <c r="H440" s="14" t="s">
        <v>5873</v>
      </c>
      <c r="I440" s="14" t="s">
        <v>5874</v>
      </c>
      <c r="J440" s="14" t="s">
        <v>228</v>
      </c>
      <c r="K440" s="14" t="s">
        <v>60</v>
      </c>
      <c r="L440" s="14" t="s">
        <v>590</v>
      </c>
      <c r="M440" s="14" t="s">
        <v>952</v>
      </c>
      <c r="N440" s="14" t="s">
        <v>60</v>
      </c>
      <c r="O440" s="14" t="s">
        <v>60</v>
      </c>
      <c r="P440" s="14" t="s">
        <v>5875</v>
      </c>
      <c r="Q440" s="14" t="s">
        <v>11</v>
      </c>
      <c r="R440" s="3">
        <v>0</v>
      </c>
      <c r="S440" s="3">
        <f t="shared" si="22"/>
        <v>550</v>
      </c>
      <c r="T440" s="3">
        <f t="shared" si="23"/>
        <v>0</v>
      </c>
      <c r="U440" s="3" t="s">
        <v>60</v>
      </c>
      <c r="V440" s="14" t="s">
        <v>6</v>
      </c>
      <c r="W440" s="14" t="s">
        <v>4287</v>
      </c>
      <c r="X440" s="14" t="s">
        <v>60</v>
      </c>
    </row>
    <row r="441" spans="1:24" ht="15" x14ac:dyDescent="0.3">
      <c r="A441" s="3">
        <v>10</v>
      </c>
      <c r="B441" s="3" t="s">
        <v>5876</v>
      </c>
      <c r="C441" s="14" t="s">
        <v>0</v>
      </c>
      <c r="D441" s="14" t="s">
        <v>953</v>
      </c>
      <c r="E441" s="14" t="s">
        <v>5877</v>
      </c>
      <c r="F441" s="14" t="s">
        <v>954</v>
      </c>
      <c r="G441" s="14" t="s">
        <v>3</v>
      </c>
      <c r="H441" s="14" t="s">
        <v>5878</v>
      </c>
      <c r="I441" s="14" t="s">
        <v>955</v>
      </c>
      <c r="J441" s="14" t="s">
        <v>60</v>
      </c>
      <c r="K441" s="14" t="s">
        <v>60</v>
      </c>
      <c r="L441" s="14" t="s">
        <v>60</v>
      </c>
      <c r="M441" s="14" t="s">
        <v>60</v>
      </c>
      <c r="N441" s="14" t="s">
        <v>60</v>
      </c>
      <c r="O441" s="14" t="s">
        <v>60</v>
      </c>
      <c r="P441" s="14" t="s">
        <v>5879</v>
      </c>
      <c r="Q441" s="14" t="s">
        <v>11</v>
      </c>
      <c r="R441" s="3">
        <v>0</v>
      </c>
      <c r="S441" s="3">
        <f t="shared" si="22"/>
        <v>550</v>
      </c>
      <c r="T441" s="3">
        <f t="shared" si="23"/>
        <v>0</v>
      </c>
      <c r="U441" s="3" t="s">
        <v>60</v>
      </c>
      <c r="V441" s="14" t="s">
        <v>6</v>
      </c>
      <c r="W441" s="14" t="s">
        <v>4287</v>
      </c>
      <c r="X441" s="14" t="s">
        <v>60</v>
      </c>
    </row>
    <row r="442" spans="1:24" ht="15" x14ac:dyDescent="0.3">
      <c r="A442" s="3">
        <v>11</v>
      </c>
      <c r="B442" s="3" t="s">
        <v>5880</v>
      </c>
      <c r="C442" s="14" t="s">
        <v>0</v>
      </c>
      <c r="D442" s="14" t="s">
        <v>956</v>
      </c>
      <c r="E442" s="14" t="s">
        <v>957</v>
      </c>
      <c r="F442" s="14" t="s">
        <v>958</v>
      </c>
      <c r="G442" s="14" t="s">
        <v>3</v>
      </c>
      <c r="H442" s="14" t="s">
        <v>5881</v>
      </c>
      <c r="I442" s="14" t="s">
        <v>959</v>
      </c>
      <c r="J442" s="14" t="s">
        <v>60</v>
      </c>
      <c r="K442" s="14" t="s">
        <v>60</v>
      </c>
      <c r="L442" s="14" t="s">
        <v>60</v>
      </c>
      <c r="M442" s="14" t="s">
        <v>960</v>
      </c>
      <c r="N442" s="14" t="s">
        <v>60</v>
      </c>
      <c r="O442" s="14" t="s">
        <v>961</v>
      </c>
      <c r="P442" s="14" t="s">
        <v>5882</v>
      </c>
      <c r="Q442" s="14" t="s">
        <v>11</v>
      </c>
      <c r="R442" s="3">
        <v>0</v>
      </c>
      <c r="S442" s="3">
        <f t="shared" si="22"/>
        <v>550</v>
      </c>
      <c r="T442" s="3">
        <f t="shared" si="23"/>
        <v>0</v>
      </c>
      <c r="U442" s="3" t="s">
        <v>60</v>
      </c>
      <c r="V442" s="14" t="s">
        <v>6</v>
      </c>
      <c r="W442" s="14" t="s">
        <v>4265</v>
      </c>
      <c r="X442" s="14" t="s">
        <v>60</v>
      </c>
    </row>
    <row r="443" spans="1:24" ht="15" x14ac:dyDescent="0.3">
      <c r="A443" s="3">
        <v>12</v>
      </c>
      <c r="B443" s="3" t="s">
        <v>5883</v>
      </c>
      <c r="C443" s="14" t="s">
        <v>0</v>
      </c>
      <c r="D443" s="14" t="s">
        <v>962</v>
      </c>
      <c r="E443" s="14" t="s">
        <v>963</v>
      </c>
      <c r="F443" s="14" t="s">
        <v>721</v>
      </c>
      <c r="G443" s="14" t="s">
        <v>3</v>
      </c>
      <c r="H443" s="14" t="s">
        <v>5884</v>
      </c>
      <c r="I443" s="14" t="s">
        <v>964</v>
      </c>
      <c r="J443" s="14" t="s">
        <v>60</v>
      </c>
      <c r="K443" s="14" t="s">
        <v>60</v>
      </c>
      <c r="L443" s="14" t="s">
        <v>60</v>
      </c>
      <c r="M443" s="14" t="s">
        <v>60</v>
      </c>
      <c r="N443" s="14" t="s">
        <v>60</v>
      </c>
      <c r="O443" s="14" t="s">
        <v>961</v>
      </c>
      <c r="P443" s="14" t="s">
        <v>5885</v>
      </c>
      <c r="Q443" s="14" t="s">
        <v>11</v>
      </c>
      <c r="R443" s="3">
        <v>0</v>
      </c>
      <c r="S443" s="3">
        <f t="shared" si="22"/>
        <v>550</v>
      </c>
      <c r="T443" s="3">
        <f t="shared" si="23"/>
        <v>0</v>
      </c>
      <c r="U443" s="3" t="s">
        <v>60</v>
      </c>
      <c r="V443" s="14" t="s">
        <v>6</v>
      </c>
      <c r="W443" s="14" t="s">
        <v>5886</v>
      </c>
      <c r="X443" s="14" t="s">
        <v>60</v>
      </c>
    </row>
    <row r="444" spans="1:24" ht="15" x14ac:dyDescent="0.3">
      <c r="A444" s="3">
        <v>13</v>
      </c>
      <c r="B444" s="3" t="s">
        <v>965</v>
      </c>
      <c r="C444" s="14" t="s">
        <v>0</v>
      </c>
      <c r="D444" s="14" t="s">
        <v>966</v>
      </c>
      <c r="E444" s="14" t="s">
        <v>5887</v>
      </c>
      <c r="F444" s="14" t="s">
        <v>967</v>
      </c>
      <c r="G444" s="14" t="s">
        <v>3</v>
      </c>
      <c r="H444" s="14" t="s">
        <v>5888</v>
      </c>
      <c r="I444" s="14" t="s">
        <v>968</v>
      </c>
      <c r="J444" s="14" t="s">
        <v>60</v>
      </c>
      <c r="K444" s="14" t="s">
        <v>60</v>
      </c>
      <c r="L444" s="14" t="s">
        <v>590</v>
      </c>
      <c r="M444" s="14" t="s">
        <v>969</v>
      </c>
      <c r="N444" s="14" t="s">
        <v>60</v>
      </c>
      <c r="O444" s="14" t="s">
        <v>193</v>
      </c>
      <c r="P444" s="14" t="s">
        <v>5889</v>
      </c>
      <c r="Q444" s="14" t="s">
        <v>185</v>
      </c>
      <c r="R444" s="3">
        <v>0</v>
      </c>
      <c r="S444" s="3">
        <f t="shared" si="22"/>
        <v>550</v>
      </c>
      <c r="T444" s="3">
        <f t="shared" si="23"/>
        <v>0</v>
      </c>
      <c r="U444" s="3" t="s">
        <v>60</v>
      </c>
      <c r="V444" s="14" t="s">
        <v>6</v>
      </c>
      <c r="W444" s="14" t="s">
        <v>4287</v>
      </c>
      <c r="X444" s="14" t="s">
        <v>60</v>
      </c>
    </row>
    <row r="445" spans="1:24" ht="15" x14ac:dyDescent="0.3">
      <c r="A445" s="3">
        <v>14</v>
      </c>
      <c r="B445" s="3" t="s">
        <v>5890</v>
      </c>
      <c r="C445" s="14" t="s">
        <v>0</v>
      </c>
      <c r="D445" s="14" t="s">
        <v>970</v>
      </c>
      <c r="E445" s="14" t="s">
        <v>5891</v>
      </c>
      <c r="F445" s="14" t="s">
        <v>971</v>
      </c>
      <c r="G445" s="14" t="s">
        <v>121</v>
      </c>
      <c r="H445" s="14" t="s">
        <v>5892</v>
      </c>
      <c r="I445" s="14" t="s">
        <v>972</v>
      </c>
      <c r="J445" s="14" t="s">
        <v>228</v>
      </c>
      <c r="K445" s="14" t="s">
        <v>60</v>
      </c>
      <c r="L445" s="14" t="s">
        <v>60</v>
      </c>
      <c r="M445" s="14" t="s">
        <v>973</v>
      </c>
      <c r="N445" s="14" t="s">
        <v>60</v>
      </c>
      <c r="O445" s="14" t="s">
        <v>193</v>
      </c>
      <c r="P445" s="14" t="s">
        <v>5893</v>
      </c>
      <c r="Q445" s="14" t="s">
        <v>11</v>
      </c>
      <c r="R445" s="3">
        <v>0</v>
      </c>
      <c r="S445" s="3">
        <f t="shared" si="22"/>
        <v>550</v>
      </c>
      <c r="T445" s="3">
        <f t="shared" si="23"/>
        <v>0</v>
      </c>
      <c r="U445" s="3" t="s">
        <v>60</v>
      </c>
      <c r="V445" s="14" t="s">
        <v>6</v>
      </c>
      <c r="W445" s="14" t="s">
        <v>4287</v>
      </c>
      <c r="X445" s="14" t="s">
        <v>60</v>
      </c>
    </row>
    <row r="446" spans="1:24" ht="15" x14ac:dyDescent="0.3">
      <c r="A446" s="3">
        <v>15</v>
      </c>
      <c r="B446" s="3" t="s">
        <v>5894</v>
      </c>
      <c r="C446" s="14" t="s">
        <v>0</v>
      </c>
      <c r="D446" s="14" t="s">
        <v>974</v>
      </c>
      <c r="E446" s="14" t="s">
        <v>5887</v>
      </c>
      <c r="F446" s="14" t="s">
        <v>975</v>
      </c>
      <c r="G446" s="14" t="s">
        <v>121</v>
      </c>
      <c r="H446" s="14" t="s">
        <v>5895</v>
      </c>
      <c r="I446" s="14" t="s">
        <v>976</v>
      </c>
      <c r="J446" s="14" t="s">
        <v>60</v>
      </c>
      <c r="K446" s="14" t="s">
        <v>60</v>
      </c>
      <c r="L446" s="14" t="s">
        <v>590</v>
      </c>
      <c r="M446" s="14" t="s">
        <v>60</v>
      </c>
      <c r="N446" s="14" t="s">
        <v>977</v>
      </c>
      <c r="O446" s="14" t="s">
        <v>60</v>
      </c>
      <c r="P446" s="14" t="s">
        <v>5896</v>
      </c>
      <c r="Q446" s="14" t="s">
        <v>11</v>
      </c>
      <c r="R446" s="3">
        <v>0</v>
      </c>
      <c r="S446" s="3">
        <f t="shared" si="22"/>
        <v>550</v>
      </c>
      <c r="T446" s="3">
        <f t="shared" si="23"/>
        <v>0</v>
      </c>
      <c r="U446" s="3" t="s">
        <v>60</v>
      </c>
      <c r="V446" s="14" t="s">
        <v>6</v>
      </c>
      <c r="W446" s="14" t="s">
        <v>4287</v>
      </c>
      <c r="X446" s="14" t="s">
        <v>60</v>
      </c>
    </row>
    <row r="447" spans="1:24" ht="15" x14ac:dyDescent="0.3">
      <c r="A447" s="3">
        <v>16</v>
      </c>
      <c r="B447" s="3" t="s">
        <v>5897</v>
      </c>
      <c r="C447" s="14" t="s">
        <v>0</v>
      </c>
      <c r="D447" s="14" t="s">
        <v>978</v>
      </c>
      <c r="E447" s="14" t="s">
        <v>979</v>
      </c>
      <c r="F447" s="14" t="s">
        <v>980</v>
      </c>
      <c r="G447" s="14" t="s">
        <v>3</v>
      </c>
      <c r="H447" s="14" t="s">
        <v>5898</v>
      </c>
      <c r="I447" s="14" t="s">
        <v>5899</v>
      </c>
      <c r="J447" s="14" t="s">
        <v>228</v>
      </c>
      <c r="K447" s="14" t="s">
        <v>60</v>
      </c>
      <c r="L447" s="14" t="s">
        <v>981</v>
      </c>
      <c r="M447" s="14" t="s">
        <v>982</v>
      </c>
      <c r="N447" s="14" t="s">
        <v>60</v>
      </c>
      <c r="O447" s="14" t="s">
        <v>60</v>
      </c>
      <c r="P447" s="14" t="s">
        <v>5900</v>
      </c>
      <c r="Q447" s="14" t="s">
        <v>11</v>
      </c>
      <c r="R447" s="3">
        <v>0</v>
      </c>
      <c r="S447" s="3">
        <f t="shared" si="22"/>
        <v>550</v>
      </c>
      <c r="T447" s="3">
        <f t="shared" si="23"/>
        <v>0</v>
      </c>
      <c r="U447" s="3" t="s">
        <v>60</v>
      </c>
      <c r="V447" s="14" t="s">
        <v>6</v>
      </c>
      <c r="W447" s="14" t="s">
        <v>4287</v>
      </c>
      <c r="X447" s="14" t="s">
        <v>60</v>
      </c>
    </row>
    <row r="448" spans="1:24" ht="15" x14ac:dyDescent="0.3">
      <c r="A448" s="3">
        <v>17</v>
      </c>
      <c r="B448" s="3" t="s">
        <v>5901</v>
      </c>
      <c r="C448" s="14" t="s">
        <v>0</v>
      </c>
      <c r="D448" s="14" t="s">
        <v>983</v>
      </c>
      <c r="E448" s="14" t="s">
        <v>984</v>
      </c>
      <c r="F448" s="14" t="s">
        <v>985</v>
      </c>
      <c r="G448" s="14" t="s">
        <v>3</v>
      </c>
      <c r="H448" s="14" t="s">
        <v>5902</v>
      </c>
      <c r="I448" s="14" t="s">
        <v>5903</v>
      </c>
      <c r="J448" s="14" t="s">
        <v>228</v>
      </c>
      <c r="K448" s="14" t="s">
        <v>60</v>
      </c>
      <c r="L448" s="14" t="s">
        <v>590</v>
      </c>
      <c r="M448" s="14" t="s">
        <v>60</v>
      </c>
      <c r="N448" s="14" t="s">
        <v>60</v>
      </c>
      <c r="O448" s="14" t="s">
        <v>60</v>
      </c>
      <c r="P448" s="14" t="s">
        <v>5904</v>
      </c>
      <c r="Q448" s="14" t="s">
        <v>11</v>
      </c>
      <c r="R448" s="3">
        <v>0</v>
      </c>
      <c r="S448" s="3">
        <f t="shared" si="22"/>
        <v>550</v>
      </c>
      <c r="T448" s="3">
        <f t="shared" si="23"/>
        <v>0</v>
      </c>
      <c r="U448" s="3" t="s">
        <v>60</v>
      </c>
      <c r="V448" s="14" t="s">
        <v>6</v>
      </c>
      <c r="W448" s="14" t="s">
        <v>4287</v>
      </c>
      <c r="X448" s="14" t="s">
        <v>60</v>
      </c>
    </row>
    <row r="449" spans="1:24" ht="15" x14ac:dyDescent="0.3">
      <c r="A449" s="3">
        <v>18</v>
      </c>
      <c r="B449" s="3" t="s">
        <v>5905</v>
      </c>
      <c r="C449" s="14" t="s">
        <v>0</v>
      </c>
      <c r="D449" s="14" t="s">
        <v>986</v>
      </c>
      <c r="E449" s="14" t="s">
        <v>5906</v>
      </c>
      <c r="F449" s="14" t="s">
        <v>987</v>
      </c>
      <c r="G449" s="14" t="s">
        <v>3</v>
      </c>
      <c r="H449" s="14" t="s">
        <v>5907</v>
      </c>
      <c r="I449" s="14" t="s">
        <v>988</v>
      </c>
      <c r="J449" s="14" t="s">
        <v>228</v>
      </c>
      <c r="K449" s="14" t="s">
        <v>60</v>
      </c>
      <c r="L449" s="14" t="s">
        <v>590</v>
      </c>
      <c r="M449" s="14" t="s">
        <v>989</v>
      </c>
      <c r="N449" s="14" t="s">
        <v>60</v>
      </c>
      <c r="O449" s="14" t="s">
        <v>193</v>
      </c>
      <c r="P449" s="14" t="s">
        <v>5908</v>
      </c>
      <c r="Q449" s="14" t="s">
        <v>11</v>
      </c>
      <c r="R449" s="3">
        <v>0</v>
      </c>
      <c r="S449" s="3">
        <f t="shared" si="22"/>
        <v>550</v>
      </c>
      <c r="T449" s="3">
        <f t="shared" si="23"/>
        <v>0</v>
      </c>
      <c r="U449" s="3" t="s">
        <v>60</v>
      </c>
      <c r="V449" s="14" t="s">
        <v>6</v>
      </c>
      <c r="W449" s="14" t="s">
        <v>4287</v>
      </c>
      <c r="X449" s="14" t="s">
        <v>60</v>
      </c>
    </row>
    <row r="450" spans="1:24" ht="15" x14ac:dyDescent="0.3">
      <c r="A450" s="3">
        <v>19</v>
      </c>
      <c r="B450" s="3" t="s">
        <v>5909</v>
      </c>
      <c r="C450" s="14" t="s">
        <v>0</v>
      </c>
      <c r="D450" s="14" t="s">
        <v>990</v>
      </c>
      <c r="E450" s="14" t="s">
        <v>991</v>
      </c>
      <c r="F450" s="14" t="s">
        <v>992</v>
      </c>
      <c r="G450" s="14" t="s">
        <v>3</v>
      </c>
      <c r="H450" s="14" t="s">
        <v>5910</v>
      </c>
      <c r="I450" s="14" t="s">
        <v>993</v>
      </c>
      <c r="J450" s="14" t="s">
        <v>60</v>
      </c>
      <c r="K450" s="14" t="s">
        <v>60</v>
      </c>
      <c r="L450" s="14" t="s">
        <v>60</v>
      </c>
      <c r="M450" s="14" t="s">
        <v>994</v>
      </c>
      <c r="N450" s="14" t="s">
        <v>60</v>
      </c>
      <c r="O450" s="14" t="s">
        <v>339</v>
      </c>
      <c r="P450" s="14" t="s">
        <v>5911</v>
      </c>
      <c r="Q450" s="14" t="s">
        <v>11</v>
      </c>
      <c r="R450" s="3">
        <v>0</v>
      </c>
      <c r="S450" s="3">
        <f t="shared" si="22"/>
        <v>550</v>
      </c>
      <c r="T450" s="3">
        <f t="shared" si="23"/>
        <v>0</v>
      </c>
      <c r="U450" s="3" t="s">
        <v>60</v>
      </c>
      <c r="V450" s="14" t="s">
        <v>6</v>
      </c>
      <c r="W450" s="14" t="s">
        <v>5912</v>
      </c>
      <c r="X450" s="14" t="s">
        <v>60</v>
      </c>
    </row>
    <row r="451" spans="1:24" ht="15" x14ac:dyDescent="0.3">
      <c r="A451" s="3">
        <v>20</v>
      </c>
      <c r="B451" s="3" t="s">
        <v>5913</v>
      </c>
      <c r="C451" s="14" t="s">
        <v>0</v>
      </c>
      <c r="D451" s="14" t="s">
        <v>995</v>
      </c>
      <c r="E451" s="14" t="s">
        <v>996</v>
      </c>
      <c r="F451" s="14" t="s">
        <v>997</v>
      </c>
      <c r="G451" s="14" t="s">
        <v>3</v>
      </c>
      <c r="H451" s="14" t="s">
        <v>5914</v>
      </c>
      <c r="I451" s="14" t="s">
        <v>998</v>
      </c>
      <c r="J451" s="14" t="s">
        <v>60</v>
      </c>
      <c r="K451" s="14" t="s">
        <v>60</v>
      </c>
      <c r="L451" s="14" t="s">
        <v>60</v>
      </c>
      <c r="M451" s="14" t="s">
        <v>999</v>
      </c>
      <c r="N451" s="14" t="s">
        <v>60</v>
      </c>
      <c r="O451" s="14" t="s">
        <v>339</v>
      </c>
      <c r="P451" s="14" t="s">
        <v>5915</v>
      </c>
      <c r="Q451" s="14" t="s">
        <v>180</v>
      </c>
      <c r="R451" s="3">
        <v>0</v>
      </c>
      <c r="S451" s="3">
        <f t="shared" si="22"/>
        <v>550</v>
      </c>
      <c r="T451" s="3">
        <f t="shared" si="23"/>
        <v>0</v>
      </c>
      <c r="U451" s="3" t="s">
        <v>5916</v>
      </c>
      <c r="V451" s="14" t="s">
        <v>6</v>
      </c>
      <c r="W451" s="14" t="s">
        <v>5912</v>
      </c>
      <c r="X451" s="14" t="s">
        <v>60</v>
      </c>
    </row>
    <row r="452" spans="1:24" ht="15" x14ac:dyDescent="0.3">
      <c r="A452" s="3">
        <v>21</v>
      </c>
      <c r="B452" s="3" t="s">
        <v>5917</v>
      </c>
      <c r="C452" s="14" t="s">
        <v>0</v>
      </c>
      <c r="D452" s="14" t="s">
        <v>1000</v>
      </c>
      <c r="E452" s="14" t="s">
        <v>5918</v>
      </c>
      <c r="F452" s="14" t="s">
        <v>987</v>
      </c>
      <c r="G452" s="14" t="s">
        <v>3</v>
      </c>
      <c r="H452" s="14" t="s">
        <v>5919</v>
      </c>
      <c r="I452" s="14" t="s">
        <v>5920</v>
      </c>
      <c r="J452" s="14" t="s">
        <v>228</v>
      </c>
      <c r="K452" s="14" t="s">
        <v>60</v>
      </c>
      <c r="L452" s="14" t="s">
        <v>590</v>
      </c>
      <c r="M452" s="14" t="s">
        <v>1001</v>
      </c>
      <c r="N452" s="14" t="s">
        <v>60</v>
      </c>
      <c r="O452" s="14" t="s">
        <v>60</v>
      </c>
      <c r="P452" s="14" t="s">
        <v>5921</v>
      </c>
      <c r="Q452" s="14" t="s">
        <v>11</v>
      </c>
      <c r="R452" s="3">
        <v>0</v>
      </c>
      <c r="S452" s="3">
        <f t="shared" si="22"/>
        <v>550</v>
      </c>
      <c r="T452" s="3">
        <f t="shared" si="23"/>
        <v>0</v>
      </c>
      <c r="U452" s="3" t="s">
        <v>60</v>
      </c>
      <c r="V452" s="14" t="s">
        <v>6</v>
      </c>
      <c r="W452" s="14" t="s">
        <v>4287</v>
      </c>
      <c r="X452" s="14" t="s">
        <v>60</v>
      </c>
    </row>
    <row r="453" spans="1:24" ht="15" x14ac:dyDescent="0.3">
      <c r="A453" s="3">
        <v>22</v>
      </c>
      <c r="B453" s="3" t="s">
        <v>5922</v>
      </c>
      <c r="C453" s="14" t="s">
        <v>0</v>
      </c>
      <c r="D453" s="14" t="s">
        <v>1002</v>
      </c>
      <c r="E453" s="14" t="s">
        <v>5923</v>
      </c>
      <c r="F453" s="14" t="s">
        <v>1003</v>
      </c>
      <c r="G453" s="14" t="s">
        <v>3</v>
      </c>
      <c r="H453" s="14" t="s">
        <v>5924</v>
      </c>
      <c r="I453" s="14" t="s">
        <v>1004</v>
      </c>
      <c r="J453" s="14" t="s">
        <v>228</v>
      </c>
      <c r="K453" s="14" t="s">
        <v>60</v>
      </c>
      <c r="L453" s="14" t="s">
        <v>60</v>
      </c>
      <c r="M453" s="14" t="s">
        <v>1005</v>
      </c>
      <c r="N453" s="14" t="s">
        <v>60</v>
      </c>
      <c r="O453" s="14" t="s">
        <v>193</v>
      </c>
      <c r="P453" s="14" t="s">
        <v>5925</v>
      </c>
      <c r="Q453" s="14" t="s">
        <v>11</v>
      </c>
      <c r="R453" s="3">
        <v>0</v>
      </c>
      <c r="S453" s="3">
        <f t="shared" si="22"/>
        <v>550</v>
      </c>
      <c r="T453" s="3">
        <f t="shared" si="23"/>
        <v>0</v>
      </c>
      <c r="U453" s="3" t="s">
        <v>60</v>
      </c>
      <c r="V453" s="14" t="s">
        <v>6</v>
      </c>
      <c r="W453" s="14" t="s">
        <v>4287</v>
      </c>
      <c r="X453" s="14" t="s">
        <v>60</v>
      </c>
    </row>
    <row r="454" spans="1:24" ht="15" x14ac:dyDescent="0.3">
      <c r="A454" s="3">
        <v>23</v>
      </c>
      <c r="B454" s="3" t="s">
        <v>5926</v>
      </c>
      <c r="C454" s="14" t="s">
        <v>0</v>
      </c>
      <c r="D454" s="14" t="s">
        <v>1006</v>
      </c>
      <c r="E454" s="14" t="s">
        <v>5927</v>
      </c>
      <c r="F454" s="14" t="s">
        <v>1007</v>
      </c>
      <c r="G454" s="14" t="s">
        <v>3</v>
      </c>
      <c r="H454" s="14" t="s">
        <v>5928</v>
      </c>
      <c r="I454" s="14" t="s">
        <v>1008</v>
      </c>
      <c r="J454" s="14" t="s">
        <v>60</v>
      </c>
      <c r="K454" s="14" t="s">
        <v>60</v>
      </c>
      <c r="L454" s="14" t="s">
        <v>60</v>
      </c>
      <c r="M454" s="14" t="s">
        <v>60</v>
      </c>
      <c r="N454" s="14" t="s">
        <v>60</v>
      </c>
      <c r="O454" s="14" t="s">
        <v>193</v>
      </c>
      <c r="P454" s="14" t="s">
        <v>5929</v>
      </c>
      <c r="Q454" s="14" t="s">
        <v>11</v>
      </c>
      <c r="R454" s="3">
        <v>0</v>
      </c>
      <c r="S454" s="3">
        <f t="shared" si="22"/>
        <v>550</v>
      </c>
      <c r="T454" s="3">
        <f t="shared" si="23"/>
        <v>0</v>
      </c>
      <c r="U454" s="3" t="s">
        <v>60</v>
      </c>
      <c r="V454" s="14" t="s">
        <v>6</v>
      </c>
      <c r="W454" s="14" t="s">
        <v>4287</v>
      </c>
      <c r="X454" s="14" t="s">
        <v>60</v>
      </c>
    </row>
    <row r="455" spans="1:24" ht="15" x14ac:dyDescent="0.3">
      <c r="A455" s="3">
        <v>24</v>
      </c>
      <c r="B455" s="3" t="s">
        <v>5930</v>
      </c>
      <c r="C455" s="14" t="s">
        <v>0</v>
      </c>
      <c r="D455" s="14" t="s">
        <v>1009</v>
      </c>
      <c r="E455" s="14" t="s">
        <v>5931</v>
      </c>
      <c r="F455" s="14" t="s">
        <v>1010</v>
      </c>
      <c r="G455" s="14" t="s">
        <v>3</v>
      </c>
      <c r="H455" s="14" t="s">
        <v>5932</v>
      </c>
      <c r="I455" s="14" t="s">
        <v>5933</v>
      </c>
      <c r="J455" s="14" t="s">
        <v>228</v>
      </c>
      <c r="K455" s="14" t="s">
        <v>60</v>
      </c>
      <c r="L455" s="14" t="s">
        <v>60</v>
      </c>
      <c r="M455" s="14" t="s">
        <v>1011</v>
      </c>
      <c r="N455" s="14" t="s">
        <v>60</v>
      </c>
      <c r="O455" s="14" t="s">
        <v>179</v>
      </c>
      <c r="P455" s="14" t="s">
        <v>5934</v>
      </c>
      <c r="Q455" s="14" t="s">
        <v>11</v>
      </c>
      <c r="R455" s="3">
        <v>0</v>
      </c>
      <c r="S455" s="3">
        <f t="shared" si="22"/>
        <v>550</v>
      </c>
      <c r="T455" s="3">
        <f t="shared" si="23"/>
        <v>0</v>
      </c>
      <c r="U455" s="3" t="s">
        <v>60</v>
      </c>
      <c r="V455" s="14" t="s">
        <v>6</v>
      </c>
      <c r="W455" s="14" t="s">
        <v>4287</v>
      </c>
      <c r="X455" s="14" t="s">
        <v>60</v>
      </c>
    </row>
    <row r="456" spans="1:24" ht="15" x14ac:dyDescent="0.3">
      <c r="A456" s="3">
        <v>25</v>
      </c>
      <c r="B456" s="3" t="s">
        <v>5935</v>
      </c>
      <c r="C456" s="14" t="s">
        <v>0</v>
      </c>
      <c r="D456" s="14" t="s">
        <v>1012</v>
      </c>
      <c r="E456" s="14" t="s">
        <v>5936</v>
      </c>
      <c r="F456" s="14" t="s">
        <v>1013</v>
      </c>
      <c r="G456" s="14" t="s">
        <v>121</v>
      </c>
      <c r="H456" s="14" t="s">
        <v>5937</v>
      </c>
      <c r="I456" s="14" t="s">
        <v>1014</v>
      </c>
      <c r="J456" s="14" t="s">
        <v>60</v>
      </c>
      <c r="K456" s="14" t="s">
        <v>60</v>
      </c>
      <c r="L456" s="14" t="s">
        <v>60</v>
      </c>
      <c r="M456" s="14" t="s">
        <v>1015</v>
      </c>
      <c r="N456" s="14" t="s">
        <v>60</v>
      </c>
      <c r="O456" s="14" t="s">
        <v>114</v>
      </c>
      <c r="P456" s="14" t="s">
        <v>5938</v>
      </c>
      <c r="Q456" s="14" t="s">
        <v>11</v>
      </c>
      <c r="R456" s="3">
        <v>0</v>
      </c>
      <c r="S456" s="3">
        <f t="shared" si="22"/>
        <v>550</v>
      </c>
      <c r="T456" s="3">
        <f t="shared" si="23"/>
        <v>0</v>
      </c>
      <c r="U456" s="3" t="s">
        <v>60</v>
      </c>
      <c r="V456" s="14" t="s">
        <v>6</v>
      </c>
      <c r="W456" s="14" t="s">
        <v>5939</v>
      </c>
      <c r="X456" s="14" t="s">
        <v>60</v>
      </c>
    </row>
    <row r="457" spans="1:24" ht="15" x14ac:dyDescent="0.3">
      <c r="A457" s="3">
        <v>26</v>
      </c>
      <c r="B457" s="3" t="s">
        <v>5940</v>
      </c>
      <c r="C457" s="14" t="s">
        <v>0</v>
      </c>
      <c r="D457" s="14" t="s">
        <v>1016</v>
      </c>
      <c r="E457" s="14" t="s">
        <v>5941</v>
      </c>
      <c r="F457" s="14" t="s">
        <v>1017</v>
      </c>
      <c r="G457" s="14" t="s">
        <v>3</v>
      </c>
      <c r="H457" s="14" t="s">
        <v>5942</v>
      </c>
      <c r="I457" s="14" t="s">
        <v>5943</v>
      </c>
      <c r="J457" s="14" t="s">
        <v>228</v>
      </c>
      <c r="K457" s="14" t="s">
        <v>60</v>
      </c>
      <c r="L457" s="14" t="s">
        <v>590</v>
      </c>
      <c r="M457" s="14" t="s">
        <v>1018</v>
      </c>
      <c r="N457" s="14" t="s">
        <v>60</v>
      </c>
      <c r="O457" s="14" t="s">
        <v>179</v>
      </c>
      <c r="P457" s="14" t="s">
        <v>5944</v>
      </c>
      <c r="Q457" s="14" t="s">
        <v>11</v>
      </c>
      <c r="R457" s="3">
        <v>0</v>
      </c>
      <c r="S457" s="3">
        <f t="shared" si="22"/>
        <v>550</v>
      </c>
      <c r="T457" s="3">
        <f t="shared" si="23"/>
        <v>0</v>
      </c>
      <c r="U457" s="3" t="s">
        <v>60</v>
      </c>
      <c r="V457" s="14" t="s">
        <v>6</v>
      </c>
      <c r="W457" s="14" t="s">
        <v>4287</v>
      </c>
      <c r="X457" s="14" t="s">
        <v>60</v>
      </c>
    </row>
    <row r="458" spans="1:24" ht="15" x14ac:dyDescent="0.3">
      <c r="A458" s="3">
        <v>27</v>
      </c>
      <c r="B458" s="3" t="s">
        <v>5945</v>
      </c>
      <c r="C458" s="14" t="s">
        <v>0</v>
      </c>
      <c r="D458" s="14" t="s">
        <v>1019</v>
      </c>
      <c r="E458" s="14" t="s">
        <v>5946</v>
      </c>
      <c r="F458" s="14" t="s">
        <v>1020</v>
      </c>
      <c r="G458" s="14" t="s">
        <v>3</v>
      </c>
      <c r="H458" s="14" t="s">
        <v>5947</v>
      </c>
      <c r="I458" s="14" t="s">
        <v>5948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184</v>
      </c>
      <c r="P458" s="14" t="s">
        <v>5949</v>
      </c>
      <c r="Q458" s="14" t="s">
        <v>11</v>
      </c>
      <c r="R458" s="3">
        <v>0</v>
      </c>
      <c r="S458" s="3">
        <f t="shared" si="22"/>
        <v>550</v>
      </c>
      <c r="T458" s="3">
        <f t="shared" si="23"/>
        <v>0</v>
      </c>
      <c r="U458" s="3" t="s">
        <v>60</v>
      </c>
      <c r="V458" s="14" t="s">
        <v>6</v>
      </c>
      <c r="W458" s="14" t="s">
        <v>4287</v>
      </c>
      <c r="X458" s="14" t="s">
        <v>60</v>
      </c>
    </row>
    <row r="459" spans="1:24" ht="15" x14ac:dyDescent="0.3">
      <c r="A459" s="3">
        <v>28</v>
      </c>
      <c r="B459" s="3" t="s">
        <v>5950</v>
      </c>
      <c r="C459" s="14" t="s">
        <v>0</v>
      </c>
      <c r="D459" s="14" t="s">
        <v>1021</v>
      </c>
      <c r="E459" s="14" t="s">
        <v>5951</v>
      </c>
      <c r="F459" s="14" t="s">
        <v>1022</v>
      </c>
      <c r="G459" s="14" t="s">
        <v>3</v>
      </c>
      <c r="H459" s="14" t="s">
        <v>5952</v>
      </c>
      <c r="I459" s="14" t="s">
        <v>1023</v>
      </c>
      <c r="J459" s="14" t="s">
        <v>60</v>
      </c>
      <c r="K459" s="14" t="s">
        <v>60</v>
      </c>
      <c r="L459" s="14" t="s">
        <v>60</v>
      </c>
      <c r="M459" s="14" t="s">
        <v>1024</v>
      </c>
      <c r="N459" s="14" t="s">
        <v>60</v>
      </c>
      <c r="O459" s="14" t="s">
        <v>485</v>
      </c>
      <c r="P459" s="14" t="s">
        <v>5953</v>
      </c>
      <c r="Q459" s="14" t="s">
        <v>11</v>
      </c>
      <c r="R459" s="3">
        <v>0</v>
      </c>
      <c r="S459" s="3">
        <f t="shared" si="22"/>
        <v>550</v>
      </c>
      <c r="T459" s="3">
        <f t="shared" si="23"/>
        <v>0</v>
      </c>
      <c r="U459" s="3" t="s">
        <v>60</v>
      </c>
      <c r="V459" s="14" t="s">
        <v>6</v>
      </c>
      <c r="W459" s="14" t="s">
        <v>5954</v>
      </c>
      <c r="X459" s="14" t="s">
        <v>60</v>
      </c>
    </row>
    <row r="460" spans="1:24" ht="15" x14ac:dyDescent="0.3">
      <c r="A460" s="3">
        <v>29</v>
      </c>
      <c r="B460" s="3" t="s">
        <v>5955</v>
      </c>
      <c r="C460" s="14" t="s">
        <v>0</v>
      </c>
      <c r="D460" s="14" t="s">
        <v>1025</v>
      </c>
      <c r="E460" s="14" t="s">
        <v>5956</v>
      </c>
      <c r="F460" s="14" t="s">
        <v>1026</v>
      </c>
      <c r="G460" s="14" t="s">
        <v>3</v>
      </c>
      <c r="H460" s="14" t="s">
        <v>5957</v>
      </c>
      <c r="I460" s="14" t="s">
        <v>1027</v>
      </c>
      <c r="J460" s="14" t="s">
        <v>60</v>
      </c>
      <c r="K460" s="14" t="s">
        <v>60</v>
      </c>
      <c r="L460" s="14" t="s">
        <v>60</v>
      </c>
      <c r="M460" s="14" t="s">
        <v>1028</v>
      </c>
      <c r="N460" s="14" t="s">
        <v>60</v>
      </c>
      <c r="O460" s="14" t="s">
        <v>485</v>
      </c>
      <c r="P460" s="14" t="s">
        <v>5958</v>
      </c>
      <c r="Q460" s="14" t="s">
        <v>11</v>
      </c>
      <c r="R460" s="3">
        <v>0</v>
      </c>
      <c r="S460" s="3">
        <f t="shared" si="22"/>
        <v>550</v>
      </c>
      <c r="T460" s="3">
        <f t="shared" si="23"/>
        <v>0</v>
      </c>
      <c r="U460" s="3" t="s">
        <v>60</v>
      </c>
      <c r="V460" s="14" t="s">
        <v>6</v>
      </c>
      <c r="W460" s="14" t="s">
        <v>5954</v>
      </c>
      <c r="X460" s="14" t="s">
        <v>60</v>
      </c>
    </row>
    <row r="461" spans="1:24" ht="15" x14ac:dyDescent="0.3">
      <c r="A461" s="3">
        <v>30</v>
      </c>
      <c r="B461" s="3" t="s">
        <v>5959</v>
      </c>
      <c r="C461" s="14" t="s">
        <v>0</v>
      </c>
      <c r="D461" s="14" t="s">
        <v>1029</v>
      </c>
      <c r="E461" s="14" t="s">
        <v>5960</v>
      </c>
      <c r="F461" s="14" t="s">
        <v>1030</v>
      </c>
      <c r="G461" s="14" t="s">
        <v>3</v>
      </c>
      <c r="H461" s="14" t="s">
        <v>5961</v>
      </c>
      <c r="I461" s="14" t="s">
        <v>1031</v>
      </c>
      <c r="J461" s="14" t="s">
        <v>228</v>
      </c>
      <c r="K461" s="14" t="s">
        <v>60</v>
      </c>
      <c r="L461" s="14" t="s">
        <v>60</v>
      </c>
      <c r="M461" s="14" t="s">
        <v>1032</v>
      </c>
      <c r="N461" s="14" t="s">
        <v>60</v>
      </c>
      <c r="O461" s="14" t="s">
        <v>193</v>
      </c>
      <c r="P461" s="14" t="s">
        <v>5962</v>
      </c>
      <c r="Q461" s="14" t="s">
        <v>11</v>
      </c>
      <c r="R461" s="3">
        <v>0</v>
      </c>
      <c r="S461" s="3">
        <f t="shared" si="22"/>
        <v>550</v>
      </c>
      <c r="T461" s="3">
        <f t="shared" si="23"/>
        <v>0</v>
      </c>
      <c r="U461" s="3" t="s">
        <v>60</v>
      </c>
      <c r="V461" s="14" t="s">
        <v>6</v>
      </c>
      <c r="W461" s="14" t="s">
        <v>4287</v>
      </c>
      <c r="X461" s="14" t="s">
        <v>60</v>
      </c>
    </row>
    <row r="462" spans="1:24" ht="15" x14ac:dyDescent="0.3">
      <c r="A462" s="3">
        <v>31</v>
      </c>
      <c r="B462" s="3" t="s">
        <v>5963</v>
      </c>
      <c r="C462" s="14" t="s">
        <v>0</v>
      </c>
      <c r="D462" s="14" t="s">
        <v>1033</v>
      </c>
      <c r="E462" s="14" t="s">
        <v>5964</v>
      </c>
      <c r="F462" s="14" t="s">
        <v>951</v>
      </c>
      <c r="G462" s="14" t="s">
        <v>3</v>
      </c>
      <c r="H462" s="14" t="s">
        <v>5965</v>
      </c>
      <c r="I462" s="14" t="s">
        <v>1034</v>
      </c>
      <c r="J462" s="14" t="s">
        <v>228</v>
      </c>
      <c r="K462" s="14" t="s">
        <v>60</v>
      </c>
      <c r="L462" s="14" t="s">
        <v>60</v>
      </c>
      <c r="M462" s="14" t="s">
        <v>1035</v>
      </c>
      <c r="N462" s="14" t="s">
        <v>60</v>
      </c>
      <c r="O462" s="14" t="s">
        <v>5966</v>
      </c>
      <c r="P462" s="14" t="s">
        <v>5967</v>
      </c>
      <c r="Q462" s="14" t="s">
        <v>180</v>
      </c>
      <c r="R462" s="3">
        <v>0</v>
      </c>
      <c r="S462" s="3">
        <f t="shared" si="22"/>
        <v>550</v>
      </c>
      <c r="T462" s="3">
        <f t="shared" si="23"/>
        <v>0</v>
      </c>
      <c r="U462" s="3" t="s">
        <v>60</v>
      </c>
      <c r="V462" s="14" t="s">
        <v>6</v>
      </c>
      <c r="W462" s="14" t="s">
        <v>4287</v>
      </c>
      <c r="X462" s="14" t="s">
        <v>60</v>
      </c>
    </row>
    <row r="463" spans="1:24" ht="15" x14ac:dyDescent="0.3">
      <c r="A463" s="3">
        <v>32</v>
      </c>
      <c r="B463" s="3" t="s">
        <v>5968</v>
      </c>
      <c r="C463" s="14" t="s">
        <v>0</v>
      </c>
      <c r="D463" s="14" t="s">
        <v>1036</v>
      </c>
      <c r="E463" s="14" t="s">
        <v>5969</v>
      </c>
      <c r="F463" s="14" t="s">
        <v>930</v>
      </c>
      <c r="G463" s="14" t="s">
        <v>3</v>
      </c>
      <c r="H463" s="14" t="s">
        <v>5970</v>
      </c>
      <c r="I463" s="14" t="s">
        <v>1037</v>
      </c>
      <c r="J463" s="14" t="s">
        <v>60</v>
      </c>
      <c r="K463" s="14" t="s">
        <v>60</v>
      </c>
      <c r="L463" s="14" t="s">
        <v>60</v>
      </c>
      <c r="M463" s="14" t="s">
        <v>1038</v>
      </c>
      <c r="N463" s="14" t="s">
        <v>60</v>
      </c>
      <c r="O463" s="14" t="s">
        <v>60</v>
      </c>
      <c r="P463" s="14" t="s">
        <v>5971</v>
      </c>
      <c r="Q463" s="14" t="s">
        <v>11</v>
      </c>
      <c r="R463" s="3">
        <v>0</v>
      </c>
      <c r="S463" s="3">
        <f t="shared" si="22"/>
        <v>550</v>
      </c>
      <c r="T463" s="3">
        <f t="shared" si="23"/>
        <v>0</v>
      </c>
      <c r="U463" s="3" t="s">
        <v>60</v>
      </c>
      <c r="V463" s="14" t="s">
        <v>6</v>
      </c>
      <c r="W463" s="14" t="s">
        <v>4287</v>
      </c>
      <c r="X463" s="14" t="s">
        <v>60</v>
      </c>
    </row>
    <row r="464" spans="1:24" ht="15" x14ac:dyDescent="0.3">
      <c r="A464" s="3">
        <v>33</v>
      </c>
      <c r="B464" s="3" t="s">
        <v>5972</v>
      </c>
      <c r="C464" s="14" t="s">
        <v>0</v>
      </c>
      <c r="D464" s="14" t="s">
        <v>1039</v>
      </c>
      <c r="E464" s="14" t="s">
        <v>5973</v>
      </c>
      <c r="F464" s="14" t="s">
        <v>1040</v>
      </c>
      <c r="G464" s="14" t="s">
        <v>3</v>
      </c>
      <c r="H464" s="14" t="s">
        <v>5974</v>
      </c>
      <c r="I464" s="14" t="s">
        <v>1041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4" t="s">
        <v>60</v>
      </c>
      <c r="O464" s="14" t="s">
        <v>193</v>
      </c>
      <c r="P464" s="14" t="s">
        <v>5975</v>
      </c>
      <c r="Q464" s="14" t="s">
        <v>11</v>
      </c>
      <c r="R464" s="3">
        <v>0</v>
      </c>
      <c r="S464" s="3">
        <f t="shared" si="22"/>
        <v>550</v>
      </c>
      <c r="T464" s="3">
        <f t="shared" si="23"/>
        <v>0</v>
      </c>
      <c r="U464" s="3" t="s">
        <v>60</v>
      </c>
      <c r="V464" s="14" t="s">
        <v>6</v>
      </c>
      <c r="W464" s="14" t="s">
        <v>4287</v>
      </c>
      <c r="X464" s="14" t="s">
        <v>60</v>
      </c>
    </row>
    <row r="465" spans="1:24" ht="15" x14ac:dyDescent="0.3">
      <c r="A465" s="3">
        <v>34</v>
      </c>
      <c r="B465" s="3" t="s">
        <v>5976</v>
      </c>
      <c r="C465" s="14" t="s">
        <v>0</v>
      </c>
      <c r="D465" s="14" t="s">
        <v>1042</v>
      </c>
      <c r="E465" s="14" t="s">
        <v>5977</v>
      </c>
      <c r="F465" s="14" t="s">
        <v>1043</v>
      </c>
      <c r="G465" s="14" t="s">
        <v>3</v>
      </c>
      <c r="H465" s="14" t="s">
        <v>5978</v>
      </c>
      <c r="I465" s="14" t="s">
        <v>1044</v>
      </c>
      <c r="J465" s="14" t="s">
        <v>60</v>
      </c>
      <c r="K465" s="14" t="s">
        <v>60</v>
      </c>
      <c r="L465" s="14" t="s">
        <v>60</v>
      </c>
      <c r="M465" s="14" t="s">
        <v>60</v>
      </c>
      <c r="N465" s="14" t="s">
        <v>60</v>
      </c>
      <c r="O465" s="14" t="s">
        <v>86</v>
      </c>
      <c r="P465" s="14" t="s">
        <v>5979</v>
      </c>
      <c r="Q465" s="14" t="s">
        <v>11</v>
      </c>
      <c r="R465" s="3">
        <v>0</v>
      </c>
      <c r="S465" s="3">
        <f t="shared" si="22"/>
        <v>550</v>
      </c>
      <c r="T465" s="3">
        <f t="shared" si="23"/>
        <v>0</v>
      </c>
      <c r="U465" s="3" t="s">
        <v>60</v>
      </c>
      <c r="V465" s="14" t="s">
        <v>6</v>
      </c>
      <c r="W465" s="14" t="s">
        <v>5980</v>
      </c>
      <c r="X465" s="14" t="s">
        <v>60</v>
      </c>
    </row>
    <row r="466" spans="1:24" ht="15" x14ac:dyDescent="0.3">
      <c r="A466" s="3">
        <v>35</v>
      </c>
      <c r="B466" s="3" t="s">
        <v>5981</v>
      </c>
      <c r="C466" s="14" t="s">
        <v>0</v>
      </c>
      <c r="D466" s="14" t="s">
        <v>1045</v>
      </c>
      <c r="E466" s="14" t="s">
        <v>5982</v>
      </c>
      <c r="F466" s="14" t="s">
        <v>1046</v>
      </c>
      <c r="G466" s="14" t="s">
        <v>3</v>
      </c>
      <c r="H466" s="14" t="s">
        <v>5983</v>
      </c>
      <c r="I466" s="14" t="s">
        <v>1047</v>
      </c>
      <c r="J466" s="14" t="s">
        <v>60</v>
      </c>
      <c r="K466" s="14" t="s">
        <v>60</v>
      </c>
      <c r="L466" s="14" t="s">
        <v>60</v>
      </c>
      <c r="M466" s="14" t="s">
        <v>1048</v>
      </c>
      <c r="N466" s="14" t="s">
        <v>60</v>
      </c>
      <c r="O466" s="14" t="s">
        <v>114</v>
      </c>
      <c r="P466" s="14" t="s">
        <v>5984</v>
      </c>
      <c r="Q466" s="14" t="s">
        <v>11</v>
      </c>
      <c r="R466" s="3">
        <v>0</v>
      </c>
      <c r="S466" s="3">
        <f t="shared" si="22"/>
        <v>550</v>
      </c>
      <c r="T466" s="3">
        <f t="shared" si="23"/>
        <v>0</v>
      </c>
      <c r="U466" s="3" t="s">
        <v>60</v>
      </c>
      <c r="V466" s="14" t="s">
        <v>6</v>
      </c>
      <c r="W466" s="14" t="s">
        <v>5939</v>
      </c>
      <c r="X466" s="14" t="s">
        <v>60</v>
      </c>
    </row>
    <row r="467" spans="1:24" ht="15" x14ac:dyDescent="0.3">
      <c r="A467" s="3">
        <v>36</v>
      </c>
      <c r="B467" s="3" t="s">
        <v>5985</v>
      </c>
      <c r="C467" s="14" t="s">
        <v>0</v>
      </c>
      <c r="D467" s="14" t="s">
        <v>1049</v>
      </c>
      <c r="E467" s="14" t="s">
        <v>5986</v>
      </c>
      <c r="F467" s="14" t="s">
        <v>1050</v>
      </c>
      <c r="G467" s="14" t="s">
        <v>3</v>
      </c>
      <c r="H467" s="14" t="s">
        <v>5987</v>
      </c>
      <c r="I467" s="14" t="s">
        <v>1051</v>
      </c>
      <c r="J467" s="14" t="s">
        <v>60</v>
      </c>
      <c r="K467" s="14" t="s">
        <v>60</v>
      </c>
      <c r="L467" s="14" t="s">
        <v>60</v>
      </c>
      <c r="M467" s="14" t="s">
        <v>60</v>
      </c>
      <c r="N467" s="14" t="s">
        <v>60</v>
      </c>
      <c r="O467" s="14" t="s">
        <v>60</v>
      </c>
      <c r="P467" s="14" t="s">
        <v>5988</v>
      </c>
      <c r="Q467" s="14" t="s">
        <v>426</v>
      </c>
      <c r="R467" s="3">
        <v>0</v>
      </c>
      <c r="S467" s="3">
        <f t="shared" si="22"/>
        <v>550</v>
      </c>
      <c r="T467" s="3">
        <f t="shared" si="23"/>
        <v>0</v>
      </c>
      <c r="U467" s="3" t="s">
        <v>60</v>
      </c>
      <c r="V467" s="14" t="s">
        <v>6</v>
      </c>
      <c r="W467" s="14" t="s">
        <v>5989</v>
      </c>
      <c r="X467" s="14" t="s">
        <v>60</v>
      </c>
    </row>
    <row r="468" spans="1:24" ht="15" x14ac:dyDescent="0.3">
      <c r="A468" s="3">
        <v>37</v>
      </c>
      <c r="B468" s="3" t="s">
        <v>1052</v>
      </c>
      <c r="C468" s="14" t="s">
        <v>91</v>
      </c>
      <c r="D468" s="14" t="s">
        <v>1053</v>
      </c>
      <c r="E468" s="14" t="s">
        <v>5990</v>
      </c>
      <c r="F468" s="14" t="s">
        <v>1054</v>
      </c>
      <c r="G468" s="14" t="s">
        <v>3</v>
      </c>
      <c r="H468" s="14" t="s">
        <v>5991</v>
      </c>
      <c r="I468" s="14" t="s">
        <v>1055</v>
      </c>
      <c r="J468" s="14" t="s">
        <v>60</v>
      </c>
      <c r="K468" s="14" t="s">
        <v>60</v>
      </c>
      <c r="L468" s="14" t="s">
        <v>590</v>
      </c>
      <c r="M468" s="14" t="s">
        <v>1056</v>
      </c>
      <c r="N468" s="14" t="s">
        <v>60</v>
      </c>
      <c r="O468" s="14" t="s">
        <v>193</v>
      </c>
      <c r="P468" s="14" t="s">
        <v>5992</v>
      </c>
      <c r="Q468" s="14" t="s">
        <v>11</v>
      </c>
      <c r="R468" s="3">
        <v>0</v>
      </c>
      <c r="S468" s="3">
        <f t="shared" si="22"/>
        <v>770</v>
      </c>
      <c r="T468" s="3">
        <f t="shared" si="23"/>
        <v>0</v>
      </c>
      <c r="U468" s="3" t="s">
        <v>60</v>
      </c>
      <c r="V468" s="14" t="s">
        <v>6</v>
      </c>
      <c r="W468" s="14" t="s">
        <v>4287</v>
      </c>
      <c r="X468" s="14" t="s">
        <v>60</v>
      </c>
    </row>
    <row r="469" spans="1:24" ht="15" x14ac:dyDescent="0.3">
      <c r="A469" s="3">
        <v>38</v>
      </c>
      <c r="B469" s="3" t="s">
        <v>5993</v>
      </c>
      <c r="C469" s="14" t="s">
        <v>313</v>
      </c>
      <c r="D469" s="14" t="s">
        <v>1057</v>
      </c>
      <c r="E469" s="14" t="s">
        <v>5994</v>
      </c>
      <c r="F469" s="14" t="s">
        <v>1058</v>
      </c>
      <c r="G469" s="14" t="s">
        <v>3</v>
      </c>
      <c r="H469" s="14" t="s">
        <v>1059</v>
      </c>
      <c r="I469" s="14" t="s">
        <v>1060</v>
      </c>
      <c r="J469" s="14" t="s">
        <v>60</v>
      </c>
      <c r="K469" s="14" t="s">
        <v>60</v>
      </c>
      <c r="L469" s="14" t="s">
        <v>60</v>
      </c>
      <c r="M469" s="14" t="s">
        <v>60</v>
      </c>
      <c r="N469" s="14" t="s">
        <v>60</v>
      </c>
      <c r="O469" s="14" t="s">
        <v>1061</v>
      </c>
      <c r="P469" s="14" t="s">
        <v>5995</v>
      </c>
      <c r="Q469" s="14" t="s">
        <v>11</v>
      </c>
      <c r="R469" s="3">
        <v>0</v>
      </c>
      <c r="S469" s="3">
        <f t="shared" si="22"/>
        <v>550</v>
      </c>
      <c r="T469" s="3">
        <f t="shared" si="23"/>
        <v>0</v>
      </c>
      <c r="U469" s="3" t="s">
        <v>60</v>
      </c>
      <c r="V469" s="14" t="s">
        <v>6</v>
      </c>
      <c r="W469" s="14" t="s">
        <v>4287</v>
      </c>
      <c r="X469" s="14" t="s">
        <v>60</v>
      </c>
    </row>
    <row r="470" spans="1:24" ht="15" x14ac:dyDescent="0.3">
      <c r="A470" s="3">
        <v>39</v>
      </c>
      <c r="B470" s="3" t="s">
        <v>5996</v>
      </c>
      <c r="C470" s="14" t="s">
        <v>0</v>
      </c>
      <c r="D470" s="14" t="s">
        <v>3912</v>
      </c>
      <c r="E470" s="14" t="s">
        <v>5997</v>
      </c>
      <c r="F470" s="14" t="s">
        <v>3913</v>
      </c>
      <c r="G470" s="14" t="s">
        <v>121</v>
      </c>
      <c r="H470" s="14" t="s">
        <v>5998</v>
      </c>
      <c r="I470" s="14" t="s">
        <v>3911</v>
      </c>
      <c r="J470" s="14" t="s">
        <v>60</v>
      </c>
      <c r="K470" s="14" t="s">
        <v>60</v>
      </c>
      <c r="L470" s="14" t="s">
        <v>60</v>
      </c>
      <c r="M470" s="14" t="s">
        <v>3914</v>
      </c>
      <c r="N470" s="14" t="s">
        <v>60</v>
      </c>
      <c r="O470" s="14" t="s">
        <v>3910</v>
      </c>
      <c r="P470" s="14" t="s">
        <v>5999</v>
      </c>
      <c r="Q470" s="14" t="s">
        <v>11</v>
      </c>
      <c r="R470" s="3">
        <v>0</v>
      </c>
      <c r="S470" s="3">
        <f t="shared" si="22"/>
        <v>550</v>
      </c>
      <c r="T470" s="3">
        <f t="shared" si="23"/>
        <v>0</v>
      </c>
      <c r="U470" s="3" t="s">
        <v>6000</v>
      </c>
      <c r="V470" s="14" t="s">
        <v>6</v>
      </c>
      <c r="W470" s="14" t="s">
        <v>5755</v>
      </c>
      <c r="X470" s="14" t="s">
        <v>60</v>
      </c>
    </row>
    <row r="471" spans="1:24" ht="15.6" x14ac:dyDescent="0.3">
      <c r="A471" s="26" t="s">
        <v>60</v>
      </c>
      <c r="B471" s="26" t="s">
        <v>60</v>
      </c>
      <c r="C471" s="27" t="s">
        <v>60</v>
      </c>
      <c r="D471" s="27" t="s">
        <v>60</v>
      </c>
      <c r="E471" s="27" t="s">
        <v>60</v>
      </c>
      <c r="F471" s="27" t="s">
        <v>60</v>
      </c>
      <c r="G471" s="27" t="s">
        <v>60</v>
      </c>
      <c r="H471" s="27" t="s">
        <v>60</v>
      </c>
      <c r="I471" s="27" t="s">
        <v>60</v>
      </c>
      <c r="J471" s="27" t="s">
        <v>60</v>
      </c>
      <c r="K471" s="27" t="s">
        <v>60</v>
      </c>
      <c r="L471" s="27" t="s">
        <v>60</v>
      </c>
      <c r="M471" s="27" t="s">
        <v>60</v>
      </c>
      <c r="N471" s="27" t="s">
        <v>60</v>
      </c>
      <c r="O471" s="27" t="s">
        <v>60</v>
      </c>
      <c r="P471" s="27" t="s">
        <v>60</v>
      </c>
      <c r="Q471" s="27" t="s">
        <v>60</v>
      </c>
      <c r="R471" s="35" t="s">
        <v>2009</v>
      </c>
      <c r="S471" s="35" t="s">
        <v>60</v>
      </c>
      <c r="T471" s="26">
        <f>SUM(T431:T470)</f>
        <v>0</v>
      </c>
      <c r="U471" s="26" t="s">
        <v>6001</v>
      </c>
      <c r="V471" s="27" t="s">
        <v>60</v>
      </c>
      <c r="W471" s="27" t="s">
        <v>60</v>
      </c>
      <c r="X471" s="27" t="s">
        <v>60</v>
      </c>
    </row>
    <row r="472" spans="1:24" ht="15.6" x14ac:dyDescent="0.3">
      <c r="A472" s="34" t="s">
        <v>6002</v>
      </c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 spans="1:24" ht="109.2" x14ac:dyDescent="0.3">
      <c r="A473" s="23" t="s">
        <v>42</v>
      </c>
      <c r="B473" s="23" t="s">
        <v>43</v>
      </c>
      <c r="C473" s="24" t="s">
        <v>44</v>
      </c>
      <c r="D473" s="24" t="s">
        <v>4154</v>
      </c>
      <c r="E473" s="24" t="s">
        <v>4155</v>
      </c>
      <c r="F473" s="24" t="s">
        <v>4156</v>
      </c>
      <c r="G473" s="24" t="s">
        <v>45</v>
      </c>
      <c r="H473" s="24" t="s">
        <v>4157</v>
      </c>
      <c r="I473" s="24" t="s">
        <v>46</v>
      </c>
      <c r="J473" s="24" t="s">
        <v>4158</v>
      </c>
      <c r="K473" s="24" t="s">
        <v>4159</v>
      </c>
      <c r="L473" s="24" t="s">
        <v>4160</v>
      </c>
      <c r="M473" s="24" t="s">
        <v>4161</v>
      </c>
      <c r="N473" s="24" t="s">
        <v>47</v>
      </c>
      <c r="O473" s="24" t="s">
        <v>48</v>
      </c>
      <c r="P473" s="24" t="s">
        <v>49</v>
      </c>
      <c r="Q473" s="24" t="s">
        <v>50</v>
      </c>
      <c r="R473" s="23" t="s">
        <v>4162</v>
      </c>
      <c r="S473" s="23" t="s">
        <v>4163</v>
      </c>
      <c r="T473" s="23" t="s">
        <v>4164</v>
      </c>
      <c r="U473" s="23" t="s">
        <v>4165</v>
      </c>
      <c r="V473" s="24" t="s">
        <v>51</v>
      </c>
      <c r="W473" s="24" t="s">
        <v>52</v>
      </c>
      <c r="X473" s="24" t="s">
        <v>53</v>
      </c>
    </row>
    <row r="474" spans="1:24" ht="15" x14ac:dyDescent="0.3">
      <c r="A474" s="3">
        <v>1</v>
      </c>
      <c r="B474" s="3" t="s">
        <v>54</v>
      </c>
      <c r="C474" s="14" t="s">
        <v>0</v>
      </c>
      <c r="D474" s="14" t="s">
        <v>55</v>
      </c>
      <c r="E474" s="14" t="s">
        <v>6003</v>
      </c>
      <c r="F474" s="14" t="s">
        <v>56</v>
      </c>
      <c r="G474" s="14" t="s">
        <v>3</v>
      </c>
      <c r="H474" s="14" t="s">
        <v>6004</v>
      </c>
      <c r="I474" s="14" t="s">
        <v>57</v>
      </c>
      <c r="J474" s="14" t="s">
        <v>60</v>
      </c>
      <c r="K474" s="14" t="s">
        <v>60</v>
      </c>
      <c r="L474" s="14" t="s">
        <v>60</v>
      </c>
      <c r="M474" s="14" t="s">
        <v>58</v>
      </c>
      <c r="N474" s="14" t="s">
        <v>60</v>
      </c>
      <c r="O474" s="14" t="s">
        <v>59</v>
      </c>
      <c r="P474" s="14" t="s">
        <v>6005</v>
      </c>
      <c r="Q474" s="14" t="s">
        <v>11</v>
      </c>
      <c r="R474" s="3">
        <v>0</v>
      </c>
      <c r="S474" s="3">
        <f t="shared" ref="S474:S506" si="24">IF(RIGHT(C474,3)="MAZ",550,IF(RIGHT(C474,4)="MATE",570,IF(RIGHT(C474,7)="SKD-III",640,IF(RIGHT(C474,6)="SKD-II",770,IF(RIGHT(C474,5)="SKD-I",900,IF(RIGHT(C474,5)="CPDVR",770,""))))))</f>
        <v>550</v>
      </c>
      <c r="T474" s="3">
        <f t="shared" ref="T474:T506" si="25">R474*S474</f>
        <v>0</v>
      </c>
      <c r="U474" s="3" t="s">
        <v>60</v>
      </c>
      <c r="V474" s="14" t="s">
        <v>6</v>
      </c>
      <c r="W474" s="14" t="s">
        <v>4287</v>
      </c>
      <c r="X474" s="14" t="s">
        <v>60</v>
      </c>
    </row>
    <row r="475" spans="1:24" ht="15" x14ac:dyDescent="0.3">
      <c r="A475" s="3">
        <v>2</v>
      </c>
      <c r="B475" s="3" t="s">
        <v>6006</v>
      </c>
      <c r="C475" s="14" t="s">
        <v>0</v>
      </c>
      <c r="D475" s="14" t="s">
        <v>61</v>
      </c>
      <c r="E475" s="14" t="s">
        <v>6007</v>
      </c>
      <c r="F475" s="14" t="s">
        <v>62</v>
      </c>
      <c r="G475" s="14" t="s">
        <v>3</v>
      </c>
      <c r="H475" s="14" t="s">
        <v>6008</v>
      </c>
      <c r="I475" s="14" t="s">
        <v>63</v>
      </c>
      <c r="J475" s="14" t="s">
        <v>60</v>
      </c>
      <c r="K475" s="14" t="s">
        <v>60</v>
      </c>
      <c r="L475" s="14" t="s">
        <v>60</v>
      </c>
      <c r="M475" s="14" t="s">
        <v>64</v>
      </c>
      <c r="N475" s="14" t="s">
        <v>60</v>
      </c>
      <c r="O475" s="14" t="s">
        <v>59</v>
      </c>
      <c r="P475" s="14" t="s">
        <v>6009</v>
      </c>
      <c r="Q475" s="14" t="s">
        <v>11</v>
      </c>
      <c r="R475" s="3">
        <v>0</v>
      </c>
      <c r="S475" s="3">
        <f t="shared" si="24"/>
        <v>550</v>
      </c>
      <c r="T475" s="3">
        <f t="shared" si="25"/>
        <v>0</v>
      </c>
      <c r="U475" s="3" t="s">
        <v>60</v>
      </c>
      <c r="V475" s="14" t="s">
        <v>6</v>
      </c>
      <c r="W475" s="14" t="s">
        <v>4287</v>
      </c>
      <c r="X475" s="14" t="s">
        <v>60</v>
      </c>
    </row>
    <row r="476" spans="1:24" ht="15" x14ac:dyDescent="0.3">
      <c r="A476" s="3">
        <v>3</v>
      </c>
      <c r="B476" s="3" t="s">
        <v>6010</v>
      </c>
      <c r="C476" s="14" t="s">
        <v>0</v>
      </c>
      <c r="D476" s="14" t="s">
        <v>65</v>
      </c>
      <c r="E476" s="14" t="s">
        <v>6011</v>
      </c>
      <c r="F476" s="14" t="s">
        <v>66</v>
      </c>
      <c r="G476" s="14" t="s">
        <v>3</v>
      </c>
      <c r="H476" s="14" t="s">
        <v>6012</v>
      </c>
      <c r="I476" s="14" t="s">
        <v>67</v>
      </c>
      <c r="J476" s="14" t="s">
        <v>60</v>
      </c>
      <c r="K476" s="14" t="s">
        <v>60</v>
      </c>
      <c r="L476" s="14" t="s">
        <v>60</v>
      </c>
      <c r="M476" s="14" t="s">
        <v>68</v>
      </c>
      <c r="N476" s="14" t="s">
        <v>60</v>
      </c>
      <c r="O476" s="14" t="s">
        <v>59</v>
      </c>
      <c r="P476" s="14" t="s">
        <v>6013</v>
      </c>
      <c r="Q476" s="14" t="s">
        <v>11</v>
      </c>
      <c r="R476" s="3">
        <v>0</v>
      </c>
      <c r="S476" s="3">
        <f t="shared" si="24"/>
        <v>550</v>
      </c>
      <c r="T476" s="3">
        <f t="shared" si="25"/>
        <v>0</v>
      </c>
      <c r="U476" s="3" t="s">
        <v>60</v>
      </c>
      <c r="V476" s="14" t="s">
        <v>6</v>
      </c>
      <c r="W476" s="14" t="s">
        <v>4287</v>
      </c>
      <c r="X476" s="14" t="s">
        <v>60</v>
      </c>
    </row>
    <row r="477" spans="1:24" ht="15" x14ac:dyDescent="0.3">
      <c r="A477" s="3">
        <v>4</v>
      </c>
      <c r="B477" s="3" t="s">
        <v>6014</v>
      </c>
      <c r="C477" s="14" t="s">
        <v>69</v>
      </c>
      <c r="D477" s="14" t="s">
        <v>70</v>
      </c>
      <c r="E477" s="14" t="s">
        <v>6015</v>
      </c>
      <c r="F477" s="14" t="s">
        <v>71</v>
      </c>
      <c r="G477" s="14" t="s">
        <v>3</v>
      </c>
      <c r="H477" s="14" t="s">
        <v>6016</v>
      </c>
      <c r="I477" s="14" t="s">
        <v>72</v>
      </c>
      <c r="J477" s="14" t="s">
        <v>60</v>
      </c>
      <c r="K477" s="14" t="s">
        <v>60</v>
      </c>
      <c r="L477" s="14" t="s">
        <v>60</v>
      </c>
      <c r="M477" s="14" t="s">
        <v>73</v>
      </c>
      <c r="N477" s="14" t="s">
        <v>60</v>
      </c>
      <c r="O477" s="14" t="s">
        <v>59</v>
      </c>
      <c r="P477" s="14" t="s">
        <v>6017</v>
      </c>
      <c r="Q477" s="14" t="s">
        <v>11</v>
      </c>
      <c r="R477" s="3">
        <v>0</v>
      </c>
      <c r="S477" s="3">
        <f t="shared" si="24"/>
        <v>570</v>
      </c>
      <c r="T477" s="3">
        <f t="shared" si="25"/>
        <v>0</v>
      </c>
      <c r="U477" s="3" t="s">
        <v>60</v>
      </c>
      <c r="V477" s="14" t="s">
        <v>6</v>
      </c>
      <c r="W477" s="14" t="s">
        <v>6018</v>
      </c>
      <c r="X477" s="14" t="s">
        <v>60</v>
      </c>
    </row>
    <row r="478" spans="1:24" ht="15" x14ac:dyDescent="0.3">
      <c r="A478" s="3">
        <v>5</v>
      </c>
      <c r="B478" s="3" t="s">
        <v>6019</v>
      </c>
      <c r="C478" s="14" t="s">
        <v>0</v>
      </c>
      <c r="D478" s="14" t="s">
        <v>74</v>
      </c>
      <c r="E478" s="14" t="s">
        <v>6020</v>
      </c>
      <c r="F478" s="14" t="s">
        <v>75</v>
      </c>
      <c r="G478" s="14" t="s">
        <v>3</v>
      </c>
      <c r="H478" s="14" t="s">
        <v>6021</v>
      </c>
      <c r="I478" s="14" t="s">
        <v>76</v>
      </c>
      <c r="J478" s="14" t="s">
        <v>60</v>
      </c>
      <c r="K478" s="14" t="s">
        <v>60</v>
      </c>
      <c r="L478" s="14" t="s">
        <v>60</v>
      </c>
      <c r="M478" s="14" t="s">
        <v>77</v>
      </c>
      <c r="N478" s="14" t="s">
        <v>60</v>
      </c>
      <c r="O478" s="14" t="s">
        <v>6022</v>
      </c>
      <c r="P478" s="14" t="s">
        <v>6023</v>
      </c>
      <c r="Q478" s="14" t="s">
        <v>11</v>
      </c>
      <c r="R478" s="3">
        <v>0</v>
      </c>
      <c r="S478" s="3">
        <f t="shared" si="24"/>
        <v>550</v>
      </c>
      <c r="T478" s="3">
        <f t="shared" si="25"/>
        <v>0</v>
      </c>
      <c r="U478" s="3" t="s">
        <v>60</v>
      </c>
      <c r="V478" s="14" t="s">
        <v>6</v>
      </c>
      <c r="W478" s="14" t="s">
        <v>6018</v>
      </c>
      <c r="X478" s="14" t="s">
        <v>60</v>
      </c>
    </row>
    <row r="479" spans="1:24" ht="15" x14ac:dyDescent="0.3">
      <c r="A479" s="3">
        <v>6</v>
      </c>
      <c r="B479" s="3" t="s">
        <v>6024</v>
      </c>
      <c r="C479" s="14" t="s">
        <v>14</v>
      </c>
      <c r="D479" s="14" t="s">
        <v>78</v>
      </c>
      <c r="E479" s="14" t="s">
        <v>6025</v>
      </c>
      <c r="F479" s="14" t="s">
        <v>79</v>
      </c>
      <c r="G479" s="14" t="s">
        <v>3</v>
      </c>
      <c r="H479" s="14" t="s">
        <v>6026</v>
      </c>
      <c r="I479" s="14" t="s">
        <v>80</v>
      </c>
      <c r="J479" s="14" t="s">
        <v>60</v>
      </c>
      <c r="K479" s="14" t="s">
        <v>60</v>
      </c>
      <c r="L479" s="14" t="s">
        <v>60</v>
      </c>
      <c r="M479" s="14" t="s">
        <v>6027</v>
      </c>
      <c r="N479" s="14" t="s">
        <v>60</v>
      </c>
      <c r="O479" s="14" t="s">
        <v>59</v>
      </c>
      <c r="P479" s="14" t="s">
        <v>6028</v>
      </c>
      <c r="Q479" s="14" t="s">
        <v>81</v>
      </c>
      <c r="R479" s="3">
        <v>0</v>
      </c>
      <c r="S479" s="3">
        <f t="shared" si="24"/>
        <v>640</v>
      </c>
      <c r="T479" s="3">
        <f t="shared" si="25"/>
        <v>0</v>
      </c>
      <c r="U479" s="3" t="s">
        <v>60</v>
      </c>
      <c r="V479" s="14" t="s">
        <v>6</v>
      </c>
      <c r="W479" s="14" t="s">
        <v>4287</v>
      </c>
      <c r="X479" s="14" t="s">
        <v>60</v>
      </c>
    </row>
    <row r="480" spans="1:24" ht="15" x14ac:dyDescent="0.3">
      <c r="A480" s="3">
        <v>7</v>
      </c>
      <c r="B480" s="3" t="s">
        <v>6029</v>
      </c>
      <c r="C480" s="14" t="s">
        <v>0</v>
      </c>
      <c r="D480" s="14" t="s">
        <v>82</v>
      </c>
      <c r="E480" s="14" t="s">
        <v>6030</v>
      </c>
      <c r="F480" s="14" t="s">
        <v>83</v>
      </c>
      <c r="G480" s="14" t="s">
        <v>3</v>
      </c>
      <c r="H480" s="14" t="s">
        <v>6031</v>
      </c>
      <c r="I480" s="14" t="s">
        <v>84</v>
      </c>
      <c r="J480" s="14" t="s">
        <v>60</v>
      </c>
      <c r="K480" s="14" t="s">
        <v>60</v>
      </c>
      <c r="L480" s="14" t="s">
        <v>60</v>
      </c>
      <c r="M480" s="14" t="s">
        <v>68</v>
      </c>
      <c r="N480" s="14" t="s">
        <v>60</v>
      </c>
      <c r="O480" s="14" t="s">
        <v>59</v>
      </c>
      <c r="P480" s="14" t="s">
        <v>6032</v>
      </c>
      <c r="Q480" s="14" t="s">
        <v>11</v>
      </c>
      <c r="R480" s="3">
        <v>0</v>
      </c>
      <c r="S480" s="3">
        <f t="shared" si="24"/>
        <v>550</v>
      </c>
      <c r="T480" s="3">
        <f t="shared" si="25"/>
        <v>0</v>
      </c>
      <c r="U480" s="3" t="s">
        <v>60</v>
      </c>
      <c r="V480" s="14" t="s">
        <v>6</v>
      </c>
      <c r="W480" s="14" t="s">
        <v>6033</v>
      </c>
      <c r="X480" s="14" t="s">
        <v>60</v>
      </c>
    </row>
    <row r="481" spans="1:24" ht="15" x14ac:dyDescent="0.3">
      <c r="A481" s="3">
        <v>8</v>
      </c>
      <c r="B481" s="3" t="s">
        <v>6034</v>
      </c>
      <c r="C481" s="14" t="s">
        <v>0</v>
      </c>
      <c r="D481" s="14" t="s">
        <v>87</v>
      </c>
      <c r="E481" s="14" t="s">
        <v>4319</v>
      </c>
      <c r="F481" s="14" t="s">
        <v>88</v>
      </c>
      <c r="G481" s="14" t="s">
        <v>3</v>
      </c>
      <c r="H481" s="14" t="s">
        <v>6035</v>
      </c>
      <c r="I481" s="14" t="s">
        <v>89</v>
      </c>
      <c r="J481" s="14" t="s">
        <v>60</v>
      </c>
      <c r="K481" s="14" t="s">
        <v>60</v>
      </c>
      <c r="L481" s="14" t="s">
        <v>60</v>
      </c>
      <c r="M481" s="14" t="s">
        <v>68</v>
      </c>
      <c r="N481" s="14" t="s">
        <v>60</v>
      </c>
      <c r="O481" s="14" t="s">
        <v>86</v>
      </c>
      <c r="P481" s="14" t="s">
        <v>6036</v>
      </c>
      <c r="Q481" s="14" t="s">
        <v>11</v>
      </c>
      <c r="R481" s="3">
        <v>0</v>
      </c>
      <c r="S481" s="3">
        <f t="shared" si="24"/>
        <v>550</v>
      </c>
      <c r="T481" s="3">
        <f t="shared" si="25"/>
        <v>0</v>
      </c>
      <c r="U481" s="3" t="s">
        <v>60</v>
      </c>
      <c r="V481" s="14" t="s">
        <v>6</v>
      </c>
      <c r="W481" s="14" t="s">
        <v>6038</v>
      </c>
      <c r="X481" s="14" t="s">
        <v>60</v>
      </c>
    </row>
    <row r="482" spans="1:24" ht="15" x14ac:dyDescent="0.3">
      <c r="A482" s="3">
        <v>9</v>
      </c>
      <c r="B482" s="3" t="s">
        <v>90</v>
      </c>
      <c r="C482" s="14" t="s">
        <v>91</v>
      </c>
      <c r="D482" s="14" t="s">
        <v>92</v>
      </c>
      <c r="E482" s="14" t="s">
        <v>6039</v>
      </c>
      <c r="F482" s="14" t="s">
        <v>93</v>
      </c>
      <c r="G482" s="14" t="s">
        <v>3</v>
      </c>
      <c r="H482" s="14" t="s">
        <v>6040</v>
      </c>
      <c r="I482" s="14" t="s">
        <v>94</v>
      </c>
      <c r="J482" s="14" t="s">
        <v>60</v>
      </c>
      <c r="K482" s="14" t="s">
        <v>60</v>
      </c>
      <c r="L482" s="14" t="s">
        <v>60</v>
      </c>
      <c r="M482" s="14" t="s">
        <v>95</v>
      </c>
      <c r="N482" s="14" t="s">
        <v>60</v>
      </c>
      <c r="O482" s="14" t="s">
        <v>59</v>
      </c>
      <c r="P482" s="14" t="s">
        <v>6041</v>
      </c>
      <c r="Q482" s="14" t="s">
        <v>11</v>
      </c>
      <c r="R482" s="3">
        <v>0</v>
      </c>
      <c r="S482" s="3">
        <f t="shared" si="24"/>
        <v>770</v>
      </c>
      <c r="T482" s="3">
        <f t="shared" si="25"/>
        <v>0</v>
      </c>
      <c r="U482" s="3" t="s">
        <v>60</v>
      </c>
      <c r="V482" s="14" t="s">
        <v>6</v>
      </c>
      <c r="W482" s="14" t="s">
        <v>4287</v>
      </c>
      <c r="X482" s="14" t="s">
        <v>60</v>
      </c>
    </row>
    <row r="483" spans="1:24" ht="15" x14ac:dyDescent="0.3">
      <c r="A483" s="3">
        <v>10</v>
      </c>
      <c r="B483" s="3" t="s">
        <v>6042</v>
      </c>
      <c r="C483" s="14" t="s">
        <v>0</v>
      </c>
      <c r="D483" s="14" t="s">
        <v>97</v>
      </c>
      <c r="E483" s="14" t="s">
        <v>5258</v>
      </c>
      <c r="F483" s="14" t="s">
        <v>98</v>
      </c>
      <c r="G483" s="14" t="s">
        <v>3</v>
      </c>
      <c r="H483" s="14" t="s">
        <v>6043</v>
      </c>
      <c r="I483" s="14" t="s">
        <v>99</v>
      </c>
      <c r="J483" s="14" t="s">
        <v>60</v>
      </c>
      <c r="K483" s="14" t="s">
        <v>60</v>
      </c>
      <c r="L483" s="14" t="s">
        <v>60</v>
      </c>
      <c r="M483" s="14" t="s">
        <v>100</v>
      </c>
      <c r="N483" s="14" t="s">
        <v>60</v>
      </c>
      <c r="O483" s="14" t="s">
        <v>59</v>
      </c>
      <c r="P483" s="14" t="s">
        <v>6044</v>
      </c>
      <c r="Q483" s="14" t="s">
        <v>11</v>
      </c>
      <c r="R483" s="3">
        <v>0</v>
      </c>
      <c r="S483" s="3">
        <f t="shared" si="24"/>
        <v>550</v>
      </c>
      <c r="T483" s="3">
        <f t="shared" si="25"/>
        <v>0</v>
      </c>
      <c r="U483" s="3" t="s">
        <v>60</v>
      </c>
      <c r="V483" s="14" t="s">
        <v>6</v>
      </c>
      <c r="W483" s="14" t="s">
        <v>4287</v>
      </c>
      <c r="X483" s="14" t="s">
        <v>60</v>
      </c>
    </row>
    <row r="484" spans="1:24" ht="15" x14ac:dyDescent="0.3">
      <c r="A484" s="3">
        <v>11</v>
      </c>
      <c r="B484" s="3" t="s">
        <v>6045</v>
      </c>
      <c r="C484" s="14" t="s">
        <v>0</v>
      </c>
      <c r="D484" s="14" t="s">
        <v>101</v>
      </c>
      <c r="E484" s="14" t="s">
        <v>6046</v>
      </c>
      <c r="F484" s="14" t="s">
        <v>102</v>
      </c>
      <c r="G484" s="14" t="s">
        <v>3</v>
      </c>
      <c r="H484" s="14" t="s">
        <v>6047</v>
      </c>
      <c r="I484" s="14" t="s">
        <v>103</v>
      </c>
      <c r="J484" s="14" t="s">
        <v>60</v>
      </c>
      <c r="K484" s="14" t="s">
        <v>60</v>
      </c>
      <c r="L484" s="14" t="s">
        <v>60</v>
      </c>
      <c r="M484" s="14" t="s">
        <v>104</v>
      </c>
      <c r="N484" s="14" t="s">
        <v>60</v>
      </c>
      <c r="O484" s="14" t="s">
        <v>59</v>
      </c>
      <c r="P484" s="14" t="s">
        <v>6048</v>
      </c>
      <c r="Q484" s="14" t="s">
        <v>11</v>
      </c>
      <c r="R484" s="3">
        <v>0</v>
      </c>
      <c r="S484" s="3">
        <f t="shared" si="24"/>
        <v>550</v>
      </c>
      <c r="T484" s="3">
        <f t="shared" si="25"/>
        <v>0</v>
      </c>
      <c r="U484" s="3" t="s">
        <v>60</v>
      </c>
      <c r="V484" s="14" t="s">
        <v>6</v>
      </c>
      <c r="W484" s="14" t="s">
        <v>4287</v>
      </c>
      <c r="X484" s="14" t="s">
        <v>60</v>
      </c>
    </row>
    <row r="485" spans="1:24" ht="15" x14ac:dyDescent="0.3">
      <c r="A485" s="3">
        <v>12</v>
      </c>
      <c r="B485" s="3" t="s">
        <v>6049</v>
      </c>
      <c r="C485" s="14" t="s">
        <v>0</v>
      </c>
      <c r="D485" s="14" t="s">
        <v>105</v>
      </c>
      <c r="E485" s="14" t="s">
        <v>6050</v>
      </c>
      <c r="F485" s="14" t="s">
        <v>106</v>
      </c>
      <c r="G485" s="14" t="s">
        <v>3</v>
      </c>
      <c r="H485" s="14" t="s">
        <v>6051</v>
      </c>
      <c r="I485" s="14" t="s">
        <v>107</v>
      </c>
      <c r="J485" s="14" t="s">
        <v>60</v>
      </c>
      <c r="K485" s="14" t="s">
        <v>60</v>
      </c>
      <c r="L485" s="14" t="s">
        <v>60</v>
      </c>
      <c r="M485" s="14" t="s">
        <v>108</v>
      </c>
      <c r="N485" s="14" t="s">
        <v>60</v>
      </c>
      <c r="O485" s="14" t="s">
        <v>109</v>
      </c>
      <c r="P485" s="14" t="s">
        <v>6052</v>
      </c>
      <c r="Q485" s="14" t="s">
        <v>11</v>
      </c>
      <c r="R485" s="3">
        <v>0</v>
      </c>
      <c r="S485" s="3">
        <f t="shared" si="24"/>
        <v>550</v>
      </c>
      <c r="T485" s="3">
        <f t="shared" si="25"/>
        <v>0</v>
      </c>
      <c r="U485" s="3" t="s">
        <v>60</v>
      </c>
      <c r="V485" s="14" t="s">
        <v>6</v>
      </c>
      <c r="W485" s="14" t="s">
        <v>6053</v>
      </c>
      <c r="X485" s="14" t="s">
        <v>60</v>
      </c>
    </row>
    <row r="486" spans="1:24" ht="15" x14ac:dyDescent="0.3">
      <c r="A486" s="3">
        <v>13</v>
      </c>
      <c r="B486" s="3" t="s">
        <v>6054</v>
      </c>
      <c r="C486" s="14" t="s">
        <v>0</v>
      </c>
      <c r="D486" s="14" t="s">
        <v>115</v>
      </c>
      <c r="E486" s="14" t="s">
        <v>6055</v>
      </c>
      <c r="F486" s="14" t="s">
        <v>116</v>
      </c>
      <c r="G486" s="14" t="s">
        <v>3</v>
      </c>
      <c r="H486" s="14" t="s">
        <v>117</v>
      </c>
      <c r="I486" s="14" t="s">
        <v>118</v>
      </c>
      <c r="J486" s="14" t="s">
        <v>60</v>
      </c>
      <c r="K486" s="14" t="s">
        <v>60</v>
      </c>
      <c r="L486" s="14" t="s">
        <v>60</v>
      </c>
      <c r="M486" s="14" t="s">
        <v>60</v>
      </c>
      <c r="N486" s="14" t="s">
        <v>60</v>
      </c>
      <c r="O486" s="14" t="s">
        <v>60</v>
      </c>
      <c r="P486" s="14" t="s">
        <v>6056</v>
      </c>
      <c r="Q486" s="14" t="s">
        <v>11</v>
      </c>
      <c r="R486" s="3">
        <v>0</v>
      </c>
      <c r="S486" s="3">
        <f t="shared" si="24"/>
        <v>550</v>
      </c>
      <c r="T486" s="3">
        <f t="shared" si="25"/>
        <v>0</v>
      </c>
      <c r="U486" s="3" t="s">
        <v>60</v>
      </c>
      <c r="V486" s="14" t="s">
        <v>6</v>
      </c>
      <c r="W486" s="14" t="s">
        <v>4985</v>
      </c>
      <c r="X486" s="14" t="s">
        <v>5085</v>
      </c>
    </row>
    <row r="487" spans="1:24" ht="15" x14ac:dyDescent="0.3">
      <c r="A487" s="3">
        <v>14</v>
      </c>
      <c r="B487" s="3" t="s">
        <v>6058</v>
      </c>
      <c r="C487" s="14" t="s">
        <v>0</v>
      </c>
      <c r="D487" s="14" t="s">
        <v>119</v>
      </c>
      <c r="E487" s="14" t="s">
        <v>6059</v>
      </c>
      <c r="F487" s="14" t="s">
        <v>120</v>
      </c>
      <c r="G487" s="14" t="s">
        <v>121</v>
      </c>
      <c r="H487" s="14" t="s">
        <v>6060</v>
      </c>
      <c r="I487" s="14" t="s">
        <v>122</v>
      </c>
      <c r="J487" s="14" t="s">
        <v>60</v>
      </c>
      <c r="K487" s="14" t="s">
        <v>60</v>
      </c>
      <c r="L487" s="14" t="s">
        <v>60</v>
      </c>
      <c r="M487" s="14" t="s">
        <v>60</v>
      </c>
      <c r="N487" s="14" t="s">
        <v>60</v>
      </c>
      <c r="O487" s="14" t="s">
        <v>60</v>
      </c>
      <c r="P487" s="14" t="s">
        <v>6061</v>
      </c>
      <c r="Q487" s="14" t="s">
        <v>11</v>
      </c>
      <c r="R487" s="3">
        <v>0</v>
      </c>
      <c r="S487" s="3">
        <f t="shared" si="24"/>
        <v>550</v>
      </c>
      <c r="T487" s="3">
        <f t="shared" si="25"/>
        <v>0</v>
      </c>
      <c r="U487" s="3" t="s">
        <v>60</v>
      </c>
      <c r="V487" s="14" t="s">
        <v>6</v>
      </c>
      <c r="W487" s="14" t="s">
        <v>4731</v>
      </c>
      <c r="X487" s="14" t="s">
        <v>60</v>
      </c>
    </row>
    <row r="488" spans="1:24" ht="15" x14ac:dyDescent="0.3">
      <c r="A488" s="3">
        <v>15</v>
      </c>
      <c r="B488" s="3" t="s">
        <v>6062</v>
      </c>
      <c r="C488" s="14" t="s">
        <v>0</v>
      </c>
      <c r="D488" s="14" t="s">
        <v>6063</v>
      </c>
      <c r="E488" s="14" t="s">
        <v>6064</v>
      </c>
      <c r="F488" s="14" t="s">
        <v>123</v>
      </c>
      <c r="G488" s="14" t="s">
        <v>3</v>
      </c>
      <c r="H488" s="14" t="s">
        <v>6065</v>
      </c>
      <c r="I488" s="14" t="s">
        <v>124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6066</v>
      </c>
      <c r="Q488" s="14" t="s">
        <v>11</v>
      </c>
      <c r="R488" s="3">
        <v>0</v>
      </c>
      <c r="S488" s="3">
        <f t="shared" si="24"/>
        <v>550</v>
      </c>
      <c r="T488" s="3">
        <f t="shared" si="25"/>
        <v>0</v>
      </c>
      <c r="U488" s="3" t="s">
        <v>60</v>
      </c>
      <c r="V488" s="14" t="s">
        <v>6</v>
      </c>
      <c r="W488" s="14" t="s">
        <v>6067</v>
      </c>
      <c r="X488" s="14" t="s">
        <v>60</v>
      </c>
    </row>
    <row r="489" spans="1:24" ht="15" x14ac:dyDescent="0.3">
      <c r="A489" s="3">
        <v>16</v>
      </c>
      <c r="B489" s="3" t="s">
        <v>6068</v>
      </c>
      <c r="C489" s="14" t="s">
        <v>0</v>
      </c>
      <c r="D489" s="14" t="s">
        <v>125</v>
      </c>
      <c r="E489" s="14" t="s">
        <v>6069</v>
      </c>
      <c r="F489" s="14" t="s">
        <v>126</v>
      </c>
      <c r="G489" s="14" t="s">
        <v>3</v>
      </c>
      <c r="H489" s="14" t="s">
        <v>6070</v>
      </c>
      <c r="I489" s="14" t="s">
        <v>127</v>
      </c>
      <c r="J489" s="14" t="s">
        <v>60</v>
      </c>
      <c r="K489" s="14" t="s">
        <v>60</v>
      </c>
      <c r="L489" s="14" t="s">
        <v>60</v>
      </c>
      <c r="M489" s="14" t="s">
        <v>60</v>
      </c>
      <c r="N489" s="14" t="s">
        <v>60</v>
      </c>
      <c r="O489" s="14" t="s">
        <v>60</v>
      </c>
      <c r="P489" s="14" t="s">
        <v>6071</v>
      </c>
      <c r="Q489" s="14" t="s">
        <v>11</v>
      </c>
      <c r="R489" s="3">
        <v>0</v>
      </c>
      <c r="S489" s="3">
        <f t="shared" si="24"/>
        <v>550</v>
      </c>
      <c r="T489" s="3">
        <f t="shared" si="25"/>
        <v>0</v>
      </c>
      <c r="U489" s="3" t="s">
        <v>60</v>
      </c>
      <c r="V489" s="14" t="s">
        <v>6</v>
      </c>
      <c r="W489" s="14" t="s">
        <v>6072</v>
      </c>
      <c r="X489" s="14" t="s">
        <v>60</v>
      </c>
    </row>
    <row r="490" spans="1:24" ht="15" x14ac:dyDescent="0.3">
      <c r="A490" s="3">
        <v>17</v>
      </c>
      <c r="B490" s="3" t="s">
        <v>6073</v>
      </c>
      <c r="C490" s="14" t="s">
        <v>0</v>
      </c>
      <c r="D490" s="14" t="s">
        <v>3346</v>
      </c>
      <c r="E490" s="14" t="s">
        <v>6074</v>
      </c>
      <c r="F490" s="14" t="s">
        <v>3300</v>
      </c>
      <c r="G490" s="14" t="s">
        <v>3</v>
      </c>
      <c r="H490" s="14" t="s">
        <v>3399</v>
      </c>
      <c r="I490" s="14" t="s">
        <v>3400</v>
      </c>
      <c r="J490" s="14" t="s">
        <v>60</v>
      </c>
      <c r="K490" s="14" t="s">
        <v>60</v>
      </c>
      <c r="L490" s="14" t="s">
        <v>60</v>
      </c>
      <c r="M490" s="14" t="s">
        <v>3401</v>
      </c>
      <c r="N490" s="14" t="s">
        <v>60</v>
      </c>
      <c r="O490" s="14" t="s">
        <v>60</v>
      </c>
      <c r="P490" s="14" t="s">
        <v>6075</v>
      </c>
      <c r="Q490" s="14" t="s">
        <v>11</v>
      </c>
      <c r="R490" s="3">
        <v>0</v>
      </c>
      <c r="S490" s="3">
        <f t="shared" si="24"/>
        <v>550</v>
      </c>
      <c r="T490" s="3">
        <f t="shared" si="25"/>
        <v>0</v>
      </c>
      <c r="U490" s="3" t="s">
        <v>60</v>
      </c>
      <c r="V490" s="14" t="s">
        <v>6</v>
      </c>
      <c r="W490" s="14" t="s">
        <v>6076</v>
      </c>
      <c r="X490" s="14" t="s">
        <v>5085</v>
      </c>
    </row>
    <row r="491" spans="1:24" ht="15" x14ac:dyDescent="0.3">
      <c r="A491" s="3">
        <v>18</v>
      </c>
      <c r="B491" s="3" t="s">
        <v>6077</v>
      </c>
      <c r="C491" s="14" t="s">
        <v>0</v>
      </c>
      <c r="D491" s="14" t="s">
        <v>3344</v>
      </c>
      <c r="E491" s="14" t="s">
        <v>6078</v>
      </c>
      <c r="F491" s="14" t="s">
        <v>3301</v>
      </c>
      <c r="G491" s="14" t="s">
        <v>3</v>
      </c>
      <c r="H491" s="14" t="s">
        <v>3402</v>
      </c>
      <c r="I491" s="14" t="s">
        <v>3403</v>
      </c>
      <c r="J491" s="14" t="s">
        <v>60</v>
      </c>
      <c r="K491" s="14" t="s">
        <v>60</v>
      </c>
      <c r="L491" s="14" t="s">
        <v>60</v>
      </c>
      <c r="M491" s="14" t="s">
        <v>3404</v>
      </c>
      <c r="N491" s="14" t="s">
        <v>60</v>
      </c>
      <c r="O491" s="14" t="s">
        <v>60</v>
      </c>
      <c r="P491" s="14" t="s">
        <v>6079</v>
      </c>
      <c r="Q491" s="14" t="s">
        <v>11</v>
      </c>
      <c r="R491" s="3">
        <v>0</v>
      </c>
      <c r="S491" s="3">
        <f t="shared" si="24"/>
        <v>550</v>
      </c>
      <c r="T491" s="3">
        <f t="shared" si="25"/>
        <v>0</v>
      </c>
      <c r="U491" s="3" t="s">
        <v>60</v>
      </c>
      <c r="V491" s="14" t="s">
        <v>6</v>
      </c>
      <c r="W491" s="14" t="s">
        <v>6076</v>
      </c>
      <c r="X491" s="14" t="s">
        <v>5085</v>
      </c>
    </row>
    <row r="492" spans="1:24" ht="15" x14ac:dyDescent="0.3">
      <c r="A492" s="3">
        <v>19</v>
      </c>
      <c r="B492" s="3" t="s">
        <v>6080</v>
      </c>
      <c r="C492" s="14" t="s">
        <v>0</v>
      </c>
      <c r="D492" s="14" t="s">
        <v>3302</v>
      </c>
      <c r="E492" s="14" t="s">
        <v>4864</v>
      </c>
      <c r="F492" s="14" t="s">
        <v>3305</v>
      </c>
      <c r="G492" s="14" t="s">
        <v>3</v>
      </c>
      <c r="H492" s="14" t="s">
        <v>6081</v>
      </c>
      <c r="I492" s="14" t="s">
        <v>3405</v>
      </c>
      <c r="J492" s="14" t="s">
        <v>60</v>
      </c>
      <c r="K492" s="14" t="s">
        <v>60</v>
      </c>
      <c r="L492" s="14" t="s">
        <v>60</v>
      </c>
      <c r="M492" s="14" t="s">
        <v>3406</v>
      </c>
      <c r="N492" s="14" t="s">
        <v>60</v>
      </c>
      <c r="O492" s="14" t="s">
        <v>60</v>
      </c>
      <c r="P492" s="14" t="s">
        <v>6082</v>
      </c>
      <c r="Q492" s="14" t="s">
        <v>11</v>
      </c>
      <c r="R492" s="3">
        <v>0</v>
      </c>
      <c r="S492" s="3">
        <f t="shared" si="24"/>
        <v>550</v>
      </c>
      <c r="T492" s="3">
        <f t="shared" si="25"/>
        <v>0</v>
      </c>
      <c r="U492" s="3" t="s">
        <v>60</v>
      </c>
      <c r="V492" s="14" t="s">
        <v>6</v>
      </c>
      <c r="W492" s="14" t="s">
        <v>6076</v>
      </c>
      <c r="X492" s="14" t="s">
        <v>60</v>
      </c>
    </row>
    <row r="493" spans="1:24" ht="15" x14ac:dyDescent="0.3">
      <c r="A493" s="3">
        <v>20</v>
      </c>
      <c r="B493" s="3" t="s">
        <v>6083</v>
      </c>
      <c r="C493" s="14" t="s">
        <v>0</v>
      </c>
      <c r="D493" s="14" t="s">
        <v>3303</v>
      </c>
      <c r="E493" s="14" t="s">
        <v>6084</v>
      </c>
      <c r="F493" s="14" t="s">
        <v>3306</v>
      </c>
      <c r="G493" s="14" t="s">
        <v>3</v>
      </c>
      <c r="H493" s="14" t="s">
        <v>6085</v>
      </c>
      <c r="I493" s="14" t="s">
        <v>3407</v>
      </c>
      <c r="J493" s="14" t="s">
        <v>60</v>
      </c>
      <c r="K493" s="14" t="s">
        <v>60</v>
      </c>
      <c r="L493" s="14" t="s">
        <v>60</v>
      </c>
      <c r="M493" s="14" t="s">
        <v>3408</v>
      </c>
      <c r="N493" s="14" t="s">
        <v>60</v>
      </c>
      <c r="O493" s="14" t="s">
        <v>60</v>
      </c>
      <c r="P493" s="14" t="s">
        <v>6086</v>
      </c>
      <c r="Q493" s="14" t="s">
        <v>11</v>
      </c>
      <c r="R493" s="3">
        <v>0</v>
      </c>
      <c r="S493" s="3">
        <f t="shared" si="24"/>
        <v>550</v>
      </c>
      <c r="T493" s="3">
        <f t="shared" si="25"/>
        <v>0</v>
      </c>
      <c r="U493" s="3" t="s">
        <v>6087</v>
      </c>
      <c r="V493" s="14" t="s">
        <v>6</v>
      </c>
      <c r="W493" s="14" t="s">
        <v>6076</v>
      </c>
      <c r="X493" s="14" t="s">
        <v>60</v>
      </c>
    </row>
    <row r="494" spans="1:24" ht="15" x14ac:dyDescent="0.3">
      <c r="A494" s="3">
        <v>21</v>
      </c>
      <c r="B494" s="3" t="s">
        <v>6088</v>
      </c>
      <c r="C494" s="14" t="s">
        <v>0</v>
      </c>
      <c r="D494" s="14" t="s">
        <v>3304</v>
      </c>
      <c r="E494" s="14" t="s">
        <v>6089</v>
      </c>
      <c r="F494" s="14" t="s">
        <v>85</v>
      </c>
      <c r="G494" s="14" t="s">
        <v>3</v>
      </c>
      <c r="H494" s="14" t="s">
        <v>3409</v>
      </c>
      <c r="I494" s="14" t="s">
        <v>3410</v>
      </c>
      <c r="J494" s="14" t="s">
        <v>60</v>
      </c>
      <c r="K494" s="14" t="s">
        <v>60</v>
      </c>
      <c r="L494" s="14" t="s">
        <v>60</v>
      </c>
      <c r="M494" s="14" t="s">
        <v>3411</v>
      </c>
      <c r="N494" s="14" t="s">
        <v>60</v>
      </c>
      <c r="O494" s="14" t="s">
        <v>60</v>
      </c>
      <c r="P494" s="14" t="s">
        <v>6090</v>
      </c>
      <c r="Q494" s="14" t="s">
        <v>11</v>
      </c>
      <c r="R494" s="3">
        <v>0</v>
      </c>
      <c r="S494" s="3">
        <f t="shared" si="24"/>
        <v>550</v>
      </c>
      <c r="T494" s="3">
        <f t="shared" si="25"/>
        <v>0</v>
      </c>
      <c r="U494" s="3" t="s">
        <v>60</v>
      </c>
      <c r="V494" s="14" t="s">
        <v>6</v>
      </c>
      <c r="W494" s="14" t="s">
        <v>6076</v>
      </c>
      <c r="X494" s="14" t="s">
        <v>5085</v>
      </c>
    </row>
    <row r="495" spans="1:24" ht="15" x14ac:dyDescent="0.3">
      <c r="A495" s="3">
        <v>22</v>
      </c>
      <c r="B495" s="3" t="s">
        <v>6092</v>
      </c>
      <c r="C495" s="14" t="s">
        <v>0</v>
      </c>
      <c r="D495" s="14" t="s">
        <v>3431</v>
      </c>
      <c r="E495" s="14" t="s">
        <v>6093</v>
      </c>
      <c r="F495" s="14" t="s">
        <v>2240</v>
      </c>
      <c r="G495" s="14" t="s">
        <v>3</v>
      </c>
      <c r="H495" s="14" t="s">
        <v>6094</v>
      </c>
      <c r="I495" s="14" t="s">
        <v>3764</v>
      </c>
      <c r="J495" s="14" t="s">
        <v>60</v>
      </c>
      <c r="K495" s="14" t="s">
        <v>60</v>
      </c>
      <c r="L495" s="14" t="s">
        <v>60</v>
      </c>
      <c r="M495" s="14" t="s">
        <v>60</v>
      </c>
      <c r="N495" s="14" t="s">
        <v>60</v>
      </c>
      <c r="O495" s="14" t="s">
        <v>60</v>
      </c>
      <c r="P495" s="14" t="s">
        <v>6095</v>
      </c>
      <c r="Q495" s="14" t="s">
        <v>11</v>
      </c>
      <c r="R495" s="3">
        <v>0</v>
      </c>
      <c r="S495" s="3">
        <f t="shared" si="24"/>
        <v>550</v>
      </c>
      <c r="T495" s="3">
        <f t="shared" si="25"/>
        <v>0</v>
      </c>
      <c r="U495" s="3" t="s">
        <v>60</v>
      </c>
      <c r="V495" s="14" t="s">
        <v>6</v>
      </c>
      <c r="W495" s="14" t="s">
        <v>6096</v>
      </c>
      <c r="X495" s="14" t="s">
        <v>60</v>
      </c>
    </row>
    <row r="496" spans="1:24" ht="15" x14ac:dyDescent="0.3">
      <c r="A496" s="3">
        <v>23</v>
      </c>
      <c r="B496" s="3" t="s">
        <v>6097</v>
      </c>
      <c r="C496" s="14" t="s">
        <v>0</v>
      </c>
      <c r="D496" s="14" t="s">
        <v>3488</v>
      </c>
      <c r="E496" s="14" t="s">
        <v>6098</v>
      </c>
      <c r="F496" s="14" t="s">
        <v>3502</v>
      </c>
      <c r="G496" s="14" t="s">
        <v>3</v>
      </c>
      <c r="H496" s="14" t="s">
        <v>3723</v>
      </c>
      <c r="I496" s="14" t="s">
        <v>3724</v>
      </c>
      <c r="J496" s="14" t="s">
        <v>60</v>
      </c>
      <c r="K496" s="14" t="s">
        <v>60</v>
      </c>
      <c r="L496" s="14" t="s">
        <v>60</v>
      </c>
      <c r="M496" s="14" t="s">
        <v>3725</v>
      </c>
      <c r="N496" s="14" t="s">
        <v>60</v>
      </c>
      <c r="O496" s="14" t="s">
        <v>60</v>
      </c>
      <c r="P496" s="14" t="s">
        <v>6099</v>
      </c>
      <c r="Q496" s="14" t="s">
        <v>11</v>
      </c>
      <c r="R496" s="3">
        <v>0</v>
      </c>
      <c r="S496" s="3">
        <f t="shared" si="24"/>
        <v>550</v>
      </c>
      <c r="T496" s="3">
        <f t="shared" si="25"/>
        <v>0</v>
      </c>
      <c r="U496" s="3" t="s">
        <v>60</v>
      </c>
      <c r="V496" s="14" t="s">
        <v>6</v>
      </c>
      <c r="W496" s="14" t="s">
        <v>6101</v>
      </c>
      <c r="X496" s="14" t="s">
        <v>5085</v>
      </c>
    </row>
    <row r="497" spans="1:24" ht="15" x14ac:dyDescent="0.3">
      <c r="A497" s="3">
        <v>24</v>
      </c>
      <c r="B497" s="3" t="s">
        <v>6102</v>
      </c>
      <c r="C497" s="14" t="s">
        <v>0</v>
      </c>
      <c r="D497" s="14" t="s">
        <v>3489</v>
      </c>
      <c r="E497" s="14" t="s">
        <v>6103</v>
      </c>
      <c r="F497" s="14" t="s">
        <v>3503</v>
      </c>
      <c r="G497" s="14" t="s">
        <v>3</v>
      </c>
      <c r="H497" s="14" t="s">
        <v>3726</v>
      </c>
      <c r="I497" s="14" t="s">
        <v>3727</v>
      </c>
      <c r="J497" s="14" t="s">
        <v>60</v>
      </c>
      <c r="K497" s="14" t="s">
        <v>60</v>
      </c>
      <c r="L497" s="14" t="s">
        <v>60</v>
      </c>
      <c r="M497" s="14" t="s">
        <v>3728</v>
      </c>
      <c r="N497" s="14" t="s">
        <v>60</v>
      </c>
      <c r="O497" s="14" t="s">
        <v>60</v>
      </c>
      <c r="P497" s="14" t="s">
        <v>6104</v>
      </c>
      <c r="Q497" s="14" t="s">
        <v>11</v>
      </c>
      <c r="R497" s="3">
        <v>0</v>
      </c>
      <c r="S497" s="3">
        <f t="shared" si="24"/>
        <v>550</v>
      </c>
      <c r="T497" s="3">
        <f t="shared" si="25"/>
        <v>0</v>
      </c>
      <c r="U497" s="3" t="s">
        <v>60</v>
      </c>
      <c r="V497" s="14" t="s">
        <v>6</v>
      </c>
      <c r="W497" s="14" t="s">
        <v>6101</v>
      </c>
      <c r="X497" s="14" t="s">
        <v>5085</v>
      </c>
    </row>
    <row r="498" spans="1:24" ht="15" x14ac:dyDescent="0.3">
      <c r="A498" s="3">
        <v>25</v>
      </c>
      <c r="B498" s="3" t="s">
        <v>6105</v>
      </c>
      <c r="C498" s="14" t="s">
        <v>0</v>
      </c>
      <c r="D498" s="14" t="s">
        <v>6106</v>
      </c>
      <c r="E498" s="14" t="s">
        <v>6107</v>
      </c>
      <c r="F498" s="14" t="s">
        <v>3504</v>
      </c>
      <c r="G498" s="14" t="s">
        <v>3</v>
      </c>
      <c r="H498" s="14" t="s">
        <v>3729</v>
      </c>
      <c r="I498" s="14" t="s">
        <v>3730</v>
      </c>
      <c r="J498" s="14" t="s">
        <v>60</v>
      </c>
      <c r="K498" s="14" t="s">
        <v>60</v>
      </c>
      <c r="L498" s="14" t="s">
        <v>60</v>
      </c>
      <c r="M498" s="14" t="s">
        <v>3731</v>
      </c>
      <c r="N498" s="14" t="s">
        <v>60</v>
      </c>
      <c r="O498" s="14" t="s">
        <v>60</v>
      </c>
      <c r="P498" s="14" t="s">
        <v>6108</v>
      </c>
      <c r="Q498" s="14" t="s">
        <v>11</v>
      </c>
      <c r="R498" s="3">
        <v>0</v>
      </c>
      <c r="S498" s="3">
        <f t="shared" si="24"/>
        <v>550</v>
      </c>
      <c r="T498" s="3">
        <f t="shared" si="25"/>
        <v>0</v>
      </c>
      <c r="U498" s="3" t="s">
        <v>60</v>
      </c>
      <c r="V498" s="14" t="s">
        <v>6</v>
      </c>
      <c r="W498" s="14" t="s">
        <v>6101</v>
      </c>
      <c r="X498" s="14" t="s">
        <v>5085</v>
      </c>
    </row>
    <row r="499" spans="1:24" ht="15" x14ac:dyDescent="0.3">
      <c r="A499" s="3">
        <v>26</v>
      </c>
      <c r="B499" s="3" t="s">
        <v>6109</v>
      </c>
      <c r="C499" s="14" t="s">
        <v>0</v>
      </c>
      <c r="D499" s="14" t="s">
        <v>2642</v>
      </c>
      <c r="E499" s="14" t="s">
        <v>6110</v>
      </c>
      <c r="F499" s="14" t="s">
        <v>767</v>
      </c>
      <c r="G499" s="14" t="s">
        <v>3</v>
      </c>
      <c r="H499" s="14" t="s">
        <v>3732</v>
      </c>
      <c r="I499" s="14" t="s">
        <v>3733</v>
      </c>
      <c r="J499" s="14" t="s">
        <v>60</v>
      </c>
      <c r="K499" s="14" t="s">
        <v>60</v>
      </c>
      <c r="L499" s="14" t="s">
        <v>60</v>
      </c>
      <c r="M499" s="14" t="s">
        <v>3734</v>
      </c>
      <c r="N499" s="14" t="s">
        <v>60</v>
      </c>
      <c r="O499" s="14" t="s">
        <v>60</v>
      </c>
      <c r="P499" s="14" t="s">
        <v>6111</v>
      </c>
      <c r="Q499" s="14" t="s">
        <v>426</v>
      </c>
      <c r="R499" s="3">
        <v>0</v>
      </c>
      <c r="S499" s="3">
        <f t="shared" si="24"/>
        <v>550</v>
      </c>
      <c r="T499" s="3">
        <f t="shared" si="25"/>
        <v>0</v>
      </c>
      <c r="U499" s="3" t="s">
        <v>60</v>
      </c>
      <c r="V499" s="14" t="s">
        <v>6</v>
      </c>
      <c r="W499" s="14" t="s">
        <v>6101</v>
      </c>
      <c r="X499" s="14" t="s">
        <v>5085</v>
      </c>
    </row>
    <row r="500" spans="1:24" ht="15" x14ac:dyDescent="0.3">
      <c r="A500" s="3">
        <v>27</v>
      </c>
      <c r="B500" s="3" t="s">
        <v>6112</v>
      </c>
      <c r="C500" s="14" t="s">
        <v>0</v>
      </c>
      <c r="D500" s="14" t="s">
        <v>3432</v>
      </c>
      <c r="E500" s="14" t="s">
        <v>6113</v>
      </c>
      <c r="F500" s="14" t="s">
        <v>3439</v>
      </c>
      <c r="G500" s="14" t="s">
        <v>3</v>
      </c>
      <c r="H500" s="14" t="s">
        <v>6114</v>
      </c>
      <c r="I500" s="14" t="s">
        <v>3769</v>
      </c>
      <c r="J500" s="14" t="s">
        <v>60</v>
      </c>
      <c r="K500" s="14" t="s">
        <v>60</v>
      </c>
      <c r="L500" s="14" t="s">
        <v>60</v>
      </c>
      <c r="M500" s="14" t="s">
        <v>3770</v>
      </c>
      <c r="N500" s="14" t="s">
        <v>60</v>
      </c>
      <c r="O500" s="14" t="s">
        <v>60</v>
      </c>
      <c r="P500" s="14" t="s">
        <v>6115</v>
      </c>
      <c r="Q500" s="14" t="s">
        <v>11</v>
      </c>
      <c r="R500" s="3">
        <v>0</v>
      </c>
      <c r="S500" s="3">
        <f t="shared" si="24"/>
        <v>550</v>
      </c>
      <c r="T500" s="3">
        <f t="shared" si="25"/>
        <v>0</v>
      </c>
      <c r="U500" s="3" t="s">
        <v>60</v>
      </c>
      <c r="V500" s="14" t="s">
        <v>6</v>
      </c>
      <c r="W500" s="14" t="s">
        <v>6096</v>
      </c>
      <c r="X500" s="14" t="s">
        <v>60</v>
      </c>
    </row>
    <row r="501" spans="1:24" ht="15" x14ac:dyDescent="0.3">
      <c r="A501" s="3">
        <v>28</v>
      </c>
      <c r="B501" s="3" t="s">
        <v>6116</v>
      </c>
      <c r="C501" s="14" t="s">
        <v>0</v>
      </c>
      <c r="D501" s="14" t="s">
        <v>3433</v>
      </c>
      <c r="E501" s="14" t="s">
        <v>6117</v>
      </c>
      <c r="F501" s="14" t="s">
        <v>3440</v>
      </c>
      <c r="G501" s="14" t="s">
        <v>3</v>
      </c>
      <c r="H501" s="14" t="s">
        <v>6118</v>
      </c>
      <c r="I501" s="14" t="s">
        <v>3771</v>
      </c>
      <c r="J501" s="14" t="s">
        <v>60</v>
      </c>
      <c r="K501" s="14" t="s">
        <v>60</v>
      </c>
      <c r="L501" s="14" t="s">
        <v>60</v>
      </c>
      <c r="M501" s="14" t="s">
        <v>3772</v>
      </c>
      <c r="N501" s="14" t="s">
        <v>60</v>
      </c>
      <c r="O501" s="14" t="s">
        <v>60</v>
      </c>
      <c r="P501" s="14" t="s">
        <v>6119</v>
      </c>
      <c r="Q501" s="14" t="s">
        <v>11</v>
      </c>
      <c r="R501" s="3">
        <v>0</v>
      </c>
      <c r="S501" s="3">
        <f t="shared" si="24"/>
        <v>550</v>
      </c>
      <c r="T501" s="3">
        <f t="shared" si="25"/>
        <v>0</v>
      </c>
      <c r="U501" s="3" t="s">
        <v>60</v>
      </c>
      <c r="V501" s="14" t="s">
        <v>6</v>
      </c>
      <c r="W501" s="14" t="s">
        <v>6096</v>
      </c>
      <c r="X501" s="14" t="s">
        <v>60</v>
      </c>
    </row>
    <row r="502" spans="1:24" ht="15" x14ac:dyDescent="0.3">
      <c r="A502" s="3">
        <v>29</v>
      </c>
      <c r="B502" s="3" t="s">
        <v>6120</v>
      </c>
      <c r="C502" s="14" t="s">
        <v>0</v>
      </c>
      <c r="D502" s="14" t="s">
        <v>3434</v>
      </c>
      <c r="E502" s="14" t="s">
        <v>6121</v>
      </c>
      <c r="F502" s="14" t="s">
        <v>3441</v>
      </c>
      <c r="G502" s="14" t="s">
        <v>3</v>
      </c>
      <c r="H502" s="14" t="s">
        <v>6122</v>
      </c>
      <c r="I502" s="14" t="s">
        <v>3773</v>
      </c>
      <c r="J502" s="14" t="s">
        <v>60</v>
      </c>
      <c r="K502" s="14" t="s">
        <v>60</v>
      </c>
      <c r="L502" s="14" t="s">
        <v>60</v>
      </c>
      <c r="M502" s="14" t="s">
        <v>3774</v>
      </c>
      <c r="N502" s="14" t="s">
        <v>60</v>
      </c>
      <c r="O502" s="14" t="s">
        <v>60</v>
      </c>
      <c r="P502" s="14" t="s">
        <v>6123</v>
      </c>
      <c r="Q502" s="14" t="s">
        <v>11</v>
      </c>
      <c r="R502" s="3">
        <v>0</v>
      </c>
      <c r="S502" s="3">
        <f t="shared" si="24"/>
        <v>550</v>
      </c>
      <c r="T502" s="3">
        <f t="shared" si="25"/>
        <v>0</v>
      </c>
      <c r="U502" s="3" t="s">
        <v>60</v>
      </c>
      <c r="V502" s="14" t="s">
        <v>6</v>
      </c>
      <c r="W502" s="14" t="s">
        <v>6096</v>
      </c>
      <c r="X502" s="14" t="s">
        <v>60</v>
      </c>
    </row>
    <row r="503" spans="1:24" ht="15" x14ac:dyDescent="0.3">
      <c r="A503" s="3">
        <v>30</v>
      </c>
      <c r="B503" s="3" t="s">
        <v>6124</v>
      </c>
      <c r="C503" s="14" t="s">
        <v>0</v>
      </c>
      <c r="D503" s="14" t="s">
        <v>3435</v>
      </c>
      <c r="E503" s="14" t="s">
        <v>6125</v>
      </c>
      <c r="F503" s="14" t="s">
        <v>3442</v>
      </c>
      <c r="G503" s="14" t="s">
        <v>3</v>
      </c>
      <c r="H503" s="14" t="s">
        <v>6126</v>
      </c>
      <c r="I503" s="14" t="s">
        <v>3775</v>
      </c>
      <c r="J503" s="14" t="s">
        <v>60</v>
      </c>
      <c r="K503" s="14" t="s">
        <v>60</v>
      </c>
      <c r="L503" s="14" t="s">
        <v>60</v>
      </c>
      <c r="M503" s="14" t="s">
        <v>60</v>
      </c>
      <c r="N503" s="14" t="s">
        <v>60</v>
      </c>
      <c r="O503" s="14" t="s">
        <v>60</v>
      </c>
      <c r="P503" s="14" t="s">
        <v>6127</v>
      </c>
      <c r="Q503" s="14" t="s">
        <v>11</v>
      </c>
      <c r="R503" s="3">
        <v>0</v>
      </c>
      <c r="S503" s="3">
        <f t="shared" si="24"/>
        <v>550</v>
      </c>
      <c r="T503" s="3">
        <f t="shared" si="25"/>
        <v>0</v>
      </c>
      <c r="U503" s="3" t="s">
        <v>60</v>
      </c>
      <c r="V503" s="14" t="s">
        <v>6</v>
      </c>
      <c r="W503" s="14" t="s">
        <v>6096</v>
      </c>
      <c r="X503" s="14" t="s">
        <v>60</v>
      </c>
    </row>
    <row r="504" spans="1:24" ht="15" x14ac:dyDescent="0.3">
      <c r="A504" s="3">
        <v>31</v>
      </c>
      <c r="B504" s="3" t="s">
        <v>6128</v>
      </c>
      <c r="C504" s="14" t="s">
        <v>0</v>
      </c>
      <c r="D504" s="14" t="s">
        <v>3436</v>
      </c>
      <c r="E504" s="14" t="s">
        <v>6129</v>
      </c>
      <c r="F504" s="14" t="s">
        <v>3443</v>
      </c>
      <c r="G504" s="14" t="s">
        <v>3</v>
      </c>
      <c r="H504" s="14" t="s">
        <v>3776</v>
      </c>
      <c r="I504" s="14" t="s">
        <v>3777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6130</v>
      </c>
      <c r="Q504" s="14" t="s">
        <v>11</v>
      </c>
      <c r="R504" s="3">
        <v>0</v>
      </c>
      <c r="S504" s="3">
        <f t="shared" si="24"/>
        <v>550</v>
      </c>
      <c r="T504" s="3">
        <f t="shared" si="25"/>
        <v>0</v>
      </c>
      <c r="U504" s="3" t="s">
        <v>60</v>
      </c>
      <c r="V504" s="14" t="s">
        <v>6</v>
      </c>
      <c r="W504" s="14" t="s">
        <v>6096</v>
      </c>
      <c r="X504" s="14" t="s">
        <v>5171</v>
      </c>
    </row>
    <row r="505" spans="1:24" ht="15" x14ac:dyDescent="0.3">
      <c r="A505" s="3">
        <v>32</v>
      </c>
      <c r="B505" s="3" t="s">
        <v>6131</v>
      </c>
      <c r="C505" s="14" t="s">
        <v>0</v>
      </c>
      <c r="D505" s="14" t="s">
        <v>3437</v>
      </c>
      <c r="E505" s="14" t="s">
        <v>6132</v>
      </c>
      <c r="F505" s="14" t="s">
        <v>3444</v>
      </c>
      <c r="G505" s="14" t="s">
        <v>3</v>
      </c>
      <c r="H505" s="14" t="s">
        <v>6133</v>
      </c>
      <c r="I505" s="14" t="s">
        <v>3778</v>
      </c>
      <c r="J505" s="14" t="s">
        <v>60</v>
      </c>
      <c r="K505" s="14" t="s">
        <v>60</v>
      </c>
      <c r="L505" s="14" t="s">
        <v>60</v>
      </c>
      <c r="M505" s="14" t="s">
        <v>3779</v>
      </c>
      <c r="N505" s="14" t="s">
        <v>60</v>
      </c>
      <c r="O505" s="14" t="s">
        <v>60</v>
      </c>
      <c r="P505" s="14" t="s">
        <v>6134</v>
      </c>
      <c r="Q505" s="14" t="s">
        <v>11</v>
      </c>
      <c r="R505" s="3">
        <v>0</v>
      </c>
      <c r="S505" s="3">
        <f t="shared" si="24"/>
        <v>550</v>
      </c>
      <c r="T505" s="3">
        <f t="shared" si="25"/>
        <v>0</v>
      </c>
      <c r="U505" s="3" t="s">
        <v>60</v>
      </c>
      <c r="V505" s="14" t="s">
        <v>6</v>
      </c>
      <c r="W505" s="14" t="s">
        <v>6096</v>
      </c>
      <c r="X505" s="14" t="s">
        <v>60</v>
      </c>
    </row>
    <row r="506" spans="1:24" ht="15" x14ac:dyDescent="0.3">
      <c r="A506" s="3">
        <v>33</v>
      </c>
      <c r="B506" s="3" t="s">
        <v>6135</v>
      </c>
      <c r="C506" s="14" t="s">
        <v>0</v>
      </c>
      <c r="D506" s="14" t="s">
        <v>3438</v>
      </c>
      <c r="E506" s="14" t="s">
        <v>4746</v>
      </c>
      <c r="F506" s="14" t="s">
        <v>3445</v>
      </c>
      <c r="G506" s="14" t="s">
        <v>121</v>
      </c>
      <c r="H506" s="14" t="s">
        <v>3780</v>
      </c>
      <c r="I506" s="14" t="s">
        <v>3781</v>
      </c>
      <c r="J506" s="14" t="s">
        <v>60</v>
      </c>
      <c r="K506" s="14" t="s">
        <v>60</v>
      </c>
      <c r="L506" s="14" t="s">
        <v>60</v>
      </c>
      <c r="M506" s="14" t="s">
        <v>60</v>
      </c>
      <c r="N506" s="14" t="s">
        <v>60</v>
      </c>
      <c r="O506" s="14" t="s">
        <v>60</v>
      </c>
      <c r="P506" s="14" t="s">
        <v>6136</v>
      </c>
      <c r="Q506" s="14" t="s">
        <v>11</v>
      </c>
      <c r="R506" s="3">
        <v>0</v>
      </c>
      <c r="S506" s="3">
        <f t="shared" si="24"/>
        <v>550</v>
      </c>
      <c r="T506" s="3">
        <f t="shared" si="25"/>
        <v>0</v>
      </c>
      <c r="U506" s="3" t="s">
        <v>6137</v>
      </c>
      <c r="V506" s="14" t="s">
        <v>6</v>
      </c>
      <c r="W506" s="14" t="s">
        <v>6096</v>
      </c>
      <c r="X506" s="14" t="s">
        <v>5171</v>
      </c>
    </row>
    <row r="507" spans="1:24" ht="15.6" x14ac:dyDescent="0.3">
      <c r="A507" s="26" t="s">
        <v>60</v>
      </c>
      <c r="B507" s="26" t="s">
        <v>60</v>
      </c>
      <c r="C507" s="27" t="s">
        <v>60</v>
      </c>
      <c r="D507" s="27" t="s">
        <v>60</v>
      </c>
      <c r="E507" s="27" t="s">
        <v>60</v>
      </c>
      <c r="F507" s="27" t="s">
        <v>60</v>
      </c>
      <c r="G507" s="27" t="s">
        <v>60</v>
      </c>
      <c r="H507" s="27" t="s">
        <v>60</v>
      </c>
      <c r="I507" s="27" t="s">
        <v>60</v>
      </c>
      <c r="J507" s="27" t="s">
        <v>60</v>
      </c>
      <c r="K507" s="27" t="s">
        <v>60</v>
      </c>
      <c r="L507" s="27" t="s">
        <v>60</v>
      </c>
      <c r="M507" s="27" t="s">
        <v>60</v>
      </c>
      <c r="N507" s="27" t="s">
        <v>60</v>
      </c>
      <c r="O507" s="27" t="s">
        <v>60</v>
      </c>
      <c r="P507" s="27" t="s">
        <v>60</v>
      </c>
      <c r="Q507" s="27" t="s">
        <v>60</v>
      </c>
      <c r="R507" s="35" t="s">
        <v>2009</v>
      </c>
      <c r="S507" s="35" t="s">
        <v>60</v>
      </c>
      <c r="T507" s="26">
        <f>SUM(T473:T506)</f>
        <v>0</v>
      </c>
      <c r="U507" s="26" t="s">
        <v>6138</v>
      </c>
      <c r="V507" s="27" t="s">
        <v>60</v>
      </c>
      <c r="W507" s="27" t="s">
        <v>60</v>
      </c>
      <c r="X507" s="27" t="s">
        <v>60</v>
      </c>
    </row>
    <row r="508" spans="1:24" ht="15.6" x14ac:dyDescent="0.3">
      <c r="A508" s="34" t="s">
        <v>6139</v>
      </c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 spans="1:24" ht="109.2" x14ac:dyDescent="0.3">
      <c r="A509" s="23" t="s">
        <v>42</v>
      </c>
      <c r="B509" s="23" t="s">
        <v>43</v>
      </c>
      <c r="C509" s="24" t="s">
        <v>44</v>
      </c>
      <c r="D509" s="24" t="s">
        <v>4154</v>
      </c>
      <c r="E509" s="24" t="s">
        <v>4155</v>
      </c>
      <c r="F509" s="24" t="s">
        <v>4156</v>
      </c>
      <c r="G509" s="24" t="s">
        <v>45</v>
      </c>
      <c r="H509" s="24" t="s">
        <v>4157</v>
      </c>
      <c r="I509" s="24" t="s">
        <v>46</v>
      </c>
      <c r="J509" s="24" t="s">
        <v>4158</v>
      </c>
      <c r="K509" s="24" t="s">
        <v>4159</v>
      </c>
      <c r="L509" s="24" t="s">
        <v>4160</v>
      </c>
      <c r="M509" s="24" t="s">
        <v>4161</v>
      </c>
      <c r="N509" s="24" t="s">
        <v>47</v>
      </c>
      <c r="O509" s="24" t="s">
        <v>48</v>
      </c>
      <c r="P509" s="24" t="s">
        <v>49</v>
      </c>
      <c r="Q509" s="24" t="s">
        <v>50</v>
      </c>
      <c r="R509" s="23" t="s">
        <v>4162</v>
      </c>
      <c r="S509" s="23" t="s">
        <v>4163</v>
      </c>
      <c r="T509" s="23" t="s">
        <v>4164</v>
      </c>
      <c r="U509" s="23" t="s">
        <v>4165</v>
      </c>
      <c r="V509" s="24" t="s">
        <v>51</v>
      </c>
      <c r="W509" s="24" t="s">
        <v>52</v>
      </c>
      <c r="X509" s="24" t="s">
        <v>53</v>
      </c>
    </row>
    <row r="510" spans="1:24" ht="15" x14ac:dyDescent="0.3">
      <c r="A510" s="3">
        <v>1</v>
      </c>
      <c r="B510" s="3" t="s">
        <v>6140</v>
      </c>
      <c r="C510" s="14" t="s">
        <v>69</v>
      </c>
      <c r="D510" s="14" t="s">
        <v>129</v>
      </c>
      <c r="E510" s="14" t="s">
        <v>6141</v>
      </c>
      <c r="F510" s="14" t="s">
        <v>130</v>
      </c>
      <c r="G510" s="14" t="s">
        <v>3</v>
      </c>
      <c r="H510" s="14" t="s">
        <v>6142</v>
      </c>
      <c r="I510" s="14" t="s">
        <v>131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4" t="s">
        <v>60</v>
      </c>
      <c r="O510" s="14" t="s">
        <v>59</v>
      </c>
      <c r="P510" s="14" t="s">
        <v>6143</v>
      </c>
      <c r="Q510" s="14" t="s">
        <v>11</v>
      </c>
      <c r="R510" s="3">
        <v>0</v>
      </c>
      <c r="S510" s="3">
        <f t="shared" ref="S510:S525" si="26">IF(RIGHT(C510,3)="MAZ",550,IF(RIGHT(C510,4)="MATE",570,IF(RIGHT(C510,7)="SKD-III",640,IF(RIGHT(C510,6)="SKD-II",770,IF(RIGHT(C510,5)="SKD-I",900,IF(RIGHT(C510,5)="CPDVR",770,""))))))</f>
        <v>570</v>
      </c>
      <c r="T510" s="3">
        <f t="shared" ref="T510:T525" si="27">R510*S510</f>
        <v>0</v>
      </c>
      <c r="U510" s="3" t="s">
        <v>60</v>
      </c>
      <c r="V510" s="14" t="s">
        <v>6</v>
      </c>
      <c r="W510" s="14" t="s">
        <v>4287</v>
      </c>
      <c r="X510" s="14" t="s">
        <v>60</v>
      </c>
    </row>
    <row r="511" spans="1:24" ht="15" x14ac:dyDescent="0.3">
      <c r="A511" s="3">
        <v>2</v>
      </c>
      <c r="B511" s="3" t="s">
        <v>6144</v>
      </c>
      <c r="C511" s="14" t="s">
        <v>0</v>
      </c>
      <c r="D511" s="14" t="s">
        <v>132</v>
      </c>
      <c r="E511" s="14" t="s">
        <v>6145</v>
      </c>
      <c r="F511" s="14" t="s">
        <v>133</v>
      </c>
      <c r="G511" s="14" t="s">
        <v>3</v>
      </c>
      <c r="H511" s="14" t="s">
        <v>6146</v>
      </c>
      <c r="I511" s="14" t="s">
        <v>134</v>
      </c>
      <c r="J511" s="14" t="s">
        <v>60</v>
      </c>
      <c r="K511" s="14" t="s">
        <v>60</v>
      </c>
      <c r="L511" s="14" t="s">
        <v>60</v>
      </c>
      <c r="M511" s="14" t="s">
        <v>135</v>
      </c>
      <c r="N511" s="14" t="s">
        <v>60</v>
      </c>
      <c r="O511" s="14" t="s">
        <v>59</v>
      </c>
      <c r="P511" s="14" t="s">
        <v>6147</v>
      </c>
      <c r="Q511" s="14" t="s">
        <v>11</v>
      </c>
      <c r="R511" s="3">
        <v>0</v>
      </c>
      <c r="S511" s="3">
        <f t="shared" si="26"/>
        <v>550</v>
      </c>
      <c r="T511" s="3">
        <f t="shared" si="27"/>
        <v>0</v>
      </c>
      <c r="U511" s="3" t="s">
        <v>60</v>
      </c>
      <c r="V511" s="14" t="s">
        <v>6</v>
      </c>
      <c r="W511" s="14" t="s">
        <v>4287</v>
      </c>
      <c r="X511" s="14" t="s">
        <v>60</v>
      </c>
    </row>
    <row r="512" spans="1:24" ht="15" x14ac:dyDescent="0.3">
      <c r="A512" s="3">
        <v>3</v>
      </c>
      <c r="B512" s="3" t="s">
        <v>6148</v>
      </c>
      <c r="C512" s="14" t="s">
        <v>0</v>
      </c>
      <c r="D512" s="14" t="s">
        <v>136</v>
      </c>
      <c r="E512" s="14" t="s">
        <v>137</v>
      </c>
      <c r="F512" s="14" t="s">
        <v>138</v>
      </c>
      <c r="G512" s="14" t="s">
        <v>3</v>
      </c>
      <c r="H512" s="14" t="s">
        <v>6149</v>
      </c>
      <c r="I512" s="14" t="s">
        <v>139</v>
      </c>
      <c r="J512" s="14" t="s">
        <v>60</v>
      </c>
      <c r="K512" s="14" t="s">
        <v>60</v>
      </c>
      <c r="L512" s="14" t="s">
        <v>60</v>
      </c>
      <c r="M512" s="14" t="s">
        <v>140</v>
      </c>
      <c r="N512" s="14" t="s">
        <v>60</v>
      </c>
      <c r="O512" s="14" t="s">
        <v>59</v>
      </c>
      <c r="P512" s="14" t="s">
        <v>6150</v>
      </c>
      <c r="Q512" s="14" t="s">
        <v>11</v>
      </c>
      <c r="R512" s="3">
        <v>0</v>
      </c>
      <c r="S512" s="3">
        <f t="shared" si="26"/>
        <v>550</v>
      </c>
      <c r="T512" s="3">
        <f t="shared" si="27"/>
        <v>0</v>
      </c>
      <c r="U512" s="3" t="s">
        <v>60</v>
      </c>
      <c r="V512" s="14" t="s">
        <v>6</v>
      </c>
      <c r="W512" s="14" t="s">
        <v>6018</v>
      </c>
      <c r="X512" s="14" t="s">
        <v>60</v>
      </c>
    </row>
    <row r="513" spans="1:24" ht="15" x14ac:dyDescent="0.3">
      <c r="A513" s="3">
        <v>4</v>
      </c>
      <c r="B513" s="3" t="s">
        <v>6151</v>
      </c>
      <c r="C513" s="14" t="s">
        <v>0</v>
      </c>
      <c r="D513" s="14" t="s">
        <v>141</v>
      </c>
      <c r="E513" s="14" t="s">
        <v>142</v>
      </c>
      <c r="F513" s="14" t="s">
        <v>143</v>
      </c>
      <c r="G513" s="14" t="s">
        <v>3</v>
      </c>
      <c r="H513" s="14" t="s">
        <v>6152</v>
      </c>
      <c r="I513" s="14" t="s">
        <v>144</v>
      </c>
      <c r="J513" s="14" t="s">
        <v>60</v>
      </c>
      <c r="K513" s="14" t="s">
        <v>60</v>
      </c>
      <c r="L513" s="14" t="s">
        <v>60</v>
      </c>
      <c r="M513" s="14" t="s">
        <v>145</v>
      </c>
      <c r="N513" s="14" t="s">
        <v>60</v>
      </c>
      <c r="O513" s="14" t="s">
        <v>59</v>
      </c>
      <c r="P513" s="14" t="s">
        <v>6153</v>
      </c>
      <c r="Q513" s="14" t="s">
        <v>11</v>
      </c>
      <c r="R513" s="3">
        <v>0</v>
      </c>
      <c r="S513" s="3">
        <f t="shared" si="26"/>
        <v>550</v>
      </c>
      <c r="T513" s="3">
        <f t="shared" si="27"/>
        <v>0</v>
      </c>
      <c r="U513" s="3" t="s">
        <v>60</v>
      </c>
      <c r="V513" s="14" t="s">
        <v>6</v>
      </c>
      <c r="W513" s="14" t="s">
        <v>6018</v>
      </c>
      <c r="X513" s="14" t="s">
        <v>60</v>
      </c>
    </row>
    <row r="514" spans="1:24" ht="15" x14ac:dyDescent="0.3">
      <c r="A514" s="3">
        <v>5</v>
      </c>
      <c r="B514" s="3" t="s">
        <v>6154</v>
      </c>
      <c r="C514" s="14" t="s">
        <v>0</v>
      </c>
      <c r="D514" s="14" t="s">
        <v>151</v>
      </c>
      <c r="E514" s="14" t="s">
        <v>6155</v>
      </c>
      <c r="F514" s="14" t="s">
        <v>152</v>
      </c>
      <c r="G514" s="14" t="s">
        <v>3</v>
      </c>
      <c r="H514" s="14" t="s">
        <v>6156</v>
      </c>
      <c r="I514" s="14" t="s">
        <v>153</v>
      </c>
      <c r="J514" s="14" t="s">
        <v>60</v>
      </c>
      <c r="K514" s="14" t="s">
        <v>60</v>
      </c>
      <c r="L514" s="14" t="s">
        <v>60</v>
      </c>
      <c r="M514" s="14" t="s">
        <v>154</v>
      </c>
      <c r="N514" s="14" t="s">
        <v>60</v>
      </c>
      <c r="O514" s="14" t="s">
        <v>59</v>
      </c>
      <c r="P514" s="14" t="s">
        <v>6157</v>
      </c>
      <c r="Q514" s="14" t="s">
        <v>11</v>
      </c>
      <c r="R514" s="3">
        <v>0</v>
      </c>
      <c r="S514" s="3">
        <f t="shared" si="26"/>
        <v>550</v>
      </c>
      <c r="T514" s="3">
        <f t="shared" si="27"/>
        <v>0</v>
      </c>
      <c r="U514" s="3" t="s">
        <v>60</v>
      </c>
      <c r="V514" s="14" t="s">
        <v>6</v>
      </c>
      <c r="W514" s="14" t="s">
        <v>4287</v>
      </c>
      <c r="X514" s="14" t="s">
        <v>60</v>
      </c>
    </row>
    <row r="515" spans="1:24" ht="15" x14ac:dyDescent="0.3">
      <c r="A515" s="3">
        <v>6</v>
      </c>
      <c r="B515" s="3" t="s">
        <v>6158</v>
      </c>
      <c r="C515" s="14" t="s">
        <v>0</v>
      </c>
      <c r="D515" s="14" t="s">
        <v>155</v>
      </c>
      <c r="E515" s="14" t="s">
        <v>6159</v>
      </c>
      <c r="F515" s="14" t="s">
        <v>156</v>
      </c>
      <c r="G515" s="14" t="s">
        <v>3</v>
      </c>
      <c r="H515" s="14" t="s">
        <v>6160</v>
      </c>
      <c r="I515" s="14" t="s">
        <v>157</v>
      </c>
      <c r="J515" s="14" t="s">
        <v>60</v>
      </c>
      <c r="K515" s="14" t="s">
        <v>60</v>
      </c>
      <c r="L515" s="14" t="s">
        <v>60</v>
      </c>
      <c r="M515" s="14" t="s">
        <v>158</v>
      </c>
      <c r="N515" s="14" t="s">
        <v>60</v>
      </c>
      <c r="O515" s="14" t="s">
        <v>59</v>
      </c>
      <c r="P515" s="14" t="s">
        <v>6161</v>
      </c>
      <c r="Q515" s="14" t="s">
        <v>11</v>
      </c>
      <c r="R515" s="3">
        <v>0</v>
      </c>
      <c r="S515" s="3">
        <f t="shared" si="26"/>
        <v>550</v>
      </c>
      <c r="T515" s="3">
        <f t="shared" si="27"/>
        <v>0</v>
      </c>
      <c r="U515" s="3" t="s">
        <v>60</v>
      </c>
      <c r="V515" s="14" t="s">
        <v>6</v>
      </c>
      <c r="W515" s="14" t="s">
        <v>4287</v>
      </c>
      <c r="X515" s="14" t="s">
        <v>60</v>
      </c>
    </row>
    <row r="516" spans="1:24" ht="15" x14ac:dyDescent="0.3">
      <c r="A516" s="3">
        <v>7</v>
      </c>
      <c r="B516" s="3" t="s">
        <v>6162</v>
      </c>
      <c r="C516" s="14" t="s">
        <v>0</v>
      </c>
      <c r="D516" s="14" t="s">
        <v>159</v>
      </c>
      <c r="E516" s="14" t="s">
        <v>6163</v>
      </c>
      <c r="F516" s="14" t="s">
        <v>160</v>
      </c>
      <c r="G516" s="14" t="s">
        <v>3</v>
      </c>
      <c r="H516" s="14" t="s">
        <v>6164</v>
      </c>
      <c r="I516" s="14" t="s">
        <v>161</v>
      </c>
      <c r="J516" s="14" t="s">
        <v>60</v>
      </c>
      <c r="K516" s="14" t="s">
        <v>60</v>
      </c>
      <c r="L516" s="14" t="s">
        <v>60</v>
      </c>
      <c r="M516" s="14" t="s">
        <v>162</v>
      </c>
      <c r="N516" s="14" t="s">
        <v>60</v>
      </c>
      <c r="O516" s="14" t="s">
        <v>59</v>
      </c>
      <c r="P516" s="14" t="s">
        <v>6165</v>
      </c>
      <c r="Q516" s="14" t="s">
        <v>11</v>
      </c>
      <c r="R516" s="3">
        <v>0</v>
      </c>
      <c r="S516" s="3">
        <f t="shared" si="26"/>
        <v>550</v>
      </c>
      <c r="T516" s="3">
        <f t="shared" si="27"/>
        <v>0</v>
      </c>
      <c r="U516" s="3" t="s">
        <v>60</v>
      </c>
      <c r="V516" s="14" t="s">
        <v>6</v>
      </c>
      <c r="W516" s="14" t="s">
        <v>4287</v>
      </c>
      <c r="X516" s="14" t="s">
        <v>60</v>
      </c>
    </row>
    <row r="517" spans="1:24" ht="15" x14ac:dyDescent="0.3">
      <c r="A517" s="3">
        <v>8</v>
      </c>
      <c r="B517" s="3" t="s">
        <v>6166</v>
      </c>
      <c r="C517" s="14" t="s">
        <v>0</v>
      </c>
      <c r="D517" s="14" t="s">
        <v>163</v>
      </c>
      <c r="E517" s="14" t="s">
        <v>6167</v>
      </c>
      <c r="F517" s="14" t="s">
        <v>164</v>
      </c>
      <c r="G517" s="14" t="s">
        <v>3</v>
      </c>
      <c r="H517" s="14" t="s">
        <v>6168</v>
      </c>
      <c r="I517" s="14" t="s">
        <v>165</v>
      </c>
      <c r="J517" s="14" t="s">
        <v>60</v>
      </c>
      <c r="K517" s="14" t="s">
        <v>60</v>
      </c>
      <c r="L517" s="14" t="s">
        <v>60</v>
      </c>
      <c r="M517" s="14" t="s">
        <v>60</v>
      </c>
      <c r="N517" s="14" t="s">
        <v>60</v>
      </c>
      <c r="O517" s="14" t="s">
        <v>25</v>
      </c>
      <c r="P517" s="14" t="s">
        <v>6169</v>
      </c>
      <c r="Q517" s="14" t="s">
        <v>11</v>
      </c>
      <c r="R517" s="3">
        <v>0</v>
      </c>
      <c r="S517" s="3">
        <f t="shared" si="26"/>
        <v>550</v>
      </c>
      <c r="T517" s="3">
        <f t="shared" si="27"/>
        <v>0</v>
      </c>
      <c r="U517" s="3" t="s">
        <v>60</v>
      </c>
      <c r="V517" s="14" t="s">
        <v>6</v>
      </c>
      <c r="W517" s="14" t="s">
        <v>4985</v>
      </c>
      <c r="X517" s="14" t="s">
        <v>60</v>
      </c>
    </row>
    <row r="518" spans="1:24" ht="15" x14ac:dyDescent="0.3">
      <c r="A518" s="3">
        <v>9</v>
      </c>
      <c r="B518" s="3" t="s">
        <v>6170</v>
      </c>
      <c r="C518" s="14" t="s">
        <v>0</v>
      </c>
      <c r="D518" s="14" t="s">
        <v>6171</v>
      </c>
      <c r="E518" s="14" t="s">
        <v>6172</v>
      </c>
      <c r="F518" s="14" t="s">
        <v>3447</v>
      </c>
      <c r="G518" s="14" t="s">
        <v>3</v>
      </c>
      <c r="H518" s="14" t="s">
        <v>6173</v>
      </c>
      <c r="I518" s="14" t="s">
        <v>3765</v>
      </c>
      <c r="J518" s="14" t="s">
        <v>60</v>
      </c>
      <c r="K518" s="14" t="s">
        <v>60</v>
      </c>
      <c r="L518" s="14" t="s">
        <v>60</v>
      </c>
      <c r="M518" s="14" t="s">
        <v>3766</v>
      </c>
      <c r="N518" s="14" t="s">
        <v>60</v>
      </c>
      <c r="O518" s="14" t="s">
        <v>60</v>
      </c>
      <c r="P518" s="14" t="s">
        <v>6174</v>
      </c>
      <c r="Q518" s="14" t="s">
        <v>11</v>
      </c>
      <c r="R518" s="3">
        <v>0</v>
      </c>
      <c r="S518" s="3">
        <f t="shared" si="26"/>
        <v>550</v>
      </c>
      <c r="T518" s="3">
        <f t="shared" si="27"/>
        <v>0</v>
      </c>
      <c r="U518" s="3" t="s">
        <v>60</v>
      </c>
      <c r="V518" s="14" t="s">
        <v>6</v>
      </c>
      <c r="W518" s="14" t="s">
        <v>6096</v>
      </c>
      <c r="X518" s="14" t="s">
        <v>60</v>
      </c>
    </row>
    <row r="519" spans="1:24" ht="15" x14ac:dyDescent="0.3">
      <c r="A519" s="3">
        <v>10</v>
      </c>
      <c r="B519" s="3" t="s">
        <v>6175</v>
      </c>
      <c r="C519" s="14" t="s">
        <v>0</v>
      </c>
      <c r="D519" s="14" t="s">
        <v>3446</v>
      </c>
      <c r="E519" s="14" t="s">
        <v>4928</v>
      </c>
      <c r="F519" s="14" t="s">
        <v>2846</v>
      </c>
      <c r="G519" s="14" t="s">
        <v>3</v>
      </c>
      <c r="H519" s="14" t="s">
        <v>6176</v>
      </c>
      <c r="I519" s="14" t="s">
        <v>3767</v>
      </c>
      <c r="J519" s="14" t="s">
        <v>60</v>
      </c>
      <c r="K519" s="14" t="s">
        <v>60</v>
      </c>
      <c r="L519" s="14" t="s">
        <v>60</v>
      </c>
      <c r="M519" s="14" t="s">
        <v>3768</v>
      </c>
      <c r="N519" s="14" t="s">
        <v>60</v>
      </c>
      <c r="O519" s="14" t="s">
        <v>60</v>
      </c>
      <c r="P519" s="14" t="s">
        <v>6177</v>
      </c>
      <c r="Q519" s="14" t="s">
        <v>11</v>
      </c>
      <c r="R519" s="3">
        <v>0</v>
      </c>
      <c r="S519" s="3">
        <f t="shared" si="26"/>
        <v>550</v>
      </c>
      <c r="T519" s="3">
        <f t="shared" si="27"/>
        <v>0</v>
      </c>
      <c r="U519" s="3" t="s">
        <v>60</v>
      </c>
      <c r="V519" s="14" t="s">
        <v>6</v>
      </c>
      <c r="W519" s="14" t="s">
        <v>6096</v>
      </c>
      <c r="X519" s="14" t="s">
        <v>60</v>
      </c>
    </row>
    <row r="520" spans="1:24" ht="15" x14ac:dyDescent="0.3">
      <c r="A520" s="3">
        <v>11</v>
      </c>
      <c r="B520" s="3" t="s">
        <v>6178</v>
      </c>
      <c r="C520" s="14" t="s">
        <v>0</v>
      </c>
      <c r="D520" s="14" t="s">
        <v>3483</v>
      </c>
      <c r="E520" s="14" t="s">
        <v>6179</v>
      </c>
      <c r="F520" s="14" t="s">
        <v>3498</v>
      </c>
      <c r="G520" s="14" t="s">
        <v>3</v>
      </c>
      <c r="H520" s="14" t="s">
        <v>3705</v>
      </c>
      <c r="I520" s="14" t="s">
        <v>3706</v>
      </c>
      <c r="J520" s="14" t="s">
        <v>60</v>
      </c>
      <c r="K520" s="14" t="s">
        <v>60</v>
      </c>
      <c r="L520" s="14" t="s">
        <v>60</v>
      </c>
      <c r="M520" s="14" t="s">
        <v>3707</v>
      </c>
      <c r="N520" s="14" t="s">
        <v>60</v>
      </c>
      <c r="O520" s="14" t="s">
        <v>60</v>
      </c>
      <c r="P520" s="14" t="s">
        <v>6180</v>
      </c>
      <c r="Q520" s="14" t="s">
        <v>11</v>
      </c>
      <c r="R520" s="3">
        <v>0</v>
      </c>
      <c r="S520" s="3">
        <f t="shared" si="26"/>
        <v>550</v>
      </c>
      <c r="T520" s="3">
        <f t="shared" si="27"/>
        <v>0</v>
      </c>
      <c r="U520" s="3" t="s">
        <v>60</v>
      </c>
      <c r="V520" s="14" t="s">
        <v>6</v>
      </c>
      <c r="W520" s="14" t="s">
        <v>6101</v>
      </c>
      <c r="X520" s="14" t="s">
        <v>5085</v>
      </c>
    </row>
    <row r="521" spans="1:24" ht="15" x14ac:dyDescent="0.3">
      <c r="A521" s="3">
        <v>12</v>
      </c>
      <c r="B521" s="3" t="s">
        <v>6181</v>
      </c>
      <c r="C521" s="14" t="s">
        <v>0</v>
      </c>
      <c r="D521" s="14" t="s">
        <v>3484</v>
      </c>
      <c r="E521" s="14" t="s">
        <v>6182</v>
      </c>
      <c r="F521" s="14" t="s">
        <v>3499</v>
      </c>
      <c r="G521" s="14" t="s">
        <v>3</v>
      </c>
      <c r="H521" s="14" t="s">
        <v>3708</v>
      </c>
      <c r="I521" s="14" t="s">
        <v>3709</v>
      </c>
      <c r="J521" s="14" t="s">
        <v>60</v>
      </c>
      <c r="K521" s="14" t="s">
        <v>60</v>
      </c>
      <c r="L521" s="14" t="s">
        <v>60</v>
      </c>
      <c r="M521" s="14" t="s">
        <v>3710</v>
      </c>
      <c r="N521" s="14" t="s">
        <v>60</v>
      </c>
      <c r="O521" s="14" t="s">
        <v>60</v>
      </c>
      <c r="P521" s="14" t="s">
        <v>6183</v>
      </c>
      <c r="Q521" s="14" t="s">
        <v>11</v>
      </c>
      <c r="R521" s="3">
        <v>0</v>
      </c>
      <c r="S521" s="3">
        <f t="shared" si="26"/>
        <v>550</v>
      </c>
      <c r="T521" s="3">
        <f t="shared" si="27"/>
        <v>0</v>
      </c>
      <c r="U521" s="3" t="s">
        <v>60</v>
      </c>
      <c r="V521" s="14" t="s">
        <v>6</v>
      </c>
      <c r="W521" s="14" t="s">
        <v>6101</v>
      </c>
      <c r="X521" s="14" t="s">
        <v>5085</v>
      </c>
    </row>
    <row r="522" spans="1:24" ht="15" x14ac:dyDescent="0.3">
      <c r="A522" s="3">
        <v>13</v>
      </c>
      <c r="B522" s="3" t="s">
        <v>6184</v>
      </c>
      <c r="C522" s="14" t="s">
        <v>0</v>
      </c>
      <c r="D522" s="14" t="s">
        <v>3485</v>
      </c>
      <c r="E522" s="14" t="s">
        <v>6185</v>
      </c>
      <c r="F522" s="14" t="s">
        <v>3500</v>
      </c>
      <c r="G522" s="14" t="s">
        <v>3</v>
      </c>
      <c r="H522" s="14" t="s">
        <v>3711</v>
      </c>
      <c r="I522" s="14" t="s">
        <v>3712</v>
      </c>
      <c r="J522" s="14" t="s">
        <v>60</v>
      </c>
      <c r="K522" s="14" t="s">
        <v>60</v>
      </c>
      <c r="L522" s="14" t="s">
        <v>60</v>
      </c>
      <c r="M522" s="14" t="s">
        <v>3713</v>
      </c>
      <c r="N522" s="14" t="s">
        <v>60</v>
      </c>
      <c r="O522" s="14" t="s">
        <v>60</v>
      </c>
      <c r="P522" s="14" t="s">
        <v>6186</v>
      </c>
      <c r="Q522" s="14" t="s">
        <v>11</v>
      </c>
      <c r="R522" s="3">
        <v>0</v>
      </c>
      <c r="S522" s="3">
        <f t="shared" si="26"/>
        <v>550</v>
      </c>
      <c r="T522" s="3">
        <f t="shared" si="27"/>
        <v>0</v>
      </c>
      <c r="U522" s="3" t="s">
        <v>60</v>
      </c>
      <c r="V522" s="14" t="s">
        <v>6</v>
      </c>
      <c r="W522" s="14" t="s">
        <v>6101</v>
      </c>
      <c r="X522" s="14" t="s">
        <v>5085</v>
      </c>
    </row>
    <row r="523" spans="1:24" ht="15" x14ac:dyDescent="0.3">
      <c r="A523" s="3">
        <v>14</v>
      </c>
      <c r="B523" s="3" t="s">
        <v>6187</v>
      </c>
      <c r="C523" s="14" t="s">
        <v>0</v>
      </c>
      <c r="D523" s="14" t="s">
        <v>3618</v>
      </c>
      <c r="E523" s="14" t="s">
        <v>6188</v>
      </c>
      <c r="F523" s="14" t="s">
        <v>3617</v>
      </c>
      <c r="G523" s="14" t="s">
        <v>3</v>
      </c>
      <c r="H523" s="14" t="s">
        <v>3714</v>
      </c>
      <c r="I523" s="14" t="s">
        <v>3715</v>
      </c>
      <c r="J523" s="14" t="s">
        <v>60</v>
      </c>
      <c r="K523" s="14" t="s">
        <v>60</v>
      </c>
      <c r="L523" s="14" t="s">
        <v>60</v>
      </c>
      <c r="M523" s="14" t="s">
        <v>3716</v>
      </c>
      <c r="N523" s="14" t="s">
        <v>60</v>
      </c>
      <c r="O523" s="14" t="s">
        <v>60</v>
      </c>
      <c r="P523" s="14" t="s">
        <v>6189</v>
      </c>
      <c r="Q523" s="14" t="s">
        <v>11</v>
      </c>
      <c r="R523" s="3">
        <v>0</v>
      </c>
      <c r="S523" s="3">
        <f t="shared" si="26"/>
        <v>550</v>
      </c>
      <c r="T523" s="3">
        <f t="shared" si="27"/>
        <v>0</v>
      </c>
      <c r="U523" s="3" t="s">
        <v>60</v>
      </c>
      <c r="V523" s="14" t="s">
        <v>6</v>
      </c>
      <c r="W523" s="14" t="s">
        <v>6101</v>
      </c>
      <c r="X523" s="14" t="s">
        <v>5085</v>
      </c>
    </row>
    <row r="524" spans="1:24" ht="15" x14ac:dyDescent="0.3">
      <c r="A524" s="3">
        <v>15</v>
      </c>
      <c r="B524" s="3" t="s">
        <v>6190</v>
      </c>
      <c r="C524" s="14" t="s">
        <v>0</v>
      </c>
      <c r="D524" s="14" t="s">
        <v>3486</v>
      </c>
      <c r="E524" s="14" t="s">
        <v>6191</v>
      </c>
      <c r="F524" s="14" t="s">
        <v>3501</v>
      </c>
      <c r="G524" s="14" t="s">
        <v>3</v>
      </c>
      <c r="H524" s="14" t="s">
        <v>3717</v>
      </c>
      <c r="I524" s="14" t="s">
        <v>3718</v>
      </c>
      <c r="J524" s="14" t="s">
        <v>60</v>
      </c>
      <c r="K524" s="14" t="s">
        <v>60</v>
      </c>
      <c r="L524" s="14" t="s">
        <v>60</v>
      </c>
      <c r="M524" s="14" t="s">
        <v>3719</v>
      </c>
      <c r="N524" s="14" t="s">
        <v>60</v>
      </c>
      <c r="O524" s="14" t="s">
        <v>60</v>
      </c>
      <c r="P524" s="14" t="s">
        <v>6192</v>
      </c>
      <c r="Q524" s="14" t="s">
        <v>11</v>
      </c>
      <c r="R524" s="3">
        <v>0</v>
      </c>
      <c r="S524" s="3">
        <f t="shared" si="26"/>
        <v>550</v>
      </c>
      <c r="T524" s="3">
        <f t="shared" si="27"/>
        <v>0</v>
      </c>
      <c r="U524" s="3" t="s">
        <v>60</v>
      </c>
      <c r="V524" s="14" t="s">
        <v>6</v>
      </c>
      <c r="W524" s="14" t="s">
        <v>6101</v>
      </c>
      <c r="X524" s="14" t="s">
        <v>5085</v>
      </c>
    </row>
    <row r="525" spans="1:24" ht="15" x14ac:dyDescent="0.3">
      <c r="A525" s="3">
        <v>16</v>
      </c>
      <c r="B525" s="3" t="s">
        <v>6193</v>
      </c>
      <c r="C525" s="14" t="s">
        <v>0</v>
      </c>
      <c r="D525" s="14" t="s">
        <v>3487</v>
      </c>
      <c r="E525" s="14" t="s">
        <v>6194</v>
      </c>
      <c r="F525" s="14" t="s">
        <v>6195</v>
      </c>
      <c r="G525" s="14" t="s">
        <v>3</v>
      </c>
      <c r="H525" s="14" t="s">
        <v>3720</v>
      </c>
      <c r="I525" s="14" t="s">
        <v>3721</v>
      </c>
      <c r="J525" s="14" t="s">
        <v>60</v>
      </c>
      <c r="K525" s="14" t="s">
        <v>60</v>
      </c>
      <c r="L525" s="14" t="s">
        <v>60</v>
      </c>
      <c r="M525" s="14" t="s">
        <v>3722</v>
      </c>
      <c r="N525" s="14" t="s">
        <v>60</v>
      </c>
      <c r="O525" s="14" t="s">
        <v>60</v>
      </c>
      <c r="P525" s="14" t="s">
        <v>6196</v>
      </c>
      <c r="Q525" s="14" t="s">
        <v>11</v>
      </c>
      <c r="R525" s="3">
        <v>0</v>
      </c>
      <c r="S525" s="3">
        <f t="shared" si="26"/>
        <v>550</v>
      </c>
      <c r="T525" s="3">
        <f t="shared" si="27"/>
        <v>0</v>
      </c>
      <c r="U525" s="3" t="s">
        <v>6197</v>
      </c>
      <c r="V525" s="14" t="s">
        <v>6</v>
      </c>
      <c r="W525" s="14" t="s">
        <v>6101</v>
      </c>
      <c r="X525" s="14" t="s">
        <v>5085</v>
      </c>
    </row>
    <row r="526" spans="1:24" ht="15.6" x14ac:dyDescent="0.3">
      <c r="A526" s="26" t="s">
        <v>60</v>
      </c>
      <c r="B526" s="26" t="s">
        <v>60</v>
      </c>
      <c r="C526" s="27" t="s">
        <v>60</v>
      </c>
      <c r="D526" s="27" t="s">
        <v>60</v>
      </c>
      <c r="E526" s="27" t="s">
        <v>60</v>
      </c>
      <c r="F526" s="27" t="s">
        <v>60</v>
      </c>
      <c r="G526" s="27" t="s">
        <v>60</v>
      </c>
      <c r="H526" s="27" t="s">
        <v>60</v>
      </c>
      <c r="I526" s="27" t="s">
        <v>60</v>
      </c>
      <c r="J526" s="27" t="s">
        <v>60</v>
      </c>
      <c r="K526" s="27" t="s">
        <v>60</v>
      </c>
      <c r="L526" s="27" t="s">
        <v>60</v>
      </c>
      <c r="M526" s="27" t="s">
        <v>60</v>
      </c>
      <c r="N526" s="27" t="s">
        <v>60</v>
      </c>
      <c r="O526" s="27" t="s">
        <v>60</v>
      </c>
      <c r="P526" s="27" t="s">
        <v>60</v>
      </c>
      <c r="Q526" s="27" t="s">
        <v>60</v>
      </c>
      <c r="R526" s="35" t="s">
        <v>2009</v>
      </c>
      <c r="S526" s="35" t="s">
        <v>60</v>
      </c>
      <c r="T526" s="26">
        <f>SUM(T509:T525)</f>
        <v>0</v>
      </c>
      <c r="U526" s="26" t="s">
        <v>6197</v>
      </c>
      <c r="V526" s="27" t="s">
        <v>60</v>
      </c>
      <c r="W526" s="27" t="s">
        <v>60</v>
      </c>
      <c r="X526" s="27" t="s">
        <v>60</v>
      </c>
    </row>
    <row r="527" spans="1:24" ht="15.6" x14ac:dyDescent="0.3">
      <c r="A527" s="34" t="s">
        <v>6198</v>
      </c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 spans="1:24" ht="109.2" x14ac:dyDescent="0.3">
      <c r="A528" s="23" t="s">
        <v>42</v>
      </c>
      <c r="B528" s="23" t="s">
        <v>43</v>
      </c>
      <c r="C528" s="24" t="s">
        <v>44</v>
      </c>
      <c r="D528" s="24" t="s">
        <v>4154</v>
      </c>
      <c r="E528" s="24" t="s">
        <v>4155</v>
      </c>
      <c r="F528" s="24" t="s">
        <v>4156</v>
      </c>
      <c r="G528" s="24" t="s">
        <v>45</v>
      </c>
      <c r="H528" s="24" t="s">
        <v>4157</v>
      </c>
      <c r="I528" s="24" t="s">
        <v>46</v>
      </c>
      <c r="J528" s="24" t="s">
        <v>4158</v>
      </c>
      <c r="K528" s="24" t="s">
        <v>4159</v>
      </c>
      <c r="L528" s="24" t="s">
        <v>4160</v>
      </c>
      <c r="M528" s="24" t="s">
        <v>4161</v>
      </c>
      <c r="N528" s="24" t="s">
        <v>47</v>
      </c>
      <c r="O528" s="24" t="s">
        <v>48</v>
      </c>
      <c r="P528" s="24" t="s">
        <v>49</v>
      </c>
      <c r="Q528" s="24" t="s">
        <v>50</v>
      </c>
      <c r="R528" s="23" t="s">
        <v>4162</v>
      </c>
      <c r="S528" s="23" t="s">
        <v>4163</v>
      </c>
      <c r="T528" s="23" t="s">
        <v>4164</v>
      </c>
      <c r="U528" s="23" t="s">
        <v>4165</v>
      </c>
      <c r="V528" s="24" t="s">
        <v>51</v>
      </c>
      <c r="W528" s="24" t="s">
        <v>52</v>
      </c>
      <c r="X528" s="24" t="s">
        <v>53</v>
      </c>
    </row>
    <row r="529" spans="1:24" ht="15" x14ac:dyDescent="0.3">
      <c r="A529" s="3">
        <v>1</v>
      </c>
      <c r="B529" s="3" t="s">
        <v>6199</v>
      </c>
      <c r="C529" s="14" t="s">
        <v>0</v>
      </c>
      <c r="D529" s="14" t="s">
        <v>1062</v>
      </c>
      <c r="E529" s="14" t="s">
        <v>4895</v>
      </c>
      <c r="F529" s="14" t="s">
        <v>1063</v>
      </c>
      <c r="G529" s="14" t="s">
        <v>3</v>
      </c>
      <c r="H529" s="14" t="s">
        <v>6200</v>
      </c>
      <c r="I529" s="14" t="s">
        <v>1064</v>
      </c>
      <c r="J529" s="14" t="s">
        <v>60</v>
      </c>
      <c r="K529" s="14" t="s">
        <v>60</v>
      </c>
      <c r="L529" s="14" t="s">
        <v>60</v>
      </c>
      <c r="M529" s="14" t="s">
        <v>1065</v>
      </c>
      <c r="N529" s="14" t="s">
        <v>60</v>
      </c>
      <c r="O529" s="14" t="s">
        <v>339</v>
      </c>
      <c r="P529" s="14" t="s">
        <v>6201</v>
      </c>
      <c r="Q529" s="14" t="s">
        <v>11</v>
      </c>
      <c r="R529" s="3">
        <v>0</v>
      </c>
      <c r="S529" s="3">
        <f t="shared" ref="S529:S589" si="28">IF(RIGHT(C529,3)="MAZ",550,IF(RIGHT(C529,4)="MATE",570,IF(RIGHT(C529,7)="SKD-III",640,IF(RIGHT(C529,6)="SKD-II",770,IF(RIGHT(C529,5)="SKD-I",900,IF(RIGHT(C529,5)="CPDVR",770,""))))))</f>
        <v>550</v>
      </c>
      <c r="T529" s="3">
        <f t="shared" ref="T529:T589" si="29">R529*S529</f>
        <v>0</v>
      </c>
      <c r="U529" s="3" t="s">
        <v>60</v>
      </c>
      <c r="V529" s="14" t="s">
        <v>6</v>
      </c>
      <c r="W529" s="14" t="s">
        <v>5912</v>
      </c>
      <c r="X529" s="14" t="s">
        <v>60</v>
      </c>
    </row>
    <row r="530" spans="1:24" ht="15" x14ac:dyDescent="0.3">
      <c r="A530" s="3">
        <v>2</v>
      </c>
      <c r="B530" s="3" t="s">
        <v>6202</v>
      </c>
      <c r="C530" s="14" t="s">
        <v>0</v>
      </c>
      <c r="D530" s="14" t="s">
        <v>1070</v>
      </c>
      <c r="E530" s="14" t="s">
        <v>5073</v>
      </c>
      <c r="F530" s="14" t="s">
        <v>1071</v>
      </c>
      <c r="G530" s="14" t="s">
        <v>3</v>
      </c>
      <c r="H530" s="14" t="s">
        <v>1072</v>
      </c>
      <c r="I530" s="14" t="s">
        <v>1073</v>
      </c>
      <c r="J530" s="14" t="s">
        <v>60</v>
      </c>
      <c r="K530" s="14" t="s">
        <v>60</v>
      </c>
      <c r="L530" s="14" t="s">
        <v>60</v>
      </c>
      <c r="M530" s="14" t="s">
        <v>1074</v>
      </c>
      <c r="N530" s="14" t="s">
        <v>60</v>
      </c>
      <c r="O530" s="14" t="s">
        <v>339</v>
      </c>
      <c r="P530" s="14" t="s">
        <v>6203</v>
      </c>
      <c r="Q530" s="14" t="s">
        <v>11</v>
      </c>
      <c r="R530" s="3">
        <v>0</v>
      </c>
      <c r="S530" s="3">
        <f t="shared" si="28"/>
        <v>550</v>
      </c>
      <c r="T530" s="3">
        <f t="shared" si="29"/>
        <v>0</v>
      </c>
      <c r="U530" s="3" t="s">
        <v>60</v>
      </c>
      <c r="V530" s="14" t="s">
        <v>6</v>
      </c>
      <c r="W530" s="14" t="s">
        <v>5912</v>
      </c>
      <c r="X530" s="14" t="s">
        <v>4495</v>
      </c>
    </row>
    <row r="531" spans="1:24" ht="15" x14ac:dyDescent="0.3">
      <c r="A531" s="3">
        <v>3</v>
      </c>
      <c r="B531" s="3" t="s">
        <v>6204</v>
      </c>
      <c r="C531" s="14" t="s">
        <v>0</v>
      </c>
      <c r="D531" s="14" t="s">
        <v>1075</v>
      </c>
      <c r="E531" s="14" t="s">
        <v>5073</v>
      </c>
      <c r="F531" s="14" t="s">
        <v>1076</v>
      </c>
      <c r="G531" s="14" t="s">
        <v>3</v>
      </c>
      <c r="H531" s="14" t="s">
        <v>6205</v>
      </c>
      <c r="I531" s="14" t="s">
        <v>1077</v>
      </c>
      <c r="J531" s="14" t="s">
        <v>60</v>
      </c>
      <c r="K531" s="14" t="s">
        <v>60</v>
      </c>
      <c r="L531" s="14" t="s">
        <v>60</v>
      </c>
      <c r="M531" s="14" t="s">
        <v>1078</v>
      </c>
      <c r="N531" s="14" t="s">
        <v>60</v>
      </c>
      <c r="O531" s="14" t="s">
        <v>339</v>
      </c>
      <c r="P531" s="14" t="s">
        <v>6206</v>
      </c>
      <c r="Q531" s="14" t="s">
        <v>11</v>
      </c>
      <c r="R531" s="3">
        <v>0</v>
      </c>
      <c r="S531" s="3">
        <f t="shared" si="28"/>
        <v>550</v>
      </c>
      <c r="T531" s="3">
        <f t="shared" si="29"/>
        <v>0</v>
      </c>
      <c r="U531" s="3" t="s">
        <v>60</v>
      </c>
      <c r="V531" s="14" t="s">
        <v>6</v>
      </c>
      <c r="W531" s="14" t="s">
        <v>5912</v>
      </c>
      <c r="X531" s="14" t="s">
        <v>60</v>
      </c>
    </row>
    <row r="532" spans="1:24" ht="15" x14ac:dyDescent="0.3">
      <c r="A532" s="3">
        <v>4</v>
      </c>
      <c r="B532" s="3" t="s">
        <v>6207</v>
      </c>
      <c r="C532" s="14" t="s">
        <v>0</v>
      </c>
      <c r="D532" s="14" t="s">
        <v>1079</v>
      </c>
      <c r="E532" s="14" t="s">
        <v>6208</v>
      </c>
      <c r="F532" s="14" t="s">
        <v>1080</v>
      </c>
      <c r="G532" s="14" t="s">
        <v>3</v>
      </c>
      <c r="H532" s="14" t="s">
        <v>6209</v>
      </c>
      <c r="I532" s="14" t="s">
        <v>1081</v>
      </c>
      <c r="J532" s="14" t="s">
        <v>60</v>
      </c>
      <c r="K532" s="14" t="s">
        <v>60</v>
      </c>
      <c r="L532" s="14" t="s">
        <v>60</v>
      </c>
      <c r="M532" s="14" t="s">
        <v>1082</v>
      </c>
      <c r="N532" s="14" t="s">
        <v>60</v>
      </c>
      <c r="O532" s="14" t="s">
        <v>339</v>
      </c>
      <c r="P532" s="14" t="s">
        <v>6210</v>
      </c>
      <c r="Q532" s="14" t="s">
        <v>11</v>
      </c>
      <c r="R532" s="3">
        <v>0</v>
      </c>
      <c r="S532" s="3">
        <f t="shared" si="28"/>
        <v>550</v>
      </c>
      <c r="T532" s="3">
        <f t="shared" si="29"/>
        <v>0</v>
      </c>
      <c r="U532" s="3" t="s">
        <v>60</v>
      </c>
      <c r="V532" s="14" t="s">
        <v>6</v>
      </c>
      <c r="W532" s="14" t="s">
        <v>5912</v>
      </c>
      <c r="X532" s="14" t="s">
        <v>60</v>
      </c>
    </row>
    <row r="533" spans="1:24" ht="15" x14ac:dyDescent="0.3">
      <c r="A533" s="3">
        <v>5</v>
      </c>
      <c r="B533" s="3" t="s">
        <v>1083</v>
      </c>
      <c r="C533" s="14" t="s">
        <v>69</v>
      </c>
      <c r="D533" s="14" t="s">
        <v>1084</v>
      </c>
      <c r="E533" s="14" t="s">
        <v>6211</v>
      </c>
      <c r="F533" s="14" t="s">
        <v>1085</v>
      </c>
      <c r="G533" s="14" t="s">
        <v>3</v>
      </c>
      <c r="H533" s="14" t="s">
        <v>6212</v>
      </c>
      <c r="I533" s="14" t="s">
        <v>1086</v>
      </c>
      <c r="J533" s="14" t="s">
        <v>60</v>
      </c>
      <c r="K533" s="14" t="s">
        <v>60</v>
      </c>
      <c r="L533" s="14" t="s">
        <v>60</v>
      </c>
      <c r="M533" s="14" t="s">
        <v>1087</v>
      </c>
      <c r="N533" s="14" t="s">
        <v>60</v>
      </c>
      <c r="O533" s="14" t="s">
        <v>193</v>
      </c>
      <c r="P533" s="14" t="s">
        <v>6213</v>
      </c>
      <c r="Q533" s="14" t="s">
        <v>11</v>
      </c>
      <c r="R533" s="3">
        <v>0</v>
      </c>
      <c r="S533" s="3">
        <f t="shared" si="28"/>
        <v>570</v>
      </c>
      <c r="T533" s="3">
        <f t="shared" si="29"/>
        <v>0</v>
      </c>
      <c r="U533" s="3" t="s">
        <v>60</v>
      </c>
      <c r="V533" s="14" t="s">
        <v>6</v>
      </c>
      <c r="W533" s="14" t="s">
        <v>4287</v>
      </c>
      <c r="X533" s="14" t="s">
        <v>60</v>
      </c>
    </row>
    <row r="534" spans="1:24" ht="15" x14ac:dyDescent="0.3">
      <c r="A534" s="3">
        <v>6</v>
      </c>
      <c r="B534" s="3" t="s">
        <v>6214</v>
      </c>
      <c r="C534" s="14" t="s">
        <v>0</v>
      </c>
      <c r="D534" s="14" t="s">
        <v>1088</v>
      </c>
      <c r="E534" s="14" t="s">
        <v>5050</v>
      </c>
      <c r="F534" s="14" t="s">
        <v>1089</v>
      </c>
      <c r="G534" s="14" t="s">
        <v>3</v>
      </c>
      <c r="H534" s="14" t="s">
        <v>6215</v>
      </c>
      <c r="I534" s="14" t="s">
        <v>1090</v>
      </c>
      <c r="J534" s="14" t="s">
        <v>60</v>
      </c>
      <c r="K534" s="14" t="s">
        <v>60</v>
      </c>
      <c r="L534" s="14" t="s">
        <v>60</v>
      </c>
      <c r="M534" s="14" t="s">
        <v>1091</v>
      </c>
      <c r="N534" s="14" t="s">
        <v>60</v>
      </c>
      <c r="O534" s="14" t="s">
        <v>193</v>
      </c>
      <c r="P534" s="14" t="s">
        <v>6216</v>
      </c>
      <c r="Q534" s="14" t="s">
        <v>11</v>
      </c>
      <c r="R534" s="3">
        <v>0</v>
      </c>
      <c r="S534" s="3">
        <f t="shared" si="28"/>
        <v>550</v>
      </c>
      <c r="T534" s="3">
        <f t="shared" si="29"/>
        <v>0</v>
      </c>
      <c r="U534" s="3" t="s">
        <v>60</v>
      </c>
      <c r="V534" s="14" t="s">
        <v>6</v>
      </c>
      <c r="W534" s="14" t="s">
        <v>4287</v>
      </c>
      <c r="X534" s="14" t="s">
        <v>60</v>
      </c>
    </row>
    <row r="535" spans="1:24" ht="15" x14ac:dyDescent="0.3">
      <c r="A535" s="3">
        <v>7</v>
      </c>
      <c r="B535" s="3" t="s">
        <v>6217</v>
      </c>
      <c r="C535" s="14" t="s">
        <v>0</v>
      </c>
      <c r="D535" s="14" t="s">
        <v>1092</v>
      </c>
      <c r="E535" s="14" t="s">
        <v>6208</v>
      </c>
      <c r="F535" s="14" t="s">
        <v>1093</v>
      </c>
      <c r="G535" s="14" t="s">
        <v>3</v>
      </c>
      <c r="H535" s="14" t="s">
        <v>6218</v>
      </c>
      <c r="I535" s="14" t="s">
        <v>1094</v>
      </c>
      <c r="J535" s="14" t="s">
        <v>60</v>
      </c>
      <c r="K535" s="14" t="s">
        <v>60</v>
      </c>
      <c r="L535" s="14" t="s">
        <v>60</v>
      </c>
      <c r="M535" s="14" t="s">
        <v>1095</v>
      </c>
      <c r="N535" s="14" t="s">
        <v>60</v>
      </c>
      <c r="O535" s="14" t="s">
        <v>193</v>
      </c>
      <c r="P535" s="14" t="s">
        <v>6219</v>
      </c>
      <c r="Q535" s="14" t="s">
        <v>11</v>
      </c>
      <c r="R535" s="3">
        <v>0</v>
      </c>
      <c r="S535" s="3">
        <f t="shared" si="28"/>
        <v>550</v>
      </c>
      <c r="T535" s="3">
        <f t="shared" si="29"/>
        <v>0</v>
      </c>
      <c r="U535" s="3" t="s">
        <v>60</v>
      </c>
      <c r="V535" s="14" t="s">
        <v>6</v>
      </c>
      <c r="W535" s="14" t="s">
        <v>4287</v>
      </c>
      <c r="X535" s="14" t="s">
        <v>60</v>
      </c>
    </row>
    <row r="536" spans="1:24" ht="15" x14ac:dyDescent="0.3">
      <c r="A536" s="3">
        <v>8</v>
      </c>
      <c r="B536" s="3" t="s">
        <v>6220</v>
      </c>
      <c r="C536" s="14" t="s">
        <v>0</v>
      </c>
      <c r="D536" s="14" t="s">
        <v>1096</v>
      </c>
      <c r="E536" s="14" t="s">
        <v>4430</v>
      </c>
      <c r="F536" s="14" t="s">
        <v>1097</v>
      </c>
      <c r="G536" s="14" t="s">
        <v>3</v>
      </c>
      <c r="H536" s="14" t="s">
        <v>6221</v>
      </c>
      <c r="I536" s="14" t="s">
        <v>1098</v>
      </c>
      <c r="J536" s="14" t="s">
        <v>60</v>
      </c>
      <c r="K536" s="14" t="s">
        <v>60</v>
      </c>
      <c r="L536" s="14" t="s">
        <v>60</v>
      </c>
      <c r="M536" s="14" t="s">
        <v>1099</v>
      </c>
      <c r="N536" s="14" t="s">
        <v>60</v>
      </c>
      <c r="O536" s="14" t="s">
        <v>193</v>
      </c>
      <c r="P536" s="14" t="s">
        <v>6222</v>
      </c>
      <c r="Q536" s="14" t="s">
        <v>11</v>
      </c>
      <c r="R536" s="3">
        <v>0</v>
      </c>
      <c r="S536" s="3">
        <f t="shared" si="28"/>
        <v>550</v>
      </c>
      <c r="T536" s="3">
        <f t="shared" si="29"/>
        <v>0</v>
      </c>
      <c r="U536" s="3" t="s">
        <v>60</v>
      </c>
      <c r="V536" s="14" t="s">
        <v>6</v>
      </c>
      <c r="W536" s="14" t="s">
        <v>4287</v>
      </c>
      <c r="X536" s="14" t="s">
        <v>60</v>
      </c>
    </row>
    <row r="537" spans="1:24" ht="15" x14ac:dyDescent="0.3">
      <c r="A537" s="3">
        <v>9</v>
      </c>
      <c r="B537" s="3" t="s">
        <v>6223</v>
      </c>
      <c r="C537" s="14" t="s">
        <v>0</v>
      </c>
      <c r="D537" s="14" t="s">
        <v>1100</v>
      </c>
      <c r="E537" s="14" t="s">
        <v>5073</v>
      </c>
      <c r="F537" s="14" t="s">
        <v>1101</v>
      </c>
      <c r="G537" s="14" t="s">
        <v>3</v>
      </c>
      <c r="H537" s="14" t="s">
        <v>6224</v>
      </c>
      <c r="I537" s="14" t="s">
        <v>1102</v>
      </c>
      <c r="J537" s="14" t="s">
        <v>60</v>
      </c>
      <c r="K537" s="14" t="s">
        <v>60</v>
      </c>
      <c r="L537" s="14" t="s">
        <v>60</v>
      </c>
      <c r="M537" s="14" t="s">
        <v>1103</v>
      </c>
      <c r="N537" s="14" t="s">
        <v>60</v>
      </c>
      <c r="O537" s="14" t="s">
        <v>184</v>
      </c>
      <c r="P537" s="14" t="s">
        <v>6225</v>
      </c>
      <c r="Q537" s="14" t="s">
        <v>185</v>
      </c>
      <c r="R537" s="3">
        <v>0</v>
      </c>
      <c r="S537" s="3">
        <f t="shared" si="28"/>
        <v>550</v>
      </c>
      <c r="T537" s="3">
        <f t="shared" si="29"/>
        <v>0</v>
      </c>
      <c r="U537" s="3" t="s">
        <v>60</v>
      </c>
      <c r="V537" s="14" t="s">
        <v>6</v>
      </c>
      <c r="W537" s="14" t="s">
        <v>4287</v>
      </c>
      <c r="X537" s="14" t="s">
        <v>60</v>
      </c>
    </row>
    <row r="538" spans="1:24" ht="15" x14ac:dyDescent="0.3">
      <c r="A538" s="3">
        <v>10</v>
      </c>
      <c r="B538" s="3" t="s">
        <v>6226</v>
      </c>
      <c r="C538" s="14" t="s">
        <v>91</v>
      </c>
      <c r="D538" s="14" t="s">
        <v>1104</v>
      </c>
      <c r="E538" s="14" t="s">
        <v>6227</v>
      </c>
      <c r="F538" s="14" t="s">
        <v>1105</v>
      </c>
      <c r="G538" s="14" t="s">
        <v>3</v>
      </c>
      <c r="H538" s="14" t="s">
        <v>6228</v>
      </c>
      <c r="I538" s="14" t="s">
        <v>1106</v>
      </c>
      <c r="J538" s="14" t="s">
        <v>228</v>
      </c>
      <c r="K538" s="14" t="s">
        <v>60</v>
      </c>
      <c r="L538" s="14" t="s">
        <v>60</v>
      </c>
      <c r="M538" s="14" t="s">
        <v>1107</v>
      </c>
      <c r="N538" s="14" t="s">
        <v>60</v>
      </c>
      <c r="O538" s="14" t="s">
        <v>193</v>
      </c>
      <c r="P538" s="14" t="s">
        <v>6229</v>
      </c>
      <c r="Q538" s="14" t="s">
        <v>11</v>
      </c>
      <c r="R538" s="3">
        <v>0</v>
      </c>
      <c r="S538" s="3">
        <f t="shared" si="28"/>
        <v>770</v>
      </c>
      <c r="T538" s="3">
        <f t="shared" si="29"/>
        <v>0</v>
      </c>
      <c r="U538" s="3" t="s">
        <v>60</v>
      </c>
      <c r="V538" s="14" t="s">
        <v>6</v>
      </c>
      <c r="W538" s="14" t="s">
        <v>4287</v>
      </c>
      <c r="X538" s="14" t="s">
        <v>60</v>
      </c>
    </row>
    <row r="539" spans="1:24" ht="15" x14ac:dyDescent="0.3">
      <c r="A539" s="3">
        <v>11</v>
      </c>
      <c r="B539" s="3" t="s">
        <v>6230</v>
      </c>
      <c r="C539" s="14" t="s">
        <v>0</v>
      </c>
      <c r="D539" s="14" t="s">
        <v>1108</v>
      </c>
      <c r="E539" s="14" t="s">
        <v>4746</v>
      </c>
      <c r="F539" s="14" t="s">
        <v>1109</v>
      </c>
      <c r="G539" s="14" t="s">
        <v>3</v>
      </c>
      <c r="H539" s="14" t="s">
        <v>6231</v>
      </c>
      <c r="I539" s="14" t="s">
        <v>1110</v>
      </c>
      <c r="J539" s="14" t="s">
        <v>60</v>
      </c>
      <c r="K539" s="14" t="s">
        <v>60</v>
      </c>
      <c r="L539" s="14" t="s">
        <v>60</v>
      </c>
      <c r="M539" s="14" t="s">
        <v>1111</v>
      </c>
      <c r="N539" s="14" t="s">
        <v>60</v>
      </c>
      <c r="O539" s="14" t="s">
        <v>60</v>
      </c>
      <c r="P539" s="14" t="s">
        <v>6232</v>
      </c>
      <c r="Q539" s="14" t="s">
        <v>11</v>
      </c>
      <c r="R539" s="3">
        <v>0</v>
      </c>
      <c r="S539" s="3">
        <f t="shared" si="28"/>
        <v>550</v>
      </c>
      <c r="T539" s="3">
        <f t="shared" si="29"/>
        <v>0</v>
      </c>
      <c r="U539" s="3" t="s">
        <v>60</v>
      </c>
      <c r="V539" s="14" t="s">
        <v>6</v>
      </c>
      <c r="W539" s="14" t="s">
        <v>6233</v>
      </c>
      <c r="X539" s="14" t="s">
        <v>60</v>
      </c>
    </row>
    <row r="540" spans="1:24" ht="15" x14ac:dyDescent="0.3">
      <c r="A540" s="3">
        <v>12</v>
      </c>
      <c r="B540" s="3" t="s">
        <v>6234</v>
      </c>
      <c r="C540" s="14" t="s">
        <v>0</v>
      </c>
      <c r="D540" s="14" t="s">
        <v>1112</v>
      </c>
      <c r="E540" s="14" t="s">
        <v>4367</v>
      </c>
      <c r="F540" s="14" t="s">
        <v>1089</v>
      </c>
      <c r="G540" s="14" t="s">
        <v>3</v>
      </c>
      <c r="H540" s="14" t="s">
        <v>6235</v>
      </c>
      <c r="I540" s="14" t="s">
        <v>1113</v>
      </c>
      <c r="J540" s="14" t="s">
        <v>60</v>
      </c>
      <c r="K540" s="14" t="s">
        <v>60</v>
      </c>
      <c r="L540" s="14" t="s">
        <v>60</v>
      </c>
      <c r="M540" s="14" t="s">
        <v>1114</v>
      </c>
      <c r="N540" s="14" t="s">
        <v>60</v>
      </c>
      <c r="O540" s="14" t="s">
        <v>60</v>
      </c>
      <c r="P540" s="14" t="s">
        <v>6236</v>
      </c>
      <c r="Q540" s="14" t="s">
        <v>11</v>
      </c>
      <c r="R540" s="3">
        <v>0</v>
      </c>
      <c r="S540" s="3">
        <f t="shared" si="28"/>
        <v>550</v>
      </c>
      <c r="T540" s="3">
        <f t="shared" si="29"/>
        <v>0</v>
      </c>
      <c r="U540" s="3" t="s">
        <v>60</v>
      </c>
      <c r="V540" s="14" t="s">
        <v>6</v>
      </c>
      <c r="W540" s="14" t="s">
        <v>6233</v>
      </c>
      <c r="X540" s="14" t="s">
        <v>60</v>
      </c>
    </row>
    <row r="541" spans="1:24" ht="15" x14ac:dyDescent="0.3">
      <c r="A541" s="3">
        <v>13</v>
      </c>
      <c r="B541" s="3" t="s">
        <v>6237</v>
      </c>
      <c r="C541" s="14" t="s">
        <v>0</v>
      </c>
      <c r="D541" s="14" t="s">
        <v>1116</v>
      </c>
      <c r="E541" s="14" t="s">
        <v>6238</v>
      </c>
      <c r="F541" s="14" t="s">
        <v>1117</v>
      </c>
      <c r="G541" s="14" t="s">
        <v>3</v>
      </c>
      <c r="H541" s="14" t="s">
        <v>6239</v>
      </c>
      <c r="I541" s="14" t="s">
        <v>1118</v>
      </c>
      <c r="J541" s="14" t="s">
        <v>60</v>
      </c>
      <c r="K541" s="14" t="s">
        <v>60</v>
      </c>
      <c r="L541" s="14" t="s">
        <v>60</v>
      </c>
      <c r="M541" s="14" t="s">
        <v>1119</v>
      </c>
      <c r="N541" s="14" t="s">
        <v>60</v>
      </c>
      <c r="O541" s="14" t="s">
        <v>255</v>
      </c>
      <c r="P541" s="14" t="s">
        <v>6240</v>
      </c>
      <c r="Q541" s="14" t="s">
        <v>1120</v>
      </c>
      <c r="R541" s="3">
        <v>0</v>
      </c>
      <c r="S541" s="3">
        <f t="shared" si="28"/>
        <v>550</v>
      </c>
      <c r="T541" s="3">
        <f t="shared" si="29"/>
        <v>0</v>
      </c>
      <c r="U541" s="3" t="s">
        <v>60</v>
      </c>
      <c r="V541" s="14" t="s">
        <v>6241</v>
      </c>
      <c r="W541" s="14" t="s">
        <v>6242</v>
      </c>
      <c r="X541" s="14" t="s">
        <v>60</v>
      </c>
    </row>
    <row r="542" spans="1:24" ht="15" x14ac:dyDescent="0.3">
      <c r="A542" s="3">
        <v>14</v>
      </c>
      <c r="B542" s="3" t="s">
        <v>6243</v>
      </c>
      <c r="C542" s="14" t="s">
        <v>0</v>
      </c>
      <c r="D542" s="14" t="s">
        <v>1121</v>
      </c>
      <c r="E542" s="14" t="s">
        <v>4319</v>
      </c>
      <c r="F542" s="14" t="s">
        <v>1069</v>
      </c>
      <c r="G542" s="14" t="s">
        <v>3</v>
      </c>
      <c r="H542" s="14" t="s">
        <v>6244</v>
      </c>
      <c r="I542" s="14" t="s">
        <v>1122</v>
      </c>
      <c r="J542" s="14" t="s">
        <v>60</v>
      </c>
      <c r="K542" s="14" t="s">
        <v>60</v>
      </c>
      <c r="L542" s="14" t="s">
        <v>60</v>
      </c>
      <c r="M542" s="14" t="s">
        <v>1123</v>
      </c>
      <c r="N542" s="14" t="s">
        <v>60</v>
      </c>
      <c r="O542" s="14" t="s">
        <v>261</v>
      </c>
      <c r="P542" s="14" t="s">
        <v>6245</v>
      </c>
      <c r="Q542" s="14" t="s">
        <v>11</v>
      </c>
      <c r="R542" s="3">
        <v>0</v>
      </c>
      <c r="S542" s="3">
        <f t="shared" si="28"/>
        <v>550</v>
      </c>
      <c r="T542" s="3">
        <f t="shared" si="29"/>
        <v>0</v>
      </c>
      <c r="U542" s="3" t="s">
        <v>60</v>
      </c>
      <c r="V542" s="14" t="s">
        <v>6246</v>
      </c>
      <c r="W542" s="14" t="s">
        <v>4202</v>
      </c>
      <c r="X542" s="14" t="s">
        <v>60</v>
      </c>
    </row>
    <row r="543" spans="1:24" ht="15" x14ac:dyDescent="0.3">
      <c r="A543" s="3">
        <v>15</v>
      </c>
      <c r="B543" s="3" t="s">
        <v>1124</v>
      </c>
      <c r="C543" s="14" t="s">
        <v>0</v>
      </c>
      <c r="D543" s="14" t="s">
        <v>1125</v>
      </c>
      <c r="E543" s="14" t="s">
        <v>1126</v>
      </c>
      <c r="F543" s="14" t="s">
        <v>1127</v>
      </c>
      <c r="G543" s="14" t="s">
        <v>3</v>
      </c>
      <c r="H543" s="14" t="s">
        <v>6247</v>
      </c>
      <c r="I543" s="14" t="s">
        <v>6248</v>
      </c>
      <c r="J543" s="14" t="s">
        <v>60</v>
      </c>
      <c r="K543" s="14" t="s">
        <v>60</v>
      </c>
      <c r="L543" s="14" t="s">
        <v>60</v>
      </c>
      <c r="M543" s="14" t="s">
        <v>60</v>
      </c>
      <c r="N543" s="14" t="s">
        <v>60</v>
      </c>
      <c r="O543" s="14" t="s">
        <v>193</v>
      </c>
      <c r="P543" s="14" t="s">
        <v>6249</v>
      </c>
      <c r="Q543" s="14" t="s">
        <v>1128</v>
      </c>
      <c r="R543" s="3">
        <v>0</v>
      </c>
      <c r="S543" s="3">
        <f t="shared" si="28"/>
        <v>550</v>
      </c>
      <c r="T543" s="3">
        <f t="shared" si="29"/>
        <v>0</v>
      </c>
      <c r="U543" s="3" t="s">
        <v>60</v>
      </c>
      <c r="V543" s="14" t="s">
        <v>6</v>
      </c>
      <c r="W543" s="14" t="s">
        <v>4287</v>
      </c>
      <c r="X543" s="14" t="s">
        <v>60</v>
      </c>
    </row>
    <row r="544" spans="1:24" ht="15" x14ac:dyDescent="0.3">
      <c r="A544" s="3">
        <v>16</v>
      </c>
      <c r="B544" s="3" t="s">
        <v>6250</v>
      </c>
      <c r="C544" s="14" t="s">
        <v>0</v>
      </c>
      <c r="D544" s="14" t="s">
        <v>1129</v>
      </c>
      <c r="E544" s="14" t="s">
        <v>5839</v>
      </c>
      <c r="F544" s="14" t="s">
        <v>1130</v>
      </c>
      <c r="G544" s="14" t="s">
        <v>3</v>
      </c>
      <c r="H544" s="14" t="s">
        <v>6251</v>
      </c>
      <c r="I544" s="14" t="s">
        <v>6252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193</v>
      </c>
      <c r="P544" s="14" t="s">
        <v>6253</v>
      </c>
      <c r="Q544" s="14" t="s">
        <v>1131</v>
      </c>
      <c r="R544" s="3">
        <v>0</v>
      </c>
      <c r="S544" s="3">
        <f t="shared" si="28"/>
        <v>550</v>
      </c>
      <c r="T544" s="3">
        <f t="shared" si="29"/>
        <v>0</v>
      </c>
      <c r="U544" s="3" t="s">
        <v>60</v>
      </c>
      <c r="V544" s="14" t="s">
        <v>6</v>
      </c>
      <c r="W544" s="14" t="s">
        <v>4287</v>
      </c>
      <c r="X544" s="14" t="s">
        <v>60</v>
      </c>
    </row>
    <row r="545" spans="1:24" ht="15" x14ac:dyDescent="0.3">
      <c r="A545" s="3">
        <v>17</v>
      </c>
      <c r="B545" s="3" t="s">
        <v>6254</v>
      </c>
      <c r="C545" s="14" t="s">
        <v>0</v>
      </c>
      <c r="D545" s="14" t="s">
        <v>1132</v>
      </c>
      <c r="E545" s="14" t="s">
        <v>6255</v>
      </c>
      <c r="F545" s="14" t="s">
        <v>1133</v>
      </c>
      <c r="G545" s="14" t="s">
        <v>3</v>
      </c>
      <c r="H545" s="14" t="s">
        <v>6256</v>
      </c>
      <c r="I545" s="14" t="s">
        <v>1134</v>
      </c>
      <c r="J545" s="14" t="s">
        <v>60</v>
      </c>
      <c r="K545" s="14" t="s">
        <v>60</v>
      </c>
      <c r="L545" s="14" t="s">
        <v>60</v>
      </c>
      <c r="M545" s="14" t="s">
        <v>60</v>
      </c>
      <c r="N545" s="14" t="s">
        <v>60</v>
      </c>
      <c r="O545" s="14" t="s">
        <v>1135</v>
      </c>
      <c r="P545" s="14" t="s">
        <v>6257</v>
      </c>
      <c r="Q545" s="14" t="s">
        <v>1131</v>
      </c>
      <c r="R545" s="3">
        <v>0</v>
      </c>
      <c r="S545" s="3">
        <f t="shared" si="28"/>
        <v>550</v>
      </c>
      <c r="T545" s="3">
        <f t="shared" si="29"/>
        <v>0</v>
      </c>
      <c r="U545" s="3" t="s">
        <v>60</v>
      </c>
      <c r="V545" s="14" t="s">
        <v>6</v>
      </c>
      <c r="W545" s="14" t="s">
        <v>6258</v>
      </c>
      <c r="X545" s="14" t="s">
        <v>60</v>
      </c>
    </row>
    <row r="546" spans="1:24" ht="15" x14ac:dyDescent="0.3">
      <c r="A546" s="3">
        <v>18</v>
      </c>
      <c r="B546" s="3" t="s">
        <v>6259</v>
      </c>
      <c r="C546" s="14" t="s">
        <v>0</v>
      </c>
      <c r="D546" s="14" t="s">
        <v>1136</v>
      </c>
      <c r="E546" s="14" t="s">
        <v>6260</v>
      </c>
      <c r="F546" s="14" t="s">
        <v>1137</v>
      </c>
      <c r="G546" s="14" t="s">
        <v>3</v>
      </c>
      <c r="H546" s="14" t="s">
        <v>6261</v>
      </c>
      <c r="I546" s="14" t="s">
        <v>1138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1135</v>
      </c>
      <c r="P546" s="14" t="s">
        <v>6262</v>
      </c>
      <c r="Q546" s="14" t="s">
        <v>1131</v>
      </c>
      <c r="R546" s="3">
        <v>0</v>
      </c>
      <c r="S546" s="3">
        <f t="shared" si="28"/>
        <v>550</v>
      </c>
      <c r="T546" s="3">
        <f t="shared" si="29"/>
        <v>0</v>
      </c>
      <c r="U546" s="3" t="s">
        <v>60</v>
      </c>
      <c r="V546" s="14" t="s">
        <v>6</v>
      </c>
      <c r="W546" s="14" t="s">
        <v>6258</v>
      </c>
      <c r="X546" s="14" t="s">
        <v>60</v>
      </c>
    </row>
    <row r="547" spans="1:24" ht="15" x14ac:dyDescent="0.3">
      <c r="A547" s="3">
        <v>19</v>
      </c>
      <c r="B547" s="3" t="s">
        <v>6263</v>
      </c>
      <c r="C547" s="14" t="s">
        <v>0</v>
      </c>
      <c r="D547" s="14" t="s">
        <v>1139</v>
      </c>
      <c r="E547" s="14" t="s">
        <v>4778</v>
      </c>
      <c r="F547" s="14" t="s">
        <v>1140</v>
      </c>
      <c r="G547" s="14" t="s">
        <v>3</v>
      </c>
      <c r="H547" s="14" t="s">
        <v>1141</v>
      </c>
      <c r="I547" s="14" t="s">
        <v>1142</v>
      </c>
      <c r="J547" s="14" t="s">
        <v>60</v>
      </c>
      <c r="K547" s="14" t="s">
        <v>60</v>
      </c>
      <c r="L547" s="14" t="s">
        <v>60</v>
      </c>
      <c r="M547" s="14" t="s">
        <v>60</v>
      </c>
      <c r="N547" s="14" t="s">
        <v>60</v>
      </c>
      <c r="O547" s="14" t="s">
        <v>1143</v>
      </c>
      <c r="P547" s="14" t="s">
        <v>6264</v>
      </c>
      <c r="Q547" s="14" t="s">
        <v>1131</v>
      </c>
      <c r="R547" s="3">
        <v>0</v>
      </c>
      <c r="S547" s="3">
        <f t="shared" si="28"/>
        <v>550</v>
      </c>
      <c r="T547" s="3">
        <f t="shared" si="29"/>
        <v>0</v>
      </c>
      <c r="U547" s="3" t="s">
        <v>60</v>
      </c>
      <c r="V547" s="14" t="s">
        <v>6</v>
      </c>
      <c r="W547" s="14" t="s">
        <v>6265</v>
      </c>
      <c r="X547" s="14" t="s">
        <v>60</v>
      </c>
    </row>
    <row r="548" spans="1:24" ht="15" x14ac:dyDescent="0.3">
      <c r="A548" s="3">
        <v>20</v>
      </c>
      <c r="B548" s="3" t="s">
        <v>6266</v>
      </c>
      <c r="C548" s="14" t="s">
        <v>0</v>
      </c>
      <c r="D548" s="14" t="s">
        <v>1144</v>
      </c>
      <c r="E548" s="14" t="s">
        <v>6267</v>
      </c>
      <c r="F548" s="14" t="s">
        <v>1145</v>
      </c>
      <c r="G548" s="14" t="s">
        <v>3</v>
      </c>
      <c r="H548" s="14" t="s">
        <v>6268</v>
      </c>
      <c r="I548" s="14" t="s">
        <v>1146</v>
      </c>
      <c r="J548" s="14" t="s">
        <v>60</v>
      </c>
      <c r="K548" s="14" t="s">
        <v>60</v>
      </c>
      <c r="L548" s="14" t="s">
        <v>60</v>
      </c>
      <c r="M548" s="14" t="s">
        <v>1147</v>
      </c>
      <c r="N548" s="14" t="s">
        <v>60</v>
      </c>
      <c r="O548" s="14" t="s">
        <v>485</v>
      </c>
      <c r="P548" s="14" t="s">
        <v>6269</v>
      </c>
      <c r="Q548" s="14" t="s">
        <v>11</v>
      </c>
      <c r="R548" s="3">
        <v>0</v>
      </c>
      <c r="S548" s="3">
        <f t="shared" si="28"/>
        <v>550</v>
      </c>
      <c r="T548" s="3">
        <f t="shared" si="29"/>
        <v>0</v>
      </c>
      <c r="U548" s="3" t="s">
        <v>6270</v>
      </c>
      <c r="V548" s="14" t="s">
        <v>6</v>
      </c>
      <c r="W548" s="14" t="s">
        <v>6271</v>
      </c>
      <c r="X548" s="14" t="s">
        <v>60</v>
      </c>
    </row>
    <row r="549" spans="1:24" ht="15" x14ac:dyDescent="0.3">
      <c r="A549" s="3">
        <v>21</v>
      </c>
      <c r="B549" s="3" t="s">
        <v>6272</v>
      </c>
      <c r="C549" s="14" t="s">
        <v>0</v>
      </c>
      <c r="D549" s="14" t="s">
        <v>1148</v>
      </c>
      <c r="E549" s="14" t="s">
        <v>6273</v>
      </c>
      <c r="F549" s="14" t="s">
        <v>1149</v>
      </c>
      <c r="G549" s="14" t="s">
        <v>3</v>
      </c>
      <c r="H549" s="14" t="s">
        <v>6274</v>
      </c>
      <c r="I549" s="14" t="s">
        <v>1150</v>
      </c>
      <c r="J549" s="14" t="s">
        <v>60</v>
      </c>
      <c r="K549" s="14" t="s">
        <v>60</v>
      </c>
      <c r="L549" s="14" t="s">
        <v>60</v>
      </c>
      <c r="M549" s="14" t="s">
        <v>1151</v>
      </c>
      <c r="N549" s="14" t="s">
        <v>60</v>
      </c>
      <c r="O549" s="14" t="s">
        <v>485</v>
      </c>
      <c r="P549" s="14" t="s">
        <v>6275</v>
      </c>
      <c r="Q549" s="14" t="s">
        <v>11</v>
      </c>
      <c r="R549" s="3">
        <v>0</v>
      </c>
      <c r="S549" s="3">
        <f t="shared" si="28"/>
        <v>550</v>
      </c>
      <c r="T549" s="3">
        <f t="shared" si="29"/>
        <v>0</v>
      </c>
      <c r="U549" s="3" t="s">
        <v>60</v>
      </c>
      <c r="V549" s="14" t="s">
        <v>6</v>
      </c>
      <c r="W549" s="14" t="s">
        <v>6271</v>
      </c>
      <c r="X549" s="14" t="s">
        <v>60</v>
      </c>
    </row>
    <row r="550" spans="1:24" ht="15" x14ac:dyDescent="0.3">
      <c r="A550" s="3">
        <v>22</v>
      </c>
      <c r="B550" s="3" t="s">
        <v>6276</v>
      </c>
      <c r="C550" s="14" t="s">
        <v>0</v>
      </c>
      <c r="D550" s="14" t="s">
        <v>1155</v>
      </c>
      <c r="E550" s="14" t="s">
        <v>4419</v>
      </c>
      <c r="F550" s="14" t="s">
        <v>1156</v>
      </c>
      <c r="G550" s="14" t="s">
        <v>3</v>
      </c>
      <c r="H550" s="14" t="s">
        <v>6277</v>
      </c>
      <c r="I550" s="14" t="s">
        <v>1157</v>
      </c>
      <c r="J550" s="14" t="s">
        <v>6278</v>
      </c>
      <c r="K550" s="14" t="s">
        <v>60</v>
      </c>
      <c r="L550" s="14" t="s">
        <v>60</v>
      </c>
      <c r="M550" s="14" t="s">
        <v>1158</v>
      </c>
      <c r="N550" s="14" t="s">
        <v>60</v>
      </c>
      <c r="O550" s="14" t="s">
        <v>193</v>
      </c>
      <c r="P550" s="14" t="s">
        <v>6279</v>
      </c>
      <c r="Q550" s="14" t="s">
        <v>11</v>
      </c>
      <c r="R550" s="3">
        <v>0</v>
      </c>
      <c r="S550" s="3">
        <f t="shared" si="28"/>
        <v>550</v>
      </c>
      <c r="T550" s="3">
        <f t="shared" si="29"/>
        <v>0</v>
      </c>
      <c r="U550" s="3" t="s">
        <v>60</v>
      </c>
      <c r="V550" s="14" t="s">
        <v>6</v>
      </c>
      <c r="W550" s="14" t="s">
        <v>4287</v>
      </c>
      <c r="X550" s="14" t="s">
        <v>60</v>
      </c>
    </row>
    <row r="551" spans="1:24" ht="15" x14ac:dyDescent="0.3">
      <c r="A551" s="3">
        <v>23</v>
      </c>
      <c r="B551" s="3" t="s">
        <v>6280</v>
      </c>
      <c r="C551" s="14" t="s">
        <v>0</v>
      </c>
      <c r="D551" s="14" t="s">
        <v>1159</v>
      </c>
      <c r="E551" s="14" t="s">
        <v>6281</v>
      </c>
      <c r="F551" s="14" t="s">
        <v>1160</v>
      </c>
      <c r="G551" s="14" t="s">
        <v>3</v>
      </c>
      <c r="H551" s="14" t="s">
        <v>6282</v>
      </c>
      <c r="I551" s="14" t="s">
        <v>1161</v>
      </c>
      <c r="J551" s="14" t="s">
        <v>6278</v>
      </c>
      <c r="K551" s="14" t="s">
        <v>60</v>
      </c>
      <c r="L551" s="14" t="s">
        <v>60</v>
      </c>
      <c r="M551" s="14" t="s">
        <v>1162</v>
      </c>
      <c r="N551" s="14" t="s">
        <v>60</v>
      </c>
      <c r="O551" s="14" t="s">
        <v>193</v>
      </c>
      <c r="P551" s="14" t="s">
        <v>6283</v>
      </c>
      <c r="Q551" s="14" t="s">
        <v>1153</v>
      </c>
      <c r="R551" s="3">
        <v>0</v>
      </c>
      <c r="S551" s="3">
        <f t="shared" si="28"/>
        <v>550</v>
      </c>
      <c r="T551" s="3">
        <f t="shared" si="29"/>
        <v>0</v>
      </c>
      <c r="U551" s="3" t="s">
        <v>60</v>
      </c>
      <c r="V551" s="14" t="s">
        <v>6</v>
      </c>
      <c r="W551" s="14" t="s">
        <v>4287</v>
      </c>
      <c r="X551" s="14" t="s">
        <v>60</v>
      </c>
    </row>
    <row r="552" spans="1:24" ht="15" x14ac:dyDescent="0.3">
      <c r="A552" s="3">
        <v>24</v>
      </c>
      <c r="B552" s="3" t="s">
        <v>6284</v>
      </c>
      <c r="C552" s="14" t="s">
        <v>0</v>
      </c>
      <c r="D552" s="14" t="s">
        <v>1163</v>
      </c>
      <c r="E552" s="14" t="s">
        <v>6285</v>
      </c>
      <c r="F552" s="14" t="s">
        <v>1164</v>
      </c>
      <c r="G552" s="14" t="s">
        <v>3</v>
      </c>
      <c r="H552" s="14" t="s">
        <v>6286</v>
      </c>
      <c r="I552" s="14" t="s">
        <v>1165</v>
      </c>
      <c r="J552" s="14" t="s">
        <v>60</v>
      </c>
      <c r="K552" s="14" t="s">
        <v>60</v>
      </c>
      <c r="L552" s="14" t="s">
        <v>60</v>
      </c>
      <c r="M552" s="14" t="s">
        <v>60</v>
      </c>
      <c r="N552" s="14" t="s">
        <v>60</v>
      </c>
      <c r="O552" s="14" t="s">
        <v>6287</v>
      </c>
      <c r="P552" s="14" t="s">
        <v>6288</v>
      </c>
      <c r="Q552" s="14" t="s">
        <v>1166</v>
      </c>
      <c r="R552" s="3">
        <v>0</v>
      </c>
      <c r="S552" s="3">
        <f t="shared" si="28"/>
        <v>550</v>
      </c>
      <c r="T552" s="3">
        <f t="shared" si="29"/>
        <v>0</v>
      </c>
      <c r="U552" s="3" t="s">
        <v>60</v>
      </c>
      <c r="V552" s="14" t="s">
        <v>6</v>
      </c>
      <c r="W552" s="14" t="s">
        <v>4287</v>
      </c>
      <c r="X552" s="14" t="s">
        <v>60</v>
      </c>
    </row>
    <row r="553" spans="1:24" ht="15" x14ac:dyDescent="0.3">
      <c r="A553" s="3">
        <v>25</v>
      </c>
      <c r="B553" s="3" t="s">
        <v>6289</v>
      </c>
      <c r="C553" s="14" t="s">
        <v>0</v>
      </c>
      <c r="D553" s="14" t="s">
        <v>1167</v>
      </c>
      <c r="E553" s="14" t="s">
        <v>5594</v>
      </c>
      <c r="F553" s="14" t="s">
        <v>1168</v>
      </c>
      <c r="G553" s="14" t="s">
        <v>3</v>
      </c>
      <c r="H553" s="14" t="s">
        <v>6290</v>
      </c>
      <c r="I553" s="14" t="s">
        <v>1169</v>
      </c>
      <c r="J553" s="14" t="s">
        <v>228</v>
      </c>
      <c r="K553" s="14" t="s">
        <v>60</v>
      </c>
      <c r="L553" s="14" t="s">
        <v>60</v>
      </c>
      <c r="M553" s="14" t="s">
        <v>1170</v>
      </c>
      <c r="N553" s="14" t="s">
        <v>60</v>
      </c>
      <c r="O553" s="14" t="s">
        <v>193</v>
      </c>
      <c r="P553" s="14" t="s">
        <v>6291</v>
      </c>
      <c r="Q553" s="14" t="s">
        <v>11</v>
      </c>
      <c r="R553" s="3">
        <v>0</v>
      </c>
      <c r="S553" s="3">
        <f t="shared" si="28"/>
        <v>550</v>
      </c>
      <c r="T553" s="3">
        <f t="shared" si="29"/>
        <v>0</v>
      </c>
      <c r="U553" s="3" t="s">
        <v>60</v>
      </c>
      <c r="V553" s="14" t="s">
        <v>6</v>
      </c>
      <c r="W553" s="14" t="s">
        <v>4287</v>
      </c>
      <c r="X553" s="14" t="s">
        <v>60</v>
      </c>
    </row>
    <row r="554" spans="1:24" ht="15" x14ac:dyDescent="0.3">
      <c r="A554" s="3">
        <v>26</v>
      </c>
      <c r="B554" s="3" t="s">
        <v>6292</v>
      </c>
      <c r="C554" s="14" t="s">
        <v>0</v>
      </c>
      <c r="D554" s="14" t="s">
        <v>1171</v>
      </c>
      <c r="E554" s="14" t="s">
        <v>6293</v>
      </c>
      <c r="F554" s="14" t="s">
        <v>1172</v>
      </c>
      <c r="G554" s="14" t="s">
        <v>3</v>
      </c>
      <c r="H554" s="14" t="s">
        <v>6294</v>
      </c>
      <c r="I554" s="14" t="s">
        <v>1173</v>
      </c>
      <c r="J554" s="14" t="s">
        <v>60</v>
      </c>
      <c r="K554" s="14" t="s">
        <v>60</v>
      </c>
      <c r="L554" s="14" t="s">
        <v>60</v>
      </c>
      <c r="M554" s="14" t="s">
        <v>1174</v>
      </c>
      <c r="N554" s="14" t="s">
        <v>60</v>
      </c>
      <c r="O554" s="14" t="s">
        <v>193</v>
      </c>
      <c r="P554" s="14" t="s">
        <v>6295</v>
      </c>
      <c r="Q554" s="14" t="s">
        <v>1175</v>
      </c>
      <c r="R554" s="3">
        <v>0</v>
      </c>
      <c r="S554" s="3">
        <f t="shared" si="28"/>
        <v>550</v>
      </c>
      <c r="T554" s="3">
        <f t="shared" si="29"/>
        <v>0</v>
      </c>
      <c r="U554" s="3" t="s">
        <v>60</v>
      </c>
      <c r="V554" s="14" t="s">
        <v>6</v>
      </c>
      <c r="W554" s="14" t="s">
        <v>4287</v>
      </c>
      <c r="X554" s="14" t="s">
        <v>60</v>
      </c>
    </row>
    <row r="555" spans="1:24" ht="15" x14ac:dyDescent="0.3">
      <c r="A555" s="3">
        <v>27</v>
      </c>
      <c r="B555" s="3" t="s">
        <v>6296</v>
      </c>
      <c r="C555" s="14" t="s">
        <v>0</v>
      </c>
      <c r="D555" s="14" t="s">
        <v>1176</v>
      </c>
      <c r="E555" s="14" t="s">
        <v>6297</v>
      </c>
      <c r="F555" s="14" t="s">
        <v>1177</v>
      </c>
      <c r="G555" s="14" t="s">
        <v>3</v>
      </c>
      <c r="H555" s="14" t="s">
        <v>6298</v>
      </c>
      <c r="I555" s="14" t="s">
        <v>1178</v>
      </c>
      <c r="J555" s="14" t="s">
        <v>60</v>
      </c>
      <c r="K555" s="14" t="s">
        <v>1152</v>
      </c>
      <c r="L555" s="14" t="s">
        <v>60</v>
      </c>
      <c r="M555" s="14" t="s">
        <v>1179</v>
      </c>
      <c r="N555" s="14" t="s">
        <v>60</v>
      </c>
      <c r="O555" s="14" t="s">
        <v>193</v>
      </c>
      <c r="P555" s="14" t="s">
        <v>6299</v>
      </c>
      <c r="Q555" s="14" t="s">
        <v>1153</v>
      </c>
      <c r="R555" s="3">
        <v>0</v>
      </c>
      <c r="S555" s="3">
        <f t="shared" si="28"/>
        <v>550</v>
      </c>
      <c r="T555" s="3">
        <f t="shared" si="29"/>
        <v>0</v>
      </c>
      <c r="U555" s="3" t="s">
        <v>60</v>
      </c>
      <c r="V555" s="14" t="s">
        <v>6</v>
      </c>
      <c r="W555" s="14" t="s">
        <v>4287</v>
      </c>
      <c r="X555" s="14" t="s">
        <v>60</v>
      </c>
    </row>
    <row r="556" spans="1:24" ht="15" x14ac:dyDescent="0.3">
      <c r="A556" s="3">
        <v>28</v>
      </c>
      <c r="B556" s="3" t="s">
        <v>6300</v>
      </c>
      <c r="C556" s="14" t="s">
        <v>69</v>
      </c>
      <c r="D556" s="14" t="s">
        <v>1180</v>
      </c>
      <c r="E556" s="14" t="s">
        <v>4707</v>
      </c>
      <c r="F556" s="14" t="s">
        <v>1181</v>
      </c>
      <c r="G556" s="14" t="s">
        <v>3</v>
      </c>
      <c r="H556" s="14" t="s">
        <v>6301</v>
      </c>
      <c r="I556" s="14" t="s">
        <v>1182</v>
      </c>
      <c r="J556" s="14" t="s">
        <v>1183</v>
      </c>
      <c r="K556" s="14" t="s">
        <v>60</v>
      </c>
      <c r="L556" s="14" t="s">
        <v>60</v>
      </c>
      <c r="M556" s="14" t="s">
        <v>1184</v>
      </c>
      <c r="N556" s="14" t="s">
        <v>60</v>
      </c>
      <c r="O556" s="14" t="s">
        <v>193</v>
      </c>
      <c r="P556" s="14" t="s">
        <v>6302</v>
      </c>
      <c r="Q556" s="14" t="s">
        <v>1153</v>
      </c>
      <c r="R556" s="3">
        <v>0</v>
      </c>
      <c r="S556" s="3">
        <f t="shared" si="28"/>
        <v>570</v>
      </c>
      <c r="T556" s="3">
        <f t="shared" si="29"/>
        <v>0</v>
      </c>
      <c r="U556" s="3" t="s">
        <v>60</v>
      </c>
      <c r="V556" s="14" t="s">
        <v>6</v>
      </c>
      <c r="W556" s="14" t="s">
        <v>4287</v>
      </c>
      <c r="X556" s="14" t="s">
        <v>60</v>
      </c>
    </row>
    <row r="557" spans="1:24" ht="15" x14ac:dyDescent="0.3">
      <c r="A557" s="3">
        <v>29</v>
      </c>
      <c r="B557" s="3" t="s">
        <v>6303</v>
      </c>
      <c r="C557" s="14" t="s">
        <v>0</v>
      </c>
      <c r="D557" s="14" t="s">
        <v>1185</v>
      </c>
      <c r="E557" s="14" t="s">
        <v>6304</v>
      </c>
      <c r="F557" s="14" t="s">
        <v>1186</v>
      </c>
      <c r="G557" s="14" t="s">
        <v>3</v>
      </c>
      <c r="H557" s="14" t="s">
        <v>6305</v>
      </c>
      <c r="I557" s="14" t="s">
        <v>6306</v>
      </c>
      <c r="J557" s="14" t="s">
        <v>60</v>
      </c>
      <c r="K557" s="14" t="s">
        <v>60</v>
      </c>
      <c r="L557" s="14" t="s">
        <v>60</v>
      </c>
      <c r="M557" s="14" t="s">
        <v>60</v>
      </c>
      <c r="N557" s="14" t="s">
        <v>60</v>
      </c>
      <c r="O557" s="14" t="s">
        <v>184</v>
      </c>
      <c r="P557" s="14" t="s">
        <v>6307</v>
      </c>
      <c r="Q557" s="14" t="s">
        <v>1153</v>
      </c>
      <c r="R557" s="3">
        <v>0</v>
      </c>
      <c r="S557" s="3">
        <f t="shared" si="28"/>
        <v>550</v>
      </c>
      <c r="T557" s="3">
        <f t="shared" si="29"/>
        <v>0</v>
      </c>
      <c r="U557" s="3" t="s">
        <v>60</v>
      </c>
      <c r="V557" s="14" t="s">
        <v>6</v>
      </c>
      <c r="W557" s="14" t="s">
        <v>4287</v>
      </c>
      <c r="X557" s="14" t="s">
        <v>60</v>
      </c>
    </row>
    <row r="558" spans="1:24" ht="15" x14ac:dyDescent="0.3">
      <c r="A558" s="3">
        <v>30</v>
      </c>
      <c r="B558" s="3" t="s">
        <v>1187</v>
      </c>
      <c r="C558" s="14" t="s">
        <v>0</v>
      </c>
      <c r="D558" s="14" t="s">
        <v>1188</v>
      </c>
      <c r="E558" s="14" t="s">
        <v>6308</v>
      </c>
      <c r="F558" s="14" t="s">
        <v>1189</v>
      </c>
      <c r="G558" s="14" t="s">
        <v>3</v>
      </c>
      <c r="H558" s="14" t="s">
        <v>6309</v>
      </c>
      <c r="I558" s="14" t="s">
        <v>1190</v>
      </c>
      <c r="J558" s="14" t="s">
        <v>1183</v>
      </c>
      <c r="K558" s="14" t="s">
        <v>60</v>
      </c>
      <c r="L558" s="14" t="s">
        <v>60</v>
      </c>
      <c r="M558" s="14" t="s">
        <v>1191</v>
      </c>
      <c r="N558" s="14" t="s">
        <v>60</v>
      </c>
      <c r="O558" s="14" t="s">
        <v>193</v>
      </c>
      <c r="P558" s="14" t="s">
        <v>6310</v>
      </c>
      <c r="Q558" s="14" t="s">
        <v>11</v>
      </c>
      <c r="R558" s="3">
        <v>0</v>
      </c>
      <c r="S558" s="3">
        <f t="shared" si="28"/>
        <v>550</v>
      </c>
      <c r="T558" s="3">
        <f t="shared" si="29"/>
        <v>0</v>
      </c>
      <c r="U558" s="3" t="s">
        <v>60</v>
      </c>
      <c r="V558" s="14" t="s">
        <v>6</v>
      </c>
      <c r="W558" s="14" t="s">
        <v>4287</v>
      </c>
      <c r="X558" s="14" t="s">
        <v>60</v>
      </c>
    </row>
    <row r="559" spans="1:24" ht="15" x14ac:dyDescent="0.3">
      <c r="A559" s="3">
        <v>31</v>
      </c>
      <c r="B559" s="3" t="s">
        <v>6311</v>
      </c>
      <c r="C559" s="14" t="s">
        <v>0</v>
      </c>
      <c r="D559" s="14" t="s">
        <v>1192</v>
      </c>
      <c r="E559" s="14" t="s">
        <v>6312</v>
      </c>
      <c r="F559" s="14" t="s">
        <v>1193</v>
      </c>
      <c r="G559" s="14" t="s">
        <v>3</v>
      </c>
      <c r="H559" s="14" t="s">
        <v>6313</v>
      </c>
      <c r="I559" s="14" t="s">
        <v>1098</v>
      </c>
      <c r="J559" s="14" t="s">
        <v>60</v>
      </c>
      <c r="K559" s="14" t="s">
        <v>60</v>
      </c>
      <c r="L559" s="14" t="s">
        <v>60</v>
      </c>
      <c r="M559" s="14" t="s">
        <v>1194</v>
      </c>
      <c r="N559" s="14" t="s">
        <v>60</v>
      </c>
      <c r="O559" s="14" t="s">
        <v>193</v>
      </c>
      <c r="P559" s="14" t="s">
        <v>6314</v>
      </c>
      <c r="Q559" s="14" t="s">
        <v>11</v>
      </c>
      <c r="R559" s="3">
        <v>0</v>
      </c>
      <c r="S559" s="3">
        <f t="shared" si="28"/>
        <v>550</v>
      </c>
      <c r="T559" s="3">
        <f t="shared" si="29"/>
        <v>0</v>
      </c>
      <c r="U559" s="3" t="s">
        <v>60</v>
      </c>
      <c r="V559" s="14" t="s">
        <v>6</v>
      </c>
      <c r="W559" s="14" t="s">
        <v>4287</v>
      </c>
      <c r="X559" s="14" t="s">
        <v>60</v>
      </c>
    </row>
    <row r="560" spans="1:24" ht="15" x14ac:dyDescent="0.3">
      <c r="A560" s="3">
        <v>32</v>
      </c>
      <c r="B560" s="3" t="s">
        <v>6315</v>
      </c>
      <c r="C560" s="14" t="s">
        <v>0</v>
      </c>
      <c r="D560" s="14" t="s">
        <v>1195</v>
      </c>
      <c r="E560" s="14" t="s">
        <v>4815</v>
      </c>
      <c r="F560" s="14" t="s">
        <v>1196</v>
      </c>
      <c r="G560" s="14" t="s">
        <v>3</v>
      </c>
      <c r="H560" s="14" t="s">
        <v>6316</v>
      </c>
      <c r="I560" s="14" t="s">
        <v>1197</v>
      </c>
      <c r="J560" s="14" t="s">
        <v>60</v>
      </c>
      <c r="K560" s="14" t="s">
        <v>60</v>
      </c>
      <c r="L560" s="14" t="s">
        <v>60</v>
      </c>
      <c r="M560" s="14" t="s">
        <v>1198</v>
      </c>
      <c r="N560" s="14" t="s">
        <v>60</v>
      </c>
      <c r="O560" s="14" t="s">
        <v>487</v>
      </c>
      <c r="P560" s="14" t="s">
        <v>6317</v>
      </c>
      <c r="Q560" s="14" t="s">
        <v>1199</v>
      </c>
      <c r="R560" s="3">
        <v>0</v>
      </c>
      <c r="S560" s="3">
        <f t="shared" si="28"/>
        <v>550</v>
      </c>
      <c r="T560" s="3">
        <f t="shared" si="29"/>
        <v>0</v>
      </c>
      <c r="U560" s="3" t="s">
        <v>60</v>
      </c>
      <c r="V560" s="14" t="s">
        <v>6</v>
      </c>
      <c r="W560" s="14" t="s">
        <v>6318</v>
      </c>
      <c r="X560" s="14" t="s">
        <v>60</v>
      </c>
    </row>
    <row r="561" spans="1:24" ht="15" x14ac:dyDescent="0.3">
      <c r="A561" s="3">
        <v>33</v>
      </c>
      <c r="B561" s="3" t="s">
        <v>6319</v>
      </c>
      <c r="C561" s="14" t="s">
        <v>0</v>
      </c>
      <c r="D561" s="14" t="s">
        <v>1200</v>
      </c>
      <c r="E561" s="14" t="s">
        <v>4293</v>
      </c>
      <c r="F561" s="14" t="s">
        <v>1201</v>
      </c>
      <c r="G561" s="14" t="s">
        <v>3</v>
      </c>
      <c r="H561" s="14" t="s">
        <v>6320</v>
      </c>
      <c r="I561" s="14" t="s">
        <v>1202</v>
      </c>
      <c r="J561" s="14" t="s">
        <v>60</v>
      </c>
      <c r="K561" s="14" t="s">
        <v>60</v>
      </c>
      <c r="L561" s="14" t="s">
        <v>60</v>
      </c>
      <c r="M561" s="14" t="s">
        <v>60</v>
      </c>
      <c r="N561" s="14" t="s">
        <v>60</v>
      </c>
      <c r="O561" s="14" t="s">
        <v>60</v>
      </c>
      <c r="P561" s="14" t="s">
        <v>6321</v>
      </c>
      <c r="Q561" s="14" t="s">
        <v>11</v>
      </c>
      <c r="R561" s="3">
        <v>0</v>
      </c>
      <c r="S561" s="3">
        <f t="shared" si="28"/>
        <v>550</v>
      </c>
      <c r="T561" s="3">
        <f t="shared" si="29"/>
        <v>0</v>
      </c>
      <c r="U561" s="3" t="s">
        <v>60</v>
      </c>
      <c r="V561" s="14" t="s">
        <v>6</v>
      </c>
      <c r="W561" s="14" t="s">
        <v>4731</v>
      </c>
      <c r="X561" s="14" t="s">
        <v>60</v>
      </c>
    </row>
    <row r="562" spans="1:24" ht="15" x14ac:dyDescent="0.3">
      <c r="A562" s="3">
        <v>34</v>
      </c>
      <c r="B562" s="3" t="s">
        <v>6322</v>
      </c>
      <c r="C562" s="14" t="s">
        <v>26</v>
      </c>
      <c r="D562" s="14" t="s">
        <v>1203</v>
      </c>
      <c r="E562" s="14" t="s">
        <v>6323</v>
      </c>
      <c r="F562" s="14" t="s">
        <v>1204</v>
      </c>
      <c r="G562" s="14" t="s">
        <v>3</v>
      </c>
      <c r="H562" s="14" t="s">
        <v>6324</v>
      </c>
      <c r="I562" s="14" t="s">
        <v>1205</v>
      </c>
      <c r="J562" s="14" t="s">
        <v>60</v>
      </c>
      <c r="K562" s="14" t="s">
        <v>60</v>
      </c>
      <c r="L562" s="14" t="s">
        <v>60</v>
      </c>
      <c r="M562" s="14" t="s">
        <v>60</v>
      </c>
      <c r="N562" s="14" t="s">
        <v>60</v>
      </c>
      <c r="O562" s="14" t="s">
        <v>60</v>
      </c>
      <c r="P562" s="14" t="s">
        <v>6325</v>
      </c>
      <c r="Q562" s="14" t="s">
        <v>1206</v>
      </c>
      <c r="R562" s="3">
        <v>0</v>
      </c>
      <c r="S562" s="3">
        <f t="shared" si="28"/>
        <v>770</v>
      </c>
      <c r="T562" s="3">
        <f t="shared" si="29"/>
        <v>0</v>
      </c>
      <c r="U562" s="3" t="s">
        <v>60</v>
      </c>
      <c r="V562" s="14" t="s">
        <v>6</v>
      </c>
      <c r="W562" s="14" t="s">
        <v>6326</v>
      </c>
      <c r="X562" s="14" t="s">
        <v>60</v>
      </c>
    </row>
    <row r="563" spans="1:24" ht="15" x14ac:dyDescent="0.3">
      <c r="A563" s="3">
        <v>35</v>
      </c>
      <c r="B563" s="3" t="s">
        <v>6327</v>
      </c>
      <c r="C563" s="14" t="s">
        <v>0</v>
      </c>
      <c r="D563" s="14" t="s">
        <v>1207</v>
      </c>
      <c r="E563" s="14" t="s">
        <v>6050</v>
      </c>
      <c r="F563" s="14" t="s">
        <v>1104</v>
      </c>
      <c r="G563" s="14" t="s">
        <v>121</v>
      </c>
      <c r="H563" s="14" t="s">
        <v>6328</v>
      </c>
      <c r="I563" s="14" t="s">
        <v>1208</v>
      </c>
      <c r="J563" s="14" t="s">
        <v>60</v>
      </c>
      <c r="K563" s="14" t="s">
        <v>60</v>
      </c>
      <c r="L563" s="14" t="s">
        <v>60</v>
      </c>
      <c r="M563" s="14" t="s">
        <v>60</v>
      </c>
      <c r="N563" s="14" t="s">
        <v>60</v>
      </c>
      <c r="O563" s="14" t="s">
        <v>1209</v>
      </c>
      <c r="P563" s="14" t="s">
        <v>6329</v>
      </c>
      <c r="Q563" s="14" t="s">
        <v>11</v>
      </c>
      <c r="R563" s="3">
        <v>0</v>
      </c>
      <c r="S563" s="3">
        <f t="shared" si="28"/>
        <v>550</v>
      </c>
      <c r="T563" s="3">
        <f t="shared" si="29"/>
        <v>0</v>
      </c>
      <c r="U563" s="3" t="s">
        <v>60</v>
      </c>
      <c r="V563" s="14" t="s">
        <v>6</v>
      </c>
      <c r="W563" s="14" t="s">
        <v>6330</v>
      </c>
      <c r="X563" s="14" t="s">
        <v>60</v>
      </c>
    </row>
    <row r="564" spans="1:24" ht="15" x14ac:dyDescent="0.3">
      <c r="A564" s="3">
        <v>36</v>
      </c>
      <c r="B564" s="3" t="s">
        <v>6331</v>
      </c>
      <c r="C564" s="14" t="s">
        <v>0</v>
      </c>
      <c r="D564" s="14" t="s">
        <v>1210</v>
      </c>
      <c r="E564" s="14" t="s">
        <v>1211</v>
      </c>
      <c r="F564" s="14" t="s">
        <v>1212</v>
      </c>
      <c r="G564" s="14" t="s">
        <v>121</v>
      </c>
      <c r="H564" s="14" t="s">
        <v>6332</v>
      </c>
      <c r="I564" s="14" t="s">
        <v>1213</v>
      </c>
      <c r="J564" s="14" t="s">
        <v>60</v>
      </c>
      <c r="K564" s="14" t="s">
        <v>60</v>
      </c>
      <c r="L564" s="14" t="s">
        <v>60</v>
      </c>
      <c r="M564" s="14" t="s">
        <v>60</v>
      </c>
      <c r="N564" s="14" t="s">
        <v>60</v>
      </c>
      <c r="O564" s="14" t="s">
        <v>1209</v>
      </c>
      <c r="P564" s="14" t="s">
        <v>6333</v>
      </c>
      <c r="Q564" s="14" t="s">
        <v>11</v>
      </c>
      <c r="R564" s="3">
        <v>0</v>
      </c>
      <c r="S564" s="3">
        <f t="shared" si="28"/>
        <v>550</v>
      </c>
      <c r="T564" s="3">
        <f t="shared" si="29"/>
        <v>0</v>
      </c>
      <c r="U564" s="3" t="s">
        <v>60</v>
      </c>
      <c r="V564" s="14" t="s">
        <v>6</v>
      </c>
      <c r="W564" s="14" t="s">
        <v>6330</v>
      </c>
      <c r="X564" s="14" t="s">
        <v>60</v>
      </c>
    </row>
    <row r="565" spans="1:24" ht="15" x14ac:dyDescent="0.3">
      <c r="A565" s="3">
        <v>37</v>
      </c>
      <c r="B565" s="3" t="s">
        <v>6334</v>
      </c>
      <c r="C565" s="14" t="s">
        <v>0</v>
      </c>
      <c r="D565" s="14" t="s">
        <v>1214</v>
      </c>
      <c r="E565" s="14" t="s">
        <v>6335</v>
      </c>
      <c r="F565" s="14" t="s">
        <v>1104</v>
      </c>
      <c r="G565" s="14" t="s">
        <v>3</v>
      </c>
      <c r="H565" s="14" t="s">
        <v>6328</v>
      </c>
      <c r="I565" s="14" t="s">
        <v>1215</v>
      </c>
      <c r="J565" s="14" t="s">
        <v>60</v>
      </c>
      <c r="K565" s="14" t="s">
        <v>60</v>
      </c>
      <c r="L565" s="14" t="s">
        <v>60</v>
      </c>
      <c r="M565" s="14" t="s">
        <v>60</v>
      </c>
      <c r="N565" s="14" t="s">
        <v>60</v>
      </c>
      <c r="O565" s="14" t="s">
        <v>1209</v>
      </c>
      <c r="P565" s="14" t="s">
        <v>6336</v>
      </c>
      <c r="Q565" s="14" t="s">
        <v>11</v>
      </c>
      <c r="R565" s="3">
        <v>0</v>
      </c>
      <c r="S565" s="3">
        <f t="shared" si="28"/>
        <v>550</v>
      </c>
      <c r="T565" s="3">
        <f t="shared" si="29"/>
        <v>0</v>
      </c>
      <c r="U565" s="3" t="s">
        <v>60</v>
      </c>
      <c r="V565" s="14" t="s">
        <v>6</v>
      </c>
      <c r="W565" s="14" t="s">
        <v>6330</v>
      </c>
      <c r="X565" s="14" t="s">
        <v>60</v>
      </c>
    </row>
    <row r="566" spans="1:24" ht="15" x14ac:dyDescent="0.3">
      <c r="A566" s="3">
        <v>38</v>
      </c>
      <c r="B566" s="3" t="s">
        <v>6337</v>
      </c>
      <c r="C566" s="14" t="s">
        <v>0</v>
      </c>
      <c r="D566" s="14" t="s">
        <v>1216</v>
      </c>
      <c r="E566" s="14" t="s">
        <v>6335</v>
      </c>
      <c r="F566" s="14" t="s">
        <v>1104</v>
      </c>
      <c r="G566" s="14" t="s">
        <v>121</v>
      </c>
      <c r="H566" s="14" t="s">
        <v>6328</v>
      </c>
      <c r="I566" s="14" t="s">
        <v>1217</v>
      </c>
      <c r="J566" s="14" t="s">
        <v>60</v>
      </c>
      <c r="K566" s="14" t="s">
        <v>60</v>
      </c>
      <c r="L566" s="14" t="s">
        <v>60</v>
      </c>
      <c r="M566" s="14" t="s">
        <v>60</v>
      </c>
      <c r="N566" s="14" t="s">
        <v>60</v>
      </c>
      <c r="O566" s="14" t="s">
        <v>1209</v>
      </c>
      <c r="P566" s="14" t="s">
        <v>6338</v>
      </c>
      <c r="Q566" s="14" t="s">
        <v>11</v>
      </c>
      <c r="R566" s="3">
        <v>0</v>
      </c>
      <c r="S566" s="3">
        <f t="shared" si="28"/>
        <v>550</v>
      </c>
      <c r="T566" s="3">
        <f t="shared" si="29"/>
        <v>0</v>
      </c>
      <c r="U566" s="3" t="s">
        <v>60</v>
      </c>
      <c r="V566" s="14" t="s">
        <v>6</v>
      </c>
      <c r="W566" s="14" t="s">
        <v>6330</v>
      </c>
      <c r="X566" s="14" t="s">
        <v>60</v>
      </c>
    </row>
    <row r="567" spans="1:24" ht="15" x14ac:dyDescent="0.3">
      <c r="A567" s="3">
        <v>39</v>
      </c>
      <c r="B567" s="3" t="s">
        <v>6339</v>
      </c>
      <c r="C567" s="14" t="s">
        <v>0</v>
      </c>
      <c r="D567" s="14" t="s">
        <v>1218</v>
      </c>
      <c r="E567" s="14" t="s">
        <v>6340</v>
      </c>
      <c r="F567" s="14" t="s">
        <v>1219</v>
      </c>
      <c r="G567" s="14" t="s">
        <v>121</v>
      </c>
      <c r="H567" s="14" t="s">
        <v>6341</v>
      </c>
      <c r="I567" s="14" t="s">
        <v>1220</v>
      </c>
      <c r="J567" s="14" t="s">
        <v>60</v>
      </c>
      <c r="K567" s="14" t="s">
        <v>60</v>
      </c>
      <c r="L567" s="14" t="s">
        <v>60</v>
      </c>
      <c r="M567" s="14" t="s">
        <v>60</v>
      </c>
      <c r="N567" s="14" t="s">
        <v>60</v>
      </c>
      <c r="O567" s="14" t="s">
        <v>1209</v>
      </c>
      <c r="P567" s="14" t="s">
        <v>6342</v>
      </c>
      <c r="Q567" s="14" t="s">
        <v>11</v>
      </c>
      <c r="R567" s="3">
        <v>0</v>
      </c>
      <c r="S567" s="3">
        <f t="shared" si="28"/>
        <v>550</v>
      </c>
      <c r="T567" s="3">
        <f t="shared" si="29"/>
        <v>0</v>
      </c>
      <c r="U567" s="3" t="s">
        <v>60</v>
      </c>
      <c r="V567" s="14" t="s">
        <v>6</v>
      </c>
      <c r="W567" s="14" t="s">
        <v>6330</v>
      </c>
      <c r="X567" s="14" t="s">
        <v>60</v>
      </c>
    </row>
    <row r="568" spans="1:24" ht="15" x14ac:dyDescent="0.3">
      <c r="A568" s="3">
        <v>40</v>
      </c>
      <c r="B568" s="3" t="s">
        <v>6343</v>
      </c>
      <c r="C568" s="14" t="s">
        <v>0</v>
      </c>
      <c r="D568" s="14" t="s">
        <v>1336</v>
      </c>
      <c r="E568" s="14" t="s">
        <v>6344</v>
      </c>
      <c r="F568" s="14" t="s">
        <v>1337</v>
      </c>
      <c r="G568" s="14" t="s">
        <v>3</v>
      </c>
      <c r="H568" s="14" t="s">
        <v>6345</v>
      </c>
      <c r="I568" s="14" t="s">
        <v>1338</v>
      </c>
      <c r="J568" s="14" t="s">
        <v>60</v>
      </c>
      <c r="K568" s="14" t="s">
        <v>60</v>
      </c>
      <c r="L568" s="14" t="s">
        <v>60</v>
      </c>
      <c r="M568" s="14" t="s">
        <v>6346</v>
      </c>
      <c r="N568" s="14" t="s">
        <v>60</v>
      </c>
      <c r="O568" s="14" t="s">
        <v>193</v>
      </c>
      <c r="P568" s="14" t="s">
        <v>6347</v>
      </c>
      <c r="Q568" s="14" t="s">
        <v>11</v>
      </c>
      <c r="R568" s="3">
        <v>0</v>
      </c>
      <c r="S568" s="3">
        <f t="shared" si="28"/>
        <v>550</v>
      </c>
      <c r="T568" s="3">
        <f t="shared" si="29"/>
        <v>0</v>
      </c>
      <c r="U568" s="3" t="s">
        <v>6348</v>
      </c>
      <c r="V568" s="14" t="s">
        <v>6</v>
      </c>
      <c r="W568" s="14" t="s">
        <v>6349</v>
      </c>
      <c r="X568" s="14" t="s">
        <v>60</v>
      </c>
    </row>
    <row r="569" spans="1:24" ht="15" x14ac:dyDescent="0.3">
      <c r="A569" s="3">
        <v>41</v>
      </c>
      <c r="B569" s="3" t="s">
        <v>6350</v>
      </c>
      <c r="C569" s="14" t="s">
        <v>0</v>
      </c>
      <c r="D569" s="14" t="s">
        <v>1342</v>
      </c>
      <c r="E569" s="14" t="s">
        <v>6351</v>
      </c>
      <c r="F569" s="14" t="s">
        <v>1343</v>
      </c>
      <c r="G569" s="14" t="s">
        <v>3</v>
      </c>
      <c r="H569" s="14" t="s">
        <v>6352</v>
      </c>
      <c r="I569" s="14" t="s">
        <v>1344</v>
      </c>
      <c r="J569" s="14" t="s">
        <v>60</v>
      </c>
      <c r="K569" s="14" t="s">
        <v>1152</v>
      </c>
      <c r="L569" s="14" t="s">
        <v>60</v>
      </c>
      <c r="M569" s="14" t="s">
        <v>6353</v>
      </c>
      <c r="N569" s="14" t="s">
        <v>60</v>
      </c>
      <c r="O569" s="14" t="s">
        <v>193</v>
      </c>
      <c r="P569" s="14" t="s">
        <v>6354</v>
      </c>
      <c r="Q569" s="14" t="s">
        <v>11</v>
      </c>
      <c r="R569" s="3">
        <v>0</v>
      </c>
      <c r="S569" s="3">
        <f t="shared" si="28"/>
        <v>550</v>
      </c>
      <c r="T569" s="3">
        <f t="shared" si="29"/>
        <v>0</v>
      </c>
      <c r="U569" s="3" t="s">
        <v>60</v>
      </c>
      <c r="V569" s="14" t="s">
        <v>6</v>
      </c>
      <c r="W569" s="14" t="s">
        <v>6349</v>
      </c>
      <c r="X569" s="14" t="s">
        <v>60</v>
      </c>
    </row>
    <row r="570" spans="1:24" ht="15" x14ac:dyDescent="0.3">
      <c r="A570" s="3">
        <v>42</v>
      </c>
      <c r="B570" s="3" t="s">
        <v>6356</v>
      </c>
      <c r="C570" s="14" t="s">
        <v>0</v>
      </c>
      <c r="D570" s="14" t="s">
        <v>1345</v>
      </c>
      <c r="E570" s="14" t="s">
        <v>6357</v>
      </c>
      <c r="F570" s="14" t="s">
        <v>1346</v>
      </c>
      <c r="G570" s="14" t="s">
        <v>121</v>
      </c>
      <c r="H570" s="14" t="s">
        <v>6358</v>
      </c>
      <c r="I570" s="14" t="s">
        <v>1347</v>
      </c>
      <c r="J570" s="14" t="s">
        <v>60</v>
      </c>
      <c r="K570" s="14" t="s">
        <v>60</v>
      </c>
      <c r="L570" s="14" t="s">
        <v>60</v>
      </c>
      <c r="M570" s="14" t="s">
        <v>1348</v>
      </c>
      <c r="N570" s="14" t="s">
        <v>60</v>
      </c>
      <c r="O570" s="14" t="s">
        <v>193</v>
      </c>
      <c r="P570" s="14" t="s">
        <v>6359</v>
      </c>
      <c r="Q570" s="14" t="s">
        <v>1153</v>
      </c>
      <c r="R570" s="3">
        <v>0</v>
      </c>
      <c r="S570" s="3">
        <f t="shared" si="28"/>
        <v>550</v>
      </c>
      <c r="T570" s="3">
        <f t="shared" si="29"/>
        <v>0</v>
      </c>
      <c r="U570" s="3" t="s">
        <v>60</v>
      </c>
      <c r="V570" s="14" t="s">
        <v>6</v>
      </c>
      <c r="W570" s="14" t="s">
        <v>6349</v>
      </c>
      <c r="X570" s="14" t="s">
        <v>60</v>
      </c>
    </row>
    <row r="571" spans="1:24" ht="15" x14ac:dyDescent="0.3">
      <c r="A571" s="3">
        <v>43</v>
      </c>
      <c r="B571" s="3" t="s">
        <v>6360</v>
      </c>
      <c r="C571" s="14" t="s">
        <v>0</v>
      </c>
      <c r="D571" s="14" t="s">
        <v>1349</v>
      </c>
      <c r="E571" s="14" t="s">
        <v>6361</v>
      </c>
      <c r="F571" s="14" t="s">
        <v>1346</v>
      </c>
      <c r="G571" s="14" t="s">
        <v>3</v>
      </c>
      <c r="H571" s="14" t="s">
        <v>6362</v>
      </c>
      <c r="I571" s="14" t="s">
        <v>1350</v>
      </c>
      <c r="J571" s="14" t="s">
        <v>60</v>
      </c>
      <c r="K571" s="14" t="s">
        <v>60</v>
      </c>
      <c r="L571" s="14" t="s">
        <v>60</v>
      </c>
      <c r="M571" s="14" t="s">
        <v>60</v>
      </c>
      <c r="N571" s="14" t="s">
        <v>60</v>
      </c>
      <c r="O571" s="14" t="s">
        <v>193</v>
      </c>
      <c r="P571" s="14" t="s">
        <v>6363</v>
      </c>
      <c r="Q571" s="14" t="s">
        <v>1153</v>
      </c>
      <c r="R571" s="3">
        <v>0</v>
      </c>
      <c r="S571" s="3">
        <f t="shared" si="28"/>
        <v>550</v>
      </c>
      <c r="T571" s="3">
        <f t="shared" si="29"/>
        <v>0</v>
      </c>
      <c r="U571" s="3" t="s">
        <v>60</v>
      </c>
      <c r="V571" s="14" t="s">
        <v>6</v>
      </c>
      <c r="W571" s="14" t="s">
        <v>6349</v>
      </c>
      <c r="X571" s="14" t="s">
        <v>60</v>
      </c>
    </row>
    <row r="572" spans="1:24" ht="15" x14ac:dyDescent="0.3">
      <c r="A572" s="3">
        <v>44</v>
      </c>
      <c r="B572" s="3" t="s">
        <v>1351</v>
      </c>
      <c r="C572" s="14" t="s">
        <v>0</v>
      </c>
      <c r="D572" s="14" t="s">
        <v>1352</v>
      </c>
      <c r="E572" s="14" t="s">
        <v>6364</v>
      </c>
      <c r="F572" s="14" t="s">
        <v>1346</v>
      </c>
      <c r="G572" s="14" t="s">
        <v>3</v>
      </c>
      <c r="H572" s="14" t="s">
        <v>6365</v>
      </c>
      <c r="I572" s="14" t="s">
        <v>1353</v>
      </c>
      <c r="J572" s="14" t="s">
        <v>60</v>
      </c>
      <c r="K572" s="14" t="s">
        <v>60</v>
      </c>
      <c r="L572" s="14" t="s">
        <v>60</v>
      </c>
      <c r="M572" s="14" t="s">
        <v>60</v>
      </c>
      <c r="N572" s="14" t="s">
        <v>60</v>
      </c>
      <c r="O572" s="14" t="s">
        <v>193</v>
      </c>
      <c r="P572" s="14" t="s">
        <v>6366</v>
      </c>
      <c r="Q572" s="14" t="s">
        <v>11</v>
      </c>
      <c r="R572" s="3">
        <v>0</v>
      </c>
      <c r="S572" s="3">
        <f t="shared" si="28"/>
        <v>550</v>
      </c>
      <c r="T572" s="3">
        <f t="shared" si="29"/>
        <v>0</v>
      </c>
      <c r="U572" s="3" t="s">
        <v>60</v>
      </c>
      <c r="V572" s="14" t="s">
        <v>6</v>
      </c>
      <c r="W572" s="14" t="s">
        <v>6349</v>
      </c>
      <c r="X572" s="14" t="s">
        <v>60</v>
      </c>
    </row>
    <row r="573" spans="1:24" ht="15" x14ac:dyDescent="0.3">
      <c r="A573" s="3">
        <v>45</v>
      </c>
      <c r="B573" s="3" t="s">
        <v>6367</v>
      </c>
      <c r="C573" s="14" t="s">
        <v>0</v>
      </c>
      <c r="D573" s="14" t="s">
        <v>1354</v>
      </c>
      <c r="E573" s="14" t="s">
        <v>6368</v>
      </c>
      <c r="F573" s="14" t="s">
        <v>1355</v>
      </c>
      <c r="G573" s="14" t="s">
        <v>3</v>
      </c>
      <c r="H573" s="14" t="s">
        <v>6369</v>
      </c>
      <c r="I573" s="14" t="s">
        <v>1356</v>
      </c>
      <c r="J573" s="14" t="s">
        <v>60</v>
      </c>
      <c r="K573" s="14" t="s">
        <v>60</v>
      </c>
      <c r="L573" s="14" t="s">
        <v>60</v>
      </c>
      <c r="M573" s="14" t="s">
        <v>1357</v>
      </c>
      <c r="N573" s="14" t="s">
        <v>60</v>
      </c>
      <c r="O573" s="14" t="s">
        <v>193</v>
      </c>
      <c r="P573" s="14" t="s">
        <v>6370</v>
      </c>
      <c r="Q573" s="14" t="s">
        <v>11</v>
      </c>
      <c r="R573" s="3">
        <v>0</v>
      </c>
      <c r="S573" s="3">
        <f t="shared" si="28"/>
        <v>550</v>
      </c>
      <c r="T573" s="3">
        <f t="shared" si="29"/>
        <v>0</v>
      </c>
      <c r="U573" s="3" t="s">
        <v>60</v>
      </c>
      <c r="V573" s="14" t="s">
        <v>6</v>
      </c>
      <c r="W573" s="14" t="s">
        <v>6349</v>
      </c>
      <c r="X573" s="14" t="s">
        <v>60</v>
      </c>
    </row>
    <row r="574" spans="1:24" ht="15" x14ac:dyDescent="0.3">
      <c r="A574" s="3">
        <v>46</v>
      </c>
      <c r="B574" s="3" t="s">
        <v>6371</v>
      </c>
      <c r="C574" s="14" t="s">
        <v>0</v>
      </c>
      <c r="D574" s="14" t="s">
        <v>1371</v>
      </c>
      <c r="E574" s="14" t="s">
        <v>6372</v>
      </c>
      <c r="F574" s="14" t="s">
        <v>1395</v>
      </c>
      <c r="G574" s="14" t="s">
        <v>3</v>
      </c>
      <c r="H574" s="14" t="s">
        <v>6373</v>
      </c>
      <c r="I574" s="14" t="s">
        <v>1396</v>
      </c>
      <c r="J574" s="14" t="s">
        <v>60</v>
      </c>
      <c r="K574" s="14" t="s">
        <v>60</v>
      </c>
      <c r="L574" s="14" t="s">
        <v>60</v>
      </c>
      <c r="M574" s="14" t="s">
        <v>1397</v>
      </c>
      <c r="N574" s="14" t="s">
        <v>60</v>
      </c>
      <c r="O574" s="14" t="s">
        <v>193</v>
      </c>
      <c r="P574" s="14" t="s">
        <v>6374</v>
      </c>
      <c r="Q574" s="14" t="s">
        <v>11</v>
      </c>
      <c r="R574" s="3">
        <v>0</v>
      </c>
      <c r="S574" s="3">
        <f t="shared" si="28"/>
        <v>550</v>
      </c>
      <c r="T574" s="3">
        <f t="shared" si="29"/>
        <v>0</v>
      </c>
      <c r="U574" s="3" t="s">
        <v>60</v>
      </c>
      <c r="V574" s="14" t="s">
        <v>6</v>
      </c>
      <c r="W574" s="14" t="s">
        <v>6349</v>
      </c>
      <c r="X574" s="14" t="s">
        <v>60</v>
      </c>
    </row>
    <row r="575" spans="1:24" ht="15" x14ac:dyDescent="0.3">
      <c r="A575" s="3">
        <v>47</v>
      </c>
      <c r="B575" s="3" t="s">
        <v>6375</v>
      </c>
      <c r="C575" s="14" t="s">
        <v>0</v>
      </c>
      <c r="D575" s="14" t="s">
        <v>1422</v>
      </c>
      <c r="E575" s="14" t="s">
        <v>6376</v>
      </c>
      <c r="F575" s="14" t="s">
        <v>1423</v>
      </c>
      <c r="G575" s="14" t="s">
        <v>3</v>
      </c>
      <c r="H575" s="14" t="s">
        <v>6377</v>
      </c>
      <c r="I575" s="14" t="s">
        <v>1424</v>
      </c>
      <c r="J575" s="14" t="s">
        <v>60</v>
      </c>
      <c r="K575" s="14" t="s">
        <v>60</v>
      </c>
      <c r="L575" s="14" t="s">
        <v>60</v>
      </c>
      <c r="M575" s="14" t="s">
        <v>1425</v>
      </c>
      <c r="N575" s="14" t="s">
        <v>60</v>
      </c>
      <c r="O575" s="14" t="s">
        <v>3629</v>
      </c>
      <c r="P575" s="14" t="s">
        <v>6378</v>
      </c>
      <c r="Q575" s="14" t="s">
        <v>1153</v>
      </c>
      <c r="R575" s="3">
        <v>0</v>
      </c>
      <c r="S575" s="3">
        <f t="shared" si="28"/>
        <v>550</v>
      </c>
      <c r="T575" s="3">
        <f t="shared" si="29"/>
        <v>0</v>
      </c>
      <c r="U575" s="3" t="s">
        <v>60</v>
      </c>
      <c r="V575" s="14" t="s">
        <v>6</v>
      </c>
      <c r="W575" s="14" t="s">
        <v>6379</v>
      </c>
      <c r="X575" s="14" t="s">
        <v>60</v>
      </c>
    </row>
    <row r="576" spans="1:24" ht="15" x14ac:dyDescent="0.3">
      <c r="A576" s="3">
        <v>48</v>
      </c>
      <c r="B576" s="3" t="s">
        <v>6380</v>
      </c>
      <c r="C576" s="14" t="s">
        <v>0</v>
      </c>
      <c r="D576" s="14" t="s">
        <v>1433</v>
      </c>
      <c r="E576" s="14" t="s">
        <v>6381</v>
      </c>
      <c r="F576" s="14" t="s">
        <v>1434</v>
      </c>
      <c r="G576" s="14" t="s">
        <v>3</v>
      </c>
      <c r="H576" s="14" t="s">
        <v>6382</v>
      </c>
      <c r="I576" s="14" t="s">
        <v>1435</v>
      </c>
      <c r="J576" s="14" t="s">
        <v>60</v>
      </c>
      <c r="K576" s="14" t="s">
        <v>60</v>
      </c>
      <c r="L576" s="14" t="s">
        <v>60</v>
      </c>
      <c r="M576" s="14" t="s">
        <v>1436</v>
      </c>
      <c r="N576" s="14" t="s">
        <v>60</v>
      </c>
      <c r="O576" s="14" t="s">
        <v>454</v>
      </c>
      <c r="P576" s="14" t="s">
        <v>6383</v>
      </c>
      <c r="Q576" s="14" t="s">
        <v>1153</v>
      </c>
      <c r="R576" s="3">
        <v>0</v>
      </c>
      <c r="S576" s="3">
        <f t="shared" si="28"/>
        <v>550</v>
      </c>
      <c r="T576" s="3">
        <f t="shared" si="29"/>
        <v>0</v>
      </c>
      <c r="U576" s="3" t="s">
        <v>60</v>
      </c>
      <c r="V576" s="14" t="s">
        <v>6</v>
      </c>
      <c r="W576" s="14" t="s">
        <v>6379</v>
      </c>
      <c r="X576" s="14" t="s">
        <v>60</v>
      </c>
    </row>
    <row r="577" spans="1:24" ht="15" x14ac:dyDescent="0.3">
      <c r="A577" s="3">
        <v>49</v>
      </c>
      <c r="B577" s="3" t="s">
        <v>6384</v>
      </c>
      <c r="C577" s="14" t="s">
        <v>0</v>
      </c>
      <c r="D577" s="14" t="s">
        <v>1629</v>
      </c>
      <c r="E577" s="14" t="s">
        <v>6385</v>
      </c>
      <c r="F577" s="14" t="s">
        <v>101</v>
      </c>
      <c r="G577" s="14" t="s">
        <v>121</v>
      </c>
      <c r="H577" s="14" t="s">
        <v>6386</v>
      </c>
      <c r="I577" s="14" t="s">
        <v>1630</v>
      </c>
      <c r="J577" s="14" t="s">
        <v>60</v>
      </c>
      <c r="K577" s="14" t="s">
        <v>60</v>
      </c>
      <c r="L577" s="14" t="s">
        <v>60</v>
      </c>
      <c r="M577" s="14" t="s">
        <v>60</v>
      </c>
      <c r="N577" s="14" t="s">
        <v>60</v>
      </c>
      <c r="O577" s="14" t="s">
        <v>261</v>
      </c>
      <c r="P577" s="14" t="s">
        <v>6387</v>
      </c>
      <c r="Q577" s="14" t="s">
        <v>588</v>
      </c>
      <c r="R577" s="3">
        <v>0</v>
      </c>
      <c r="S577" s="3">
        <f t="shared" si="28"/>
        <v>550</v>
      </c>
      <c r="T577" s="3">
        <f t="shared" si="29"/>
        <v>0</v>
      </c>
      <c r="U577" s="3" t="s">
        <v>60</v>
      </c>
      <c r="V577" s="14" t="s">
        <v>4301</v>
      </c>
      <c r="W577" s="14" t="s">
        <v>4202</v>
      </c>
      <c r="X577" s="14" t="s">
        <v>60</v>
      </c>
    </row>
    <row r="578" spans="1:24" ht="15" x14ac:dyDescent="0.3">
      <c r="A578" s="3">
        <v>50</v>
      </c>
      <c r="B578" s="3">
        <v>8255</v>
      </c>
      <c r="C578" s="14" t="s">
        <v>0</v>
      </c>
      <c r="D578" s="14" t="s">
        <v>1642</v>
      </c>
      <c r="E578" s="14" t="s">
        <v>4293</v>
      </c>
      <c r="F578" s="14" t="s">
        <v>1643</v>
      </c>
      <c r="G578" s="14" t="s">
        <v>3</v>
      </c>
      <c r="H578" s="14" t="s">
        <v>6388</v>
      </c>
      <c r="I578" s="14" t="s">
        <v>1644</v>
      </c>
      <c r="J578" s="14" t="s">
        <v>60</v>
      </c>
      <c r="K578" s="14" t="s">
        <v>60</v>
      </c>
      <c r="L578" s="14" t="s">
        <v>60</v>
      </c>
      <c r="M578" s="14" t="s">
        <v>1645</v>
      </c>
      <c r="N578" s="14" t="s">
        <v>60</v>
      </c>
      <c r="O578" s="14" t="s">
        <v>60</v>
      </c>
      <c r="P578" s="14" t="s">
        <v>6389</v>
      </c>
      <c r="Q578" s="14" t="s">
        <v>185</v>
      </c>
      <c r="R578" s="3">
        <v>0</v>
      </c>
      <c r="S578" s="3">
        <f t="shared" si="28"/>
        <v>550</v>
      </c>
      <c r="T578" s="3">
        <f t="shared" si="29"/>
        <v>0</v>
      </c>
      <c r="U578" s="3" t="s">
        <v>60</v>
      </c>
      <c r="V578" s="14" t="s">
        <v>6</v>
      </c>
      <c r="W578" s="14" t="s">
        <v>4634</v>
      </c>
      <c r="X578" s="14" t="s">
        <v>60</v>
      </c>
    </row>
    <row r="579" spans="1:24" ht="15" x14ac:dyDescent="0.3">
      <c r="A579" s="3">
        <v>51</v>
      </c>
      <c r="B579" s="3" t="s">
        <v>6390</v>
      </c>
      <c r="C579" s="14" t="s">
        <v>0</v>
      </c>
      <c r="D579" s="14" t="s">
        <v>1066</v>
      </c>
      <c r="E579" s="14" t="s">
        <v>4195</v>
      </c>
      <c r="F579" s="14" t="s">
        <v>1067</v>
      </c>
      <c r="G579" s="14" t="s">
        <v>3</v>
      </c>
      <c r="H579" s="14" t="s">
        <v>6391</v>
      </c>
      <c r="I579" s="14" t="s">
        <v>3782</v>
      </c>
      <c r="J579" s="14" t="s">
        <v>60</v>
      </c>
      <c r="K579" s="14" t="s">
        <v>60</v>
      </c>
      <c r="L579" s="14" t="s">
        <v>60</v>
      </c>
      <c r="M579" s="14" t="s">
        <v>1068</v>
      </c>
      <c r="N579" s="14" t="s">
        <v>60</v>
      </c>
      <c r="O579" s="14" t="s">
        <v>60</v>
      </c>
      <c r="P579" s="14" t="s">
        <v>6392</v>
      </c>
      <c r="Q579" s="14" t="s">
        <v>175</v>
      </c>
      <c r="R579" s="3">
        <v>0</v>
      </c>
      <c r="S579" s="3">
        <f t="shared" si="28"/>
        <v>550</v>
      </c>
      <c r="T579" s="3">
        <f t="shared" si="29"/>
        <v>0</v>
      </c>
      <c r="U579" s="3" t="s">
        <v>60</v>
      </c>
      <c r="V579" s="14" t="s">
        <v>6</v>
      </c>
      <c r="W579" s="14" t="s">
        <v>4444</v>
      </c>
      <c r="X579" s="14" t="s">
        <v>60</v>
      </c>
    </row>
    <row r="580" spans="1:24" ht="15" x14ac:dyDescent="0.3">
      <c r="A580" s="3">
        <v>52</v>
      </c>
      <c r="B580" s="3" t="s">
        <v>6393</v>
      </c>
      <c r="C580" s="14" t="s">
        <v>0</v>
      </c>
      <c r="D580" s="14" t="s">
        <v>3574</v>
      </c>
      <c r="E580" s="14" t="s">
        <v>4644</v>
      </c>
      <c r="F580" s="14" t="s">
        <v>3576</v>
      </c>
      <c r="G580" s="14" t="s">
        <v>3</v>
      </c>
      <c r="H580" s="14" t="s">
        <v>6394</v>
      </c>
      <c r="I580" s="14" t="s">
        <v>3783</v>
      </c>
      <c r="J580" s="14" t="s">
        <v>60</v>
      </c>
      <c r="K580" s="14" t="s">
        <v>60</v>
      </c>
      <c r="L580" s="14" t="s">
        <v>60</v>
      </c>
      <c r="M580" s="14" t="s">
        <v>3784</v>
      </c>
      <c r="N580" s="14" t="s">
        <v>60</v>
      </c>
      <c r="O580" s="14" t="s">
        <v>60</v>
      </c>
      <c r="P580" s="14" t="s">
        <v>6395</v>
      </c>
      <c r="Q580" s="14" t="s">
        <v>1637</v>
      </c>
      <c r="R580" s="3">
        <v>0</v>
      </c>
      <c r="S580" s="3">
        <f t="shared" si="28"/>
        <v>550</v>
      </c>
      <c r="T580" s="3">
        <f t="shared" si="29"/>
        <v>0</v>
      </c>
      <c r="U580" s="3" t="s">
        <v>60</v>
      </c>
      <c r="V580" s="14" t="s">
        <v>6</v>
      </c>
      <c r="W580" s="14" t="s">
        <v>4444</v>
      </c>
      <c r="X580" s="14" t="s">
        <v>60</v>
      </c>
    </row>
    <row r="581" spans="1:24" ht="15" x14ac:dyDescent="0.3">
      <c r="A581" s="3">
        <v>53</v>
      </c>
      <c r="B581" s="3" t="s">
        <v>6396</v>
      </c>
      <c r="C581" s="14" t="s">
        <v>0</v>
      </c>
      <c r="D581" s="14" t="s">
        <v>3575</v>
      </c>
      <c r="E581" s="14" t="s">
        <v>5435</v>
      </c>
      <c r="F581" s="14" t="s">
        <v>1584</v>
      </c>
      <c r="G581" s="14" t="s">
        <v>3</v>
      </c>
      <c r="H581" s="14" t="s">
        <v>6397</v>
      </c>
      <c r="I581" s="14" t="s">
        <v>3785</v>
      </c>
      <c r="J581" s="14" t="s">
        <v>60</v>
      </c>
      <c r="K581" s="14" t="s">
        <v>60</v>
      </c>
      <c r="L581" s="14" t="s">
        <v>60</v>
      </c>
      <c r="M581" s="14" t="s">
        <v>3786</v>
      </c>
      <c r="N581" s="14" t="s">
        <v>60</v>
      </c>
      <c r="O581" s="14" t="s">
        <v>60</v>
      </c>
      <c r="P581" s="14" t="s">
        <v>6398</v>
      </c>
      <c r="Q581" s="14" t="s">
        <v>175</v>
      </c>
      <c r="R581" s="3">
        <v>0</v>
      </c>
      <c r="S581" s="3">
        <f t="shared" si="28"/>
        <v>550</v>
      </c>
      <c r="T581" s="3">
        <f t="shared" si="29"/>
        <v>0</v>
      </c>
      <c r="U581" s="3" t="s">
        <v>60</v>
      </c>
      <c r="V581" s="14" t="s">
        <v>6</v>
      </c>
      <c r="W581" s="14" t="s">
        <v>4444</v>
      </c>
      <c r="X581" s="14" t="s">
        <v>60</v>
      </c>
    </row>
    <row r="582" spans="1:24" ht="15" x14ac:dyDescent="0.3">
      <c r="A582" s="3">
        <v>54</v>
      </c>
      <c r="B582" s="3" t="s">
        <v>6399</v>
      </c>
      <c r="C582" s="14" t="s">
        <v>0</v>
      </c>
      <c r="D582" s="14" t="s">
        <v>3992</v>
      </c>
      <c r="E582" s="14" t="s">
        <v>6400</v>
      </c>
      <c r="F582" s="14" t="s">
        <v>1632</v>
      </c>
      <c r="G582" s="14" t="s">
        <v>121</v>
      </c>
      <c r="H582" s="14" t="s">
        <v>6401</v>
      </c>
      <c r="I582" s="14" t="s">
        <v>4003</v>
      </c>
      <c r="J582" s="14" t="s">
        <v>60</v>
      </c>
      <c r="K582" s="14" t="s">
        <v>60</v>
      </c>
      <c r="L582" s="14" t="s">
        <v>60</v>
      </c>
      <c r="M582" s="14" t="s">
        <v>60</v>
      </c>
      <c r="N582" s="14" t="s">
        <v>60</v>
      </c>
      <c r="O582" s="14" t="s">
        <v>3910</v>
      </c>
      <c r="P582" s="14" t="s">
        <v>6402</v>
      </c>
      <c r="Q582" s="14" t="s">
        <v>11</v>
      </c>
      <c r="R582" s="3">
        <v>0</v>
      </c>
      <c r="S582" s="3">
        <f t="shared" si="28"/>
        <v>550</v>
      </c>
      <c r="T582" s="3">
        <f t="shared" si="29"/>
        <v>0</v>
      </c>
      <c r="U582" s="3" t="s">
        <v>60</v>
      </c>
      <c r="V582" s="14" t="s">
        <v>6</v>
      </c>
      <c r="W582" s="14" t="s">
        <v>5755</v>
      </c>
      <c r="X582" s="14" t="s">
        <v>60</v>
      </c>
    </row>
    <row r="583" spans="1:24" ht="15" x14ac:dyDescent="0.3">
      <c r="A583" s="3">
        <v>55</v>
      </c>
      <c r="B583" s="3" t="s">
        <v>6403</v>
      </c>
      <c r="C583" s="14" t="s">
        <v>0</v>
      </c>
      <c r="D583" s="14" t="s">
        <v>3993</v>
      </c>
      <c r="E583" s="14" t="s">
        <v>6404</v>
      </c>
      <c r="F583" s="14" t="s">
        <v>3994</v>
      </c>
      <c r="G583" s="14" t="s">
        <v>3</v>
      </c>
      <c r="H583" s="14" t="s">
        <v>6405</v>
      </c>
      <c r="I583" s="14" t="s">
        <v>4004</v>
      </c>
      <c r="J583" s="14" t="s">
        <v>60</v>
      </c>
      <c r="K583" s="14" t="s">
        <v>60</v>
      </c>
      <c r="L583" s="14" t="s">
        <v>60</v>
      </c>
      <c r="M583" s="14" t="s">
        <v>60</v>
      </c>
      <c r="N583" s="14" t="s">
        <v>60</v>
      </c>
      <c r="O583" s="14" t="s">
        <v>3910</v>
      </c>
      <c r="P583" s="14" t="s">
        <v>6406</v>
      </c>
      <c r="Q583" s="14" t="s">
        <v>11</v>
      </c>
      <c r="R583" s="3">
        <v>0</v>
      </c>
      <c r="S583" s="3">
        <f t="shared" si="28"/>
        <v>550</v>
      </c>
      <c r="T583" s="3">
        <f t="shared" si="29"/>
        <v>0</v>
      </c>
      <c r="U583" s="3" t="s">
        <v>60</v>
      </c>
      <c r="V583" s="14" t="s">
        <v>6</v>
      </c>
      <c r="W583" s="14" t="s">
        <v>5755</v>
      </c>
      <c r="X583" s="14" t="s">
        <v>60</v>
      </c>
    </row>
    <row r="584" spans="1:24" ht="15" x14ac:dyDescent="0.3">
      <c r="A584" s="3">
        <v>56</v>
      </c>
      <c r="B584" s="3" t="s">
        <v>6407</v>
      </c>
      <c r="C584" s="14" t="s">
        <v>0</v>
      </c>
      <c r="D584" s="14" t="s">
        <v>3995</v>
      </c>
      <c r="E584" s="14" t="s">
        <v>6408</v>
      </c>
      <c r="F584" s="14" t="s">
        <v>3996</v>
      </c>
      <c r="G584" s="14" t="s">
        <v>3</v>
      </c>
      <c r="H584" s="14" t="s">
        <v>6409</v>
      </c>
      <c r="I584" s="14" t="s">
        <v>4005</v>
      </c>
      <c r="J584" s="14" t="s">
        <v>60</v>
      </c>
      <c r="K584" s="14" t="s">
        <v>60</v>
      </c>
      <c r="L584" s="14" t="s">
        <v>60</v>
      </c>
      <c r="M584" s="14" t="s">
        <v>4006</v>
      </c>
      <c r="N584" s="14" t="s">
        <v>60</v>
      </c>
      <c r="O584" s="14" t="s">
        <v>3910</v>
      </c>
      <c r="P584" s="14" t="s">
        <v>6410</v>
      </c>
      <c r="Q584" s="14" t="s">
        <v>11</v>
      </c>
      <c r="R584" s="3">
        <v>0</v>
      </c>
      <c r="S584" s="3">
        <f t="shared" si="28"/>
        <v>550</v>
      </c>
      <c r="T584" s="3">
        <f t="shared" si="29"/>
        <v>0</v>
      </c>
      <c r="U584" s="3" t="s">
        <v>60</v>
      </c>
      <c r="V584" s="14" t="s">
        <v>6</v>
      </c>
      <c r="W584" s="14" t="s">
        <v>5755</v>
      </c>
      <c r="X584" s="14" t="s">
        <v>60</v>
      </c>
    </row>
    <row r="585" spans="1:24" ht="15" x14ac:dyDescent="0.3">
      <c r="A585" s="3">
        <v>57</v>
      </c>
      <c r="B585" s="3" t="s">
        <v>6411</v>
      </c>
      <c r="C585" s="14" t="s">
        <v>0</v>
      </c>
      <c r="D585" s="14" t="s">
        <v>3997</v>
      </c>
      <c r="E585" s="14" t="s">
        <v>6412</v>
      </c>
      <c r="F585" s="14" t="s">
        <v>3998</v>
      </c>
      <c r="G585" s="14" t="s">
        <v>3</v>
      </c>
      <c r="H585" s="14" t="s">
        <v>6413</v>
      </c>
      <c r="I585" s="14" t="s">
        <v>4007</v>
      </c>
      <c r="J585" s="14" t="s">
        <v>60</v>
      </c>
      <c r="K585" s="14" t="s">
        <v>60</v>
      </c>
      <c r="L585" s="14" t="s">
        <v>60</v>
      </c>
      <c r="M585" s="14" t="s">
        <v>4008</v>
      </c>
      <c r="N585" s="14" t="s">
        <v>60</v>
      </c>
      <c r="O585" s="14" t="s">
        <v>3910</v>
      </c>
      <c r="P585" s="14" t="s">
        <v>6414</v>
      </c>
      <c r="Q585" s="14" t="s">
        <v>11</v>
      </c>
      <c r="R585" s="3">
        <v>0</v>
      </c>
      <c r="S585" s="3">
        <f t="shared" si="28"/>
        <v>550</v>
      </c>
      <c r="T585" s="3">
        <f t="shared" si="29"/>
        <v>0</v>
      </c>
      <c r="U585" s="3" t="s">
        <v>60</v>
      </c>
      <c r="V585" s="14" t="s">
        <v>6</v>
      </c>
      <c r="W585" s="14" t="s">
        <v>5755</v>
      </c>
      <c r="X585" s="14" t="s">
        <v>60</v>
      </c>
    </row>
    <row r="586" spans="1:24" ht="15" x14ac:dyDescent="0.3">
      <c r="A586" s="3">
        <v>58</v>
      </c>
      <c r="B586" s="3" t="s">
        <v>6415</v>
      </c>
      <c r="C586" s="14" t="s">
        <v>0</v>
      </c>
      <c r="D586" s="14" t="s">
        <v>3999</v>
      </c>
      <c r="E586" s="14" t="s">
        <v>6416</v>
      </c>
      <c r="F586" s="14" t="s">
        <v>4000</v>
      </c>
      <c r="G586" s="14" t="s">
        <v>3</v>
      </c>
      <c r="H586" s="14" t="s">
        <v>6417</v>
      </c>
      <c r="I586" s="14" t="s">
        <v>4009</v>
      </c>
      <c r="J586" s="14" t="s">
        <v>60</v>
      </c>
      <c r="K586" s="14" t="s">
        <v>60</v>
      </c>
      <c r="L586" s="14" t="s">
        <v>60</v>
      </c>
      <c r="M586" s="14" t="s">
        <v>4010</v>
      </c>
      <c r="N586" s="14" t="s">
        <v>60</v>
      </c>
      <c r="O586" s="14" t="s">
        <v>3910</v>
      </c>
      <c r="P586" s="14" t="s">
        <v>6418</v>
      </c>
      <c r="Q586" s="14" t="s">
        <v>11</v>
      </c>
      <c r="R586" s="3">
        <v>0</v>
      </c>
      <c r="S586" s="3">
        <f t="shared" si="28"/>
        <v>550</v>
      </c>
      <c r="T586" s="3">
        <f t="shared" si="29"/>
        <v>0</v>
      </c>
      <c r="U586" s="3" t="s">
        <v>60</v>
      </c>
      <c r="V586" s="14" t="s">
        <v>6</v>
      </c>
      <c r="W586" s="14" t="s">
        <v>5755</v>
      </c>
      <c r="X586" s="14" t="s">
        <v>60</v>
      </c>
    </row>
    <row r="587" spans="1:24" ht="15" x14ac:dyDescent="0.3">
      <c r="A587" s="3">
        <v>59</v>
      </c>
      <c r="B587" s="3" t="s">
        <v>6419</v>
      </c>
      <c r="C587" s="14" t="s">
        <v>0</v>
      </c>
      <c r="D587" s="14" t="s">
        <v>4001</v>
      </c>
      <c r="E587" s="14" t="s">
        <v>6420</v>
      </c>
      <c r="F587" s="14" t="s">
        <v>4002</v>
      </c>
      <c r="G587" s="14" t="s">
        <v>3</v>
      </c>
      <c r="H587" s="14" t="s">
        <v>6421</v>
      </c>
      <c r="I587" s="14" t="s">
        <v>4011</v>
      </c>
      <c r="J587" s="14" t="s">
        <v>60</v>
      </c>
      <c r="K587" s="14" t="s">
        <v>60</v>
      </c>
      <c r="L587" s="14" t="s">
        <v>60</v>
      </c>
      <c r="M587" s="14" t="s">
        <v>4012</v>
      </c>
      <c r="N587" s="14" t="s">
        <v>60</v>
      </c>
      <c r="O587" s="14" t="s">
        <v>3910</v>
      </c>
      <c r="P587" s="14" t="s">
        <v>6422</v>
      </c>
      <c r="Q587" s="14" t="s">
        <v>11</v>
      </c>
      <c r="R587" s="3">
        <v>0</v>
      </c>
      <c r="S587" s="3">
        <f t="shared" si="28"/>
        <v>550</v>
      </c>
      <c r="T587" s="3">
        <f t="shared" si="29"/>
        <v>0</v>
      </c>
      <c r="U587" s="3" t="s">
        <v>60</v>
      </c>
      <c r="V587" s="14" t="s">
        <v>6</v>
      </c>
      <c r="W587" s="14" t="s">
        <v>5755</v>
      </c>
      <c r="X587" s="14" t="s">
        <v>60</v>
      </c>
    </row>
    <row r="588" spans="1:24" ht="15.6" x14ac:dyDescent="0.3">
      <c r="A588" s="3">
        <v>60</v>
      </c>
      <c r="B588" s="25" t="s">
        <v>6423</v>
      </c>
      <c r="C588" s="14" t="s">
        <v>0</v>
      </c>
      <c r="D588" s="14" t="s">
        <v>6424</v>
      </c>
      <c r="E588" s="31">
        <v>46168</v>
      </c>
      <c r="F588" s="14" t="s">
        <v>6425</v>
      </c>
      <c r="G588" s="14" t="s">
        <v>3</v>
      </c>
      <c r="H588" s="14" t="s">
        <v>6426</v>
      </c>
      <c r="I588" s="14" t="s">
        <v>6427</v>
      </c>
      <c r="J588" s="14" t="s">
        <v>60</v>
      </c>
      <c r="K588" s="14" t="s">
        <v>60</v>
      </c>
      <c r="L588" s="14" t="s">
        <v>60</v>
      </c>
      <c r="M588" s="14" t="s">
        <v>6428</v>
      </c>
      <c r="N588" s="14" t="s">
        <v>60</v>
      </c>
      <c r="O588" s="14" t="s">
        <v>60</v>
      </c>
      <c r="P588" s="14" t="s">
        <v>6429</v>
      </c>
      <c r="Q588" s="14" t="s">
        <v>11</v>
      </c>
      <c r="R588" s="3">
        <v>0</v>
      </c>
      <c r="S588" s="3">
        <f t="shared" si="28"/>
        <v>550</v>
      </c>
      <c r="T588" s="3">
        <f t="shared" si="29"/>
        <v>0</v>
      </c>
      <c r="U588" s="3" t="s">
        <v>60</v>
      </c>
      <c r="V588" s="14" t="s">
        <v>6</v>
      </c>
      <c r="W588" s="14" t="s">
        <v>4495</v>
      </c>
      <c r="X588" s="14" t="s">
        <v>60</v>
      </c>
    </row>
    <row r="589" spans="1:24" ht="15.6" x14ac:dyDescent="0.3">
      <c r="A589" s="3">
        <v>61</v>
      </c>
      <c r="B589" s="25" t="s">
        <v>6430</v>
      </c>
      <c r="C589" s="14" t="s">
        <v>0</v>
      </c>
      <c r="D589" s="14" t="s">
        <v>6431</v>
      </c>
      <c r="E589" s="31">
        <v>33079</v>
      </c>
      <c r="F589" s="14" t="s">
        <v>6432</v>
      </c>
      <c r="G589" s="14" t="s">
        <v>3</v>
      </c>
      <c r="H589" s="14" t="s">
        <v>6433</v>
      </c>
      <c r="I589" s="14" t="s">
        <v>6434</v>
      </c>
      <c r="J589" s="14" t="s">
        <v>60</v>
      </c>
      <c r="K589" s="14" t="s">
        <v>60</v>
      </c>
      <c r="L589" s="14" t="s">
        <v>60</v>
      </c>
      <c r="M589" s="14" t="s">
        <v>6435</v>
      </c>
      <c r="N589" s="14" t="s">
        <v>60</v>
      </c>
      <c r="O589" s="14" t="s">
        <v>60</v>
      </c>
      <c r="P589" s="14" t="s">
        <v>6436</v>
      </c>
      <c r="Q589" s="14" t="s">
        <v>11</v>
      </c>
      <c r="R589" s="3">
        <v>0</v>
      </c>
      <c r="S589" s="3">
        <f t="shared" si="28"/>
        <v>550</v>
      </c>
      <c r="T589" s="3">
        <f t="shared" si="29"/>
        <v>0</v>
      </c>
      <c r="U589" s="3" t="s">
        <v>6438</v>
      </c>
      <c r="V589" s="14" t="s">
        <v>6</v>
      </c>
      <c r="W589" s="14" t="s">
        <v>4870</v>
      </c>
      <c r="X589" s="14" t="s">
        <v>60</v>
      </c>
    </row>
    <row r="590" spans="1:24" ht="15.6" x14ac:dyDescent="0.3">
      <c r="A590" s="26" t="s">
        <v>60</v>
      </c>
      <c r="B590" s="26" t="s">
        <v>60</v>
      </c>
      <c r="C590" s="27" t="s">
        <v>60</v>
      </c>
      <c r="D590" s="27" t="s">
        <v>60</v>
      </c>
      <c r="E590" s="27" t="s">
        <v>60</v>
      </c>
      <c r="F590" s="27" t="s">
        <v>60</v>
      </c>
      <c r="G590" s="27" t="s">
        <v>60</v>
      </c>
      <c r="H590" s="27" t="s">
        <v>60</v>
      </c>
      <c r="I590" s="27" t="s">
        <v>60</v>
      </c>
      <c r="J590" s="27" t="s">
        <v>60</v>
      </c>
      <c r="K590" s="27" t="s">
        <v>60</v>
      </c>
      <c r="L590" s="27" t="s">
        <v>60</v>
      </c>
      <c r="M590" s="27" t="s">
        <v>60</v>
      </c>
      <c r="N590" s="27" t="s">
        <v>60</v>
      </c>
      <c r="O590" s="27" t="s">
        <v>60</v>
      </c>
      <c r="P590" s="27" t="s">
        <v>60</v>
      </c>
      <c r="Q590" s="27" t="s">
        <v>60</v>
      </c>
      <c r="R590" s="35" t="s">
        <v>2009</v>
      </c>
      <c r="S590" s="35" t="s">
        <v>60</v>
      </c>
      <c r="T590" s="26">
        <f>SUM(T528:T589)</f>
        <v>0</v>
      </c>
      <c r="U590" s="26" t="s">
        <v>6439</v>
      </c>
      <c r="V590" s="27" t="s">
        <v>60</v>
      </c>
      <c r="W590" s="27" t="s">
        <v>60</v>
      </c>
      <c r="X590" s="27" t="s">
        <v>60</v>
      </c>
    </row>
    <row r="591" spans="1:24" ht="15.6" x14ac:dyDescent="0.3">
      <c r="A591" s="34" t="s">
        <v>6440</v>
      </c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 spans="1:24" ht="109.2" x14ac:dyDescent="0.3">
      <c r="A592" s="23" t="s">
        <v>42</v>
      </c>
      <c r="B592" s="23" t="s">
        <v>43</v>
      </c>
      <c r="C592" s="24" t="s">
        <v>44</v>
      </c>
      <c r="D592" s="24" t="s">
        <v>4154</v>
      </c>
      <c r="E592" s="24" t="s">
        <v>4155</v>
      </c>
      <c r="F592" s="24" t="s">
        <v>4156</v>
      </c>
      <c r="G592" s="24" t="s">
        <v>45</v>
      </c>
      <c r="H592" s="24" t="s">
        <v>4157</v>
      </c>
      <c r="I592" s="24" t="s">
        <v>46</v>
      </c>
      <c r="J592" s="24" t="s">
        <v>4158</v>
      </c>
      <c r="K592" s="24" t="s">
        <v>4159</v>
      </c>
      <c r="L592" s="24" t="s">
        <v>4160</v>
      </c>
      <c r="M592" s="24" t="s">
        <v>4161</v>
      </c>
      <c r="N592" s="24" t="s">
        <v>47</v>
      </c>
      <c r="O592" s="24" t="s">
        <v>48</v>
      </c>
      <c r="P592" s="24" t="s">
        <v>49</v>
      </c>
      <c r="Q592" s="24" t="s">
        <v>50</v>
      </c>
      <c r="R592" s="23" t="s">
        <v>4162</v>
      </c>
      <c r="S592" s="23" t="s">
        <v>4163</v>
      </c>
      <c r="T592" s="23" t="s">
        <v>4164</v>
      </c>
      <c r="U592" s="23" t="s">
        <v>4165</v>
      </c>
      <c r="V592" s="24" t="s">
        <v>51</v>
      </c>
      <c r="W592" s="24" t="s">
        <v>52</v>
      </c>
      <c r="X592" s="24" t="s">
        <v>53</v>
      </c>
    </row>
    <row r="593" spans="1:24" ht="15" x14ac:dyDescent="0.3">
      <c r="A593" s="3">
        <v>1</v>
      </c>
      <c r="B593" s="3" t="s">
        <v>6441</v>
      </c>
      <c r="C593" s="14" t="s">
        <v>0</v>
      </c>
      <c r="D593" s="14" t="s">
        <v>1610</v>
      </c>
      <c r="E593" s="14" t="s">
        <v>6442</v>
      </c>
      <c r="F593" s="14" t="s">
        <v>1611</v>
      </c>
      <c r="G593" s="14" t="s">
        <v>3</v>
      </c>
      <c r="H593" s="14" t="s">
        <v>6443</v>
      </c>
      <c r="I593" s="14" t="s">
        <v>1612</v>
      </c>
      <c r="J593" s="14" t="s">
        <v>60</v>
      </c>
      <c r="K593" s="14" t="s">
        <v>60</v>
      </c>
      <c r="L593" s="14" t="s">
        <v>60</v>
      </c>
      <c r="M593" s="14" t="s">
        <v>1613</v>
      </c>
      <c r="N593" s="14" t="s">
        <v>60</v>
      </c>
      <c r="O593" s="14" t="s">
        <v>60</v>
      </c>
      <c r="P593" s="14" t="s">
        <v>6444</v>
      </c>
      <c r="Q593" s="14" t="s">
        <v>11</v>
      </c>
      <c r="R593" s="3">
        <v>0</v>
      </c>
      <c r="S593" s="3">
        <f t="shared" ref="S593:S632" si="30">IF(RIGHT(C593,3)="MAZ",550,IF(RIGHT(C593,4)="MATE",570,IF(RIGHT(C593,7)="SKD-III",640,IF(RIGHT(C593,6)="SKD-II",770,IF(RIGHT(C593,5)="SKD-I",900,IF(RIGHT(C593,5)="CPDVR",770,""))))))</f>
        <v>550</v>
      </c>
      <c r="T593" s="3">
        <f t="shared" ref="T593:T632" si="31">R593*S593</f>
        <v>0</v>
      </c>
      <c r="U593" s="3" t="s">
        <v>60</v>
      </c>
      <c r="V593" s="14" t="s">
        <v>6</v>
      </c>
      <c r="W593" s="14" t="s">
        <v>5601</v>
      </c>
      <c r="X593" s="14" t="s">
        <v>60</v>
      </c>
    </row>
    <row r="594" spans="1:24" ht="15" x14ac:dyDescent="0.3">
      <c r="A594" s="3">
        <v>2</v>
      </c>
      <c r="B594" s="3" t="s">
        <v>6445</v>
      </c>
      <c r="C594" s="14" t="s">
        <v>2079</v>
      </c>
      <c r="D594" s="14" t="s">
        <v>3563</v>
      </c>
      <c r="E594" s="14" t="s">
        <v>6446</v>
      </c>
      <c r="F594" s="14" t="s">
        <v>3568</v>
      </c>
      <c r="G594" s="14" t="s">
        <v>3</v>
      </c>
      <c r="H594" s="14" t="s">
        <v>3804</v>
      </c>
      <c r="I594" s="14" t="s">
        <v>3805</v>
      </c>
      <c r="J594" s="14" t="s">
        <v>60</v>
      </c>
      <c r="K594" s="14" t="s">
        <v>60</v>
      </c>
      <c r="L594" s="14" t="s">
        <v>60</v>
      </c>
      <c r="M594" s="14" t="s">
        <v>3806</v>
      </c>
      <c r="N594" s="14" t="s">
        <v>60</v>
      </c>
      <c r="O594" s="14" t="s">
        <v>60</v>
      </c>
      <c r="P594" s="14" t="s">
        <v>6447</v>
      </c>
      <c r="Q594" s="14" t="s">
        <v>11</v>
      </c>
      <c r="R594" s="3">
        <v>0</v>
      </c>
      <c r="S594" s="3">
        <f t="shared" si="30"/>
        <v>640</v>
      </c>
      <c r="T594" s="3">
        <f t="shared" si="31"/>
        <v>0</v>
      </c>
      <c r="U594" s="3" t="s">
        <v>60</v>
      </c>
      <c r="V594" s="14" t="s">
        <v>6</v>
      </c>
      <c r="W594" s="14" t="s">
        <v>4444</v>
      </c>
      <c r="X594" s="14" t="s">
        <v>60</v>
      </c>
    </row>
    <row r="595" spans="1:24" ht="15" x14ac:dyDescent="0.3">
      <c r="A595" s="3">
        <v>3</v>
      </c>
      <c r="B595" s="3" t="s">
        <v>6448</v>
      </c>
      <c r="C595" s="14" t="s">
        <v>0</v>
      </c>
      <c r="D595" s="14" t="s">
        <v>1296</v>
      </c>
      <c r="E595" s="14" t="s">
        <v>4195</v>
      </c>
      <c r="F595" s="14" t="s">
        <v>3569</v>
      </c>
      <c r="G595" s="14" t="s">
        <v>3</v>
      </c>
      <c r="H595" s="14" t="s">
        <v>6449</v>
      </c>
      <c r="I595" s="14" t="s">
        <v>3807</v>
      </c>
      <c r="J595" s="14" t="s">
        <v>60</v>
      </c>
      <c r="K595" s="14" t="s">
        <v>60</v>
      </c>
      <c r="L595" s="14" t="s">
        <v>60</v>
      </c>
      <c r="M595" s="14" t="s">
        <v>3808</v>
      </c>
      <c r="N595" s="14" t="s">
        <v>60</v>
      </c>
      <c r="O595" s="14" t="s">
        <v>60</v>
      </c>
      <c r="P595" s="14" t="s">
        <v>6450</v>
      </c>
      <c r="Q595" s="14" t="s">
        <v>11</v>
      </c>
      <c r="R595" s="3">
        <v>0</v>
      </c>
      <c r="S595" s="3">
        <f t="shared" si="30"/>
        <v>550</v>
      </c>
      <c r="T595" s="3">
        <f t="shared" si="31"/>
        <v>0</v>
      </c>
      <c r="U595" s="3" t="s">
        <v>60</v>
      </c>
      <c r="V595" s="14" t="s">
        <v>6</v>
      </c>
      <c r="W595" s="14" t="s">
        <v>4444</v>
      </c>
      <c r="X595" s="14" t="s">
        <v>60</v>
      </c>
    </row>
    <row r="596" spans="1:24" ht="15" x14ac:dyDescent="0.3">
      <c r="A596" s="3">
        <v>4</v>
      </c>
      <c r="B596" s="3" t="s">
        <v>6451</v>
      </c>
      <c r="C596" s="14" t="s">
        <v>2079</v>
      </c>
      <c r="D596" s="14" t="s">
        <v>3564</v>
      </c>
      <c r="E596" s="14" t="s">
        <v>6452</v>
      </c>
      <c r="F596" s="14" t="s">
        <v>3570</v>
      </c>
      <c r="G596" s="14" t="s">
        <v>3</v>
      </c>
      <c r="H596" s="14" t="s">
        <v>3809</v>
      </c>
      <c r="I596" s="14" t="s">
        <v>3810</v>
      </c>
      <c r="J596" s="14" t="s">
        <v>60</v>
      </c>
      <c r="K596" s="14" t="s">
        <v>60</v>
      </c>
      <c r="L596" s="14" t="s">
        <v>60</v>
      </c>
      <c r="M596" s="14" t="s">
        <v>3811</v>
      </c>
      <c r="N596" s="14" t="s">
        <v>60</v>
      </c>
      <c r="O596" s="14" t="s">
        <v>60</v>
      </c>
      <c r="P596" s="14" t="s">
        <v>6453</v>
      </c>
      <c r="Q596" s="14" t="s">
        <v>11</v>
      </c>
      <c r="R596" s="3">
        <v>0</v>
      </c>
      <c r="S596" s="3">
        <f t="shared" si="30"/>
        <v>640</v>
      </c>
      <c r="T596" s="3">
        <f t="shared" si="31"/>
        <v>0</v>
      </c>
      <c r="U596" s="3" t="s">
        <v>60</v>
      </c>
      <c r="V596" s="14" t="s">
        <v>6</v>
      </c>
      <c r="W596" s="14" t="s">
        <v>4444</v>
      </c>
      <c r="X596" s="14" t="s">
        <v>60</v>
      </c>
    </row>
    <row r="597" spans="1:24" ht="15" x14ac:dyDescent="0.3">
      <c r="A597" s="3">
        <v>5</v>
      </c>
      <c r="B597" s="3" t="s">
        <v>6454</v>
      </c>
      <c r="C597" s="14" t="s">
        <v>0</v>
      </c>
      <c r="D597" s="14" t="s">
        <v>2899</v>
      </c>
      <c r="E597" s="14" t="s">
        <v>6455</v>
      </c>
      <c r="F597" s="14" t="s">
        <v>3571</v>
      </c>
      <c r="G597" s="14" t="s">
        <v>3</v>
      </c>
      <c r="H597" s="14" t="s">
        <v>6456</v>
      </c>
      <c r="I597" s="14" t="s">
        <v>3812</v>
      </c>
      <c r="J597" s="14" t="s">
        <v>60</v>
      </c>
      <c r="K597" s="14" t="s">
        <v>60</v>
      </c>
      <c r="L597" s="14" t="s">
        <v>60</v>
      </c>
      <c r="M597" s="14" t="s">
        <v>3813</v>
      </c>
      <c r="N597" s="14" t="s">
        <v>60</v>
      </c>
      <c r="O597" s="14" t="s">
        <v>60</v>
      </c>
      <c r="P597" s="14" t="s">
        <v>6457</v>
      </c>
      <c r="Q597" s="14" t="s">
        <v>11</v>
      </c>
      <c r="R597" s="3">
        <v>0</v>
      </c>
      <c r="S597" s="3">
        <f t="shared" si="30"/>
        <v>550</v>
      </c>
      <c r="T597" s="3">
        <f t="shared" si="31"/>
        <v>0</v>
      </c>
      <c r="U597" s="3" t="s">
        <v>60</v>
      </c>
      <c r="V597" s="14" t="s">
        <v>6</v>
      </c>
      <c r="W597" s="14" t="s">
        <v>4444</v>
      </c>
      <c r="X597" s="14" t="s">
        <v>60</v>
      </c>
    </row>
    <row r="598" spans="1:24" ht="15" x14ac:dyDescent="0.3">
      <c r="A598" s="3">
        <v>6</v>
      </c>
      <c r="B598" s="3" t="s">
        <v>6458</v>
      </c>
      <c r="C598" s="14" t="s">
        <v>0</v>
      </c>
      <c r="D598" s="14" t="s">
        <v>3565</v>
      </c>
      <c r="E598" s="14" t="s">
        <v>4304</v>
      </c>
      <c r="F598" s="14" t="s">
        <v>3572</v>
      </c>
      <c r="G598" s="14" t="s">
        <v>3</v>
      </c>
      <c r="H598" s="14" t="s">
        <v>6459</v>
      </c>
      <c r="I598" s="14" t="s">
        <v>3814</v>
      </c>
      <c r="J598" s="14" t="s">
        <v>60</v>
      </c>
      <c r="K598" s="14" t="s">
        <v>60</v>
      </c>
      <c r="L598" s="14" t="s">
        <v>60</v>
      </c>
      <c r="M598" s="14" t="s">
        <v>3815</v>
      </c>
      <c r="N598" s="14" t="s">
        <v>60</v>
      </c>
      <c r="O598" s="14" t="s">
        <v>60</v>
      </c>
      <c r="P598" s="14" t="s">
        <v>6460</v>
      </c>
      <c r="Q598" s="14" t="s">
        <v>11</v>
      </c>
      <c r="R598" s="3">
        <v>0</v>
      </c>
      <c r="S598" s="3">
        <f t="shared" si="30"/>
        <v>550</v>
      </c>
      <c r="T598" s="3">
        <f t="shared" si="31"/>
        <v>0</v>
      </c>
      <c r="U598" s="3" t="s">
        <v>60</v>
      </c>
      <c r="V598" s="14" t="s">
        <v>6</v>
      </c>
      <c r="W598" s="14" t="s">
        <v>4444</v>
      </c>
      <c r="X598" s="14" t="s">
        <v>60</v>
      </c>
    </row>
    <row r="599" spans="1:24" ht="15" x14ac:dyDescent="0.3">
      <c r="A599" s="3">
        <v>7</v>
      </c>
      <c r="B599" s="3" t="s">
        <v>6461</v>
      </c>
      <c r="C599" s="14" t="s">
        <v>0</v>
      </c>
      <c r="D599" s="14" t="s">
        <v>3566</v>
      </c>
      <c r="E599" s="14" t="s">
        <v>4304</v>
      </c>
      <c r="F599" s="14" t="s">
        <v>2602</v>
      </c>
      <c r="G599" s="14" t="s">
        <v>3</v>
      </c>
      <c r="H599" s="14" t="s">
        <v>6462</v>
      </c>
      <c r="I599" s="14" t="s">
        <v>3816</v>
      </c>
      <c r="J599" s="14" t="s">
        <v>60</v>
      </c>
      <c r="K599" s="14" t="s">
        <v>60</v>
      </c>
      <c r="L599" s="14" t="s">
        <v>60</v>
      </c>
      <c r="M599" s="14" t="s">
        <v>3817</v>
      </c>
      <c r="N599" s="14" t="s">
        <v>60</v>
      </c>
      <c r="O599" s="14" t="s">
        <v>60</v>
      </c>
      <c r="P599" s="14" t="s">
        <v>6463</v>
      </c>
      <c r="Q599" s="14" t="s">
        <v>11</v>
      </c>
      <c r="R599" s="3">
        <v>0</v>
      </c>
      <c r="S599" s="3">
        <f t="shared" si="30"/>
        <v>550</v>
      </c>
      <c r="T599" s="3">
        <f t="shared" si="31"/>
        <v>0</v>
      </c>
      <c r="U599" s="3" t="s">
        <v>60</v>
      </c>
      <c r="V599" s="14" t="s">
        <v>6</v>
      </c>
      <c r="W599" s="14" t="s">
        <v>4444</v>
      </c>
      <c r="X599" s="14" t="s">
        <v>60</v>
      </c>
    </row>
    <row r="600" spans="1:24" ht="15" x14ac:dyDescent="0.3">
      <c r="A600" s="3">
        <v>8</v>
      </c>
      <c r="B600" s="3" t="s">
        <v>6464</v>
      </c>
      <c r="C600" s="14" t="s">
        <v>390</v>
      </c>
      <c r="D600" s="14" t="s">
        <v>3567</v>
      </c>
      <c r="E600" s="14" t="s">
        <v>4319</v>
      </c>
      <c r="F600" s="14" t="s">
        <v>3573</v>
      </c>
      <c r="G600" s="14" t="s">
        <v>3</v>
      </c>
      <c r="H600" s="14" t="s">
        <v>3818</v>
      </c>
      <c r="I600" s="14" t="s">
        <v>3819</v>
      </c>
      <c r="J600" s="14" t="s">
        <v>60</v>
      </c>
      <c r="K600" s="14" t="s">
        <v>60</v>
      </c>
      <c r="L600" s="14" t="s">
        <v>60</v>
      </c>
      <c r="M600" s="14" t="s">
        <v>3820</v>
      </c>
      <c r="N600" s="14" t="s">
        <v>60</v>
      </c>
      <c r="O600" s="14" t="s">
        <v>60</v>
      </c>
      <c r="P600" s="14" t="s">
        <v>6465</v>
      </c>
      <c r="Q600" s="14" t="s">
        <v>11</v>
      </c>
      <c r="R600" s="3">
        <v>0</v>
      </c>
      <c r="S600" s="3">
        <f t="shared" si="30"/>
        <v>770</v>
      </c>
      <c r="T600" s="3">
        <f t="shared" si="31"/>
        <v>0</v>
      </c>
      <c r="U600" s="3" t="s">
        <v>60</v>
      </c>
      <c r="V600" s="14" t="s">
        <v>6</v>
      </c>
      <c r="W600" s="14" t="s">
        <v>4444</v>
      </c>
      <c r="X600" s="14" t="s">
        <v>60</v>
      </c>
    </row>
    <row r="601" spans="1:24" ht="15" x14ac:dyDescent="0.3">
      <c r="A601" s="3">
        <v>9</v>
      </c>
      <c r="B601" s="3" t="s">
        <v>6466</v>
      </c>
      <c r="C601" s="14" t="s">
        <v>0</v>
      </c>
      <c r="D601" s="14" t="s">
        <v>3979</v>
      </c>
      <c r="E601" s="14" t="s">
        <v>6467</v>
      </c>
      <c r="F601" s="14" t="s">
        <v>3980</v>
      </c>
      <c r="G601" s="14" t="s">
        <v>121</v>
      </c>
      <c r="H601" s="14" t="s">
        <v>3981</v>
      </c>
      <c r="I601" s="14" t="s">
        <v>3985</v>
      </c>
      <c r="J601" s="14" t="s">
        <v>60</v>
      </c>
      <c r="K601" s="14" t="s">
        <v>60</v>
      </c>
      <c r="L601" s="14" t="s">
        <v>60</v>
      </c>
      <c r="M601" s="14" t="s">
        <v>60</v>
      </c>
      <c r="N601" s="14" t="s">
        <v>60</v>
      </c>
      <c r="O601" s="14" t="s">
        <v>3910</v>
      </c>
      <c r="P601" s="14" t="s">
        <v>3986</v>
      </c>
      <c r="Q601" s="14" t="s">
        <v>3982</v>
      </c>
      <c r="R601" s="3">
        <v>0</v>
      </c>
      <c r="S601" s="3">
        <f t="shared" si="30"/>
        <v>550</v>
      </c>
      <c r="T601" s="3">
        <f t="shared" si="31"/>
        <v>0</v>
      </c>
      <c r="U601" s="3" t="s">
        <v>60</v>
      </c>
      <c r="V601" s="14" t="s">
        <v>6</v>
      </c>
      <c r="W601" s="14" t="s">
        <v>6468</v>
      </c>
      <c r="X601" s="14" t="s">
        <v>60</v>
      </c>
    </row>
    <row r="602" spans="1:24" ht="15" x14ac:dyDescent="0.3">
      <c r="A602" s="3">
        <v>10</v>
      </c>
      <c r="B602" s="3" t="s">
        <v>6469</v>
      </c>
      <c r="C602" s="14" t="s">
        <v>0</v>
      </c>
      <c r="D602" s="14" t="s">
        <v>3983</v>
      </c>
      <c r="E602" s="14" t="s">
        <v>6470</v>
      </c>
      <c r="F602" s="14" t="s">
        <v>101</v>
      </c>
      <c r="G602" s="14" t="s">
        <v>3</v>
      </c>
      <c r="H602" s="14" t="s">
        <v>6471</v>
      </c>
      <c r="I602" s="14" t="s">
        <v>3987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3910</v>
      </c>
      <c r="P602" s="14" t="s">
        <v>6472</v>
      </c>
      <c r="Q602" s="14" t="s">
        <v>11</v>
      </c>
      <c r="R602" s="3">
        <v>0</v>
      </c>
      <c r="S602" s="3">
        <f t="shared" si="30"/>
        <v>550</v>
      </c>
      <c r="T602" s="3">
        <f t="shared" si="31"/>
        <v>0</v>
      </c>
      <c r="U602" s="3" t="s">
        <v>60</v>
      </c>
      <c r="V602" s="14" t="s">
        <v>6</v>
      </c>
      <c r="W602" s="14" t="s">
        <v>6473</v>
      </c>
      <c r="X602" s="14" t="s">
        <v>60</v>
      </c>
    </row>
    <row r="603" spans="1:24" ht="15" x14ac:dyDescent="0.3">
      <c r="A603" s="3">
        <v>11</v>
      </c>
      <c r="B603" s="3" t="s">
        <v>6474</v>
      </c>
      <c r="C603" s="14" t="s">
        <v>2079</v>
      </c>
      <c r="D603" s="14" t="s">
        <v>3543</v>
      </c>
      <c r="E603" s="14" t="s">
        <v>5073</v>
      </c>
      <c r="F603" s="14" t="s">
        <v>3552</v>
      </c>
      <c r="G603" s="14" t="s">
        <v>3</v>
      </c>
      <c r="H603" s="14" t="s">
        <v>3790</v>
      </c>
      <c r="I603" s="14" t="s">
        <v>60</v>
      </c>
      <c r="J603" s="14" t="s">
        <v>60</v>
      </c>
      <c r="K603" s="14" t="s">
        <v>60</v>
      </c>
      <c r="L603" s="14" t="s">
        <v>60</v>
      </c>
      <c r="M603" s="14" t="s">
        <v>3791</v>
      </c>
      <c r="N603" s="14" t="s">
        <v>60</v>
      </c>
      <c r="O603" s="14" t="s">
        <v>60</v>
      </c>
      <c r="P603" s="14" t="s">
        <v>6475</v>
      </c>
      <c r="Q603" s="14" t="s">
        <v>389</v>
      </c>
      <c r="R603" s="3">
        <v>0</v>
      </c>
      <c r="S603" s="3">
        <f t="shared" si="30"/>
        <v>640</v>
      </c>
      <c r="T603" s="3">
        <f t="shared" si="31"/>
        <v>0</v>
      </c>
      <c r="U603" s="3" t="s">
        <v>60</v>
      </c>
      <c r="V603" s="14" t="s">
        <v>6</v>
      </c>
      <c r="W603" s="14" t="s">
        <v>6476</v>
      </c>
      <c r="X603" s="14" t="s">
        <v>60</v>
      </c>
    </row>
    <row r="604" spans="1:24" ht="15" x14ac:dyDescent="0.3">
      <c r="A604" s="3">
        <v>12</v>
      </c>
      <c r="B604" s="3" t="s">
        <v>6477</v>
      </c>
      <c r="C604" s="14" t="s">
        <v>0</v>
      </c>
      <c r="D604" s="14" t="s">
        <v>3544</v>
      </c>
      <c r="E604" s="14" t="s">
        <v>4430</v>
      </c>
      <c r="F604" s="14" t="s">
        <v>3553</v>
      </c>
      <c r="G604" s="14" t="s">
        <v>3</v>
      </c>
      <c r="H604" s="14" t="s">
        <v>6478</v>
      </c>
      <c r="I604" s="14" t="s">
        <v>3792</v>
      </c>
      <c r="J604" s="14" t="s">
        <v>60</v>
      </c>
      <c r="K604" s="14" t="s">
        <v>60</v>
      </c>
      <c r="L604" s="14" t="s">
        <v>60</v>
      </c>
      <c r="M604" s="14" t="s">
        <v>3793</v>
      </c>
      <c r="N604" s="14" t="s">
        <v>60</v>
      </c>
      <c r="O604" s="14" t="s">
        <v>60</v>
      </c>
      <c r="P604" s="14" t="s">
        <v>6479</v>
      </c>
      <c r="Q604" s="14" t="s">
        <v>11</v>
      </c>
      <c r="R604" s="3">
        <v>0</v>
      </c>
      <c r="S604" s="3">
        <f t="shared" si="30"/>
        <v>550</v>
      </c>
      <c r="T604" s="3">
        <f t="shared" si="31"/>
        <v>0</v>
      </c>
      <c r="U604" s="3" t="s">
        <v>60</v>
      </c>
      <c r="V604" s="14" t="s">
        <v>6</v>
      </c>
      <c r="W604" s="14" t="s">
        <v>6476</v>
      </c>
      <c r="X604" s="14" t="s">
        <v>60</v>
      </c>
    </row>
    <row r="605" spans="1:24" ht="15" x14ac:dyDescent="0.3">
      <c r="A605" s="3">
        <v>13</v>
      </c>
      <c r="B605" s="3" t="s">
        <v>6480</v>
      </c>
      <c r="C605" s="14" t="s">
        <v>0</v>
      </c>
      <c r="D605" s="14" t="s">
        <v>3545</v>
      </c>
      <c r="E605" s="14" t="s">
        <v>4430</v>
      </c>
      <c r="F605" s="14" t="s">
        <v>3554</v>
      </c>
      <c r="G605" s="14" t="s">
        <v>3</v>
      </c>
      <c r="H605" s="14" t="s">
        <v>6481</v>
      </c>
      <c r="I605" s="14" t="s">
        <v>3794</v>
      </c>
      <c r="J605" s="14" t="s">
        <v>60</v>
      </c>
      <c r="K605" s="14" t="s">
        <v>60</v>
      </c>
      <c r="L605" s="14" t="s">
        <v>60</v>
      </c>
      <c r="M605" s="14" t="s">
        <v>3795</v>
      </c>
      <c r="N605" s="14" t="s">
        <v>60</v>
      </c>
      <c r="O605" s="14" t="s">
        <v>60</v>
      </c>
      <c r="P605" s="14" t="s">
        <v>6482</v>
      </c>
      <c r="Q605" s="14" t="s">
        <v>11</v>
      </c>
      <c r="R605" s="3">
        <v>0</v>
      </c>
      <c r="S605" s="3">
        <f t="shared" si="30"/>
        <v>550</v>
      </c>
      <c r="T605" s="3">
        <f t="shared" si="31"/>
        <v>0</v>
      </c>
      <c r="U605" s="3" t="s">
        <v>60</v>
      </c>
      <c r="V605" s="14" t="s">
        <v>6</v>
      </c>
      <c r="W605" s="14" t="s">
        <v>6476</v>
      </c>
      <c r="X605" s="14" t="s">
        <v>60</v>
      </c>
    </row>
    <row r="606" spans="1:24" ht="15" x14ac:dyDescent="0.3">
      <c r="A606" s="3">
        <v>14</v>
      </c>
      <c r="B606" s="3" t="s">
        <v>6483</v>
      </c>
      <c r="C606" s="14" t="s">
        <v>0</v>
      </c>
      <c r="D606" s="14" t="s">
        <v>3546</v>
      </c>
      <c r="E606" s="14" t="s">
        <v>6484</v>
      </c>
      <c r="F606" s="14" t="s">
        <v>1301</v>
      </c>
      <c r="G606" s="14" t="s">
        <v>3</v>
      </c>
      <c r="H606" s="14" t="s">
        <v>6485</v>
      </c>
      <c r="I606" s="14" t="s">
        <v>3796</v>
      </c>
      <c r="J606" s="14" t="s">
        <v>60</v>
      </c>
      <c r="K606" s="14" t="s">
        <v>60</v>
      </c>
      <c r="L606" s="14" t="s">
        <v>60</v>
      </c>
      <c r="M606" s="14" t="s">
        <v>3797</v>
      </c>
      <c r="N606" s="14" t="s">
        <v>60</v>
      </c>
      <c r="O606" s="14" t="s">
        <v>60</v>
      </c>
      <c r="P606" s="14" t="s">
        <v>6486</v>
      </c>
      <c r="Q606" s="14" t="s">
        <v>11</v>
      </c>
      <c r="R606" s="3">
        <v>0</v>
      </c>
      <c r="S606" s="3">
        <f t="shared" si="30"/>
        <v>550</v>
      </c>
      <c r="T606" s="3">
        <f t="shared" si="31"/>
        <v>0</v>
      </c>
      <c r="U606" s="3" t="s">
        <v>60</v>
      </c>
      <c r="V606" s="14" t="s">
        <v>6</v>
      </c>
      <c r="W606" s="14" t="s">
        <v>6476</v>
      </c>
      <c r="X606" s="14" t="s">
        <v>60</v>
      </c>
    </row>
    <row r="607" spans="1:24" ht="15" x14ac:dyDescent="0.3">
      <c r="A607" s="3">
        <v>15</v>
      </c>
      <c r="B607" s="3" t="s">
        <v>6487</v>
      </c>
      <c r="C607" s="14" t="s">
        <v>0</v>
      </c>
      <c r="D607" s="14" t="s">
        <v>3547</v>
      </c>
      <c r="E607" s="14" t="s">
        <v>5557</v>
      </c>
      <c r="F607" s="14" t="s">
        <v>3555</v>
      </c>
      <c r="G607" s="14" t="s">
        <v>3</v>
      </c>
      <c r="H607" s="14" t="s">
        <v>6488</v>
      </c>
      <c r="I607" s="14" t="s">
        <v>3798</v>
      </c>
      <c r="J607" s="14" t="s">
        <v>60</v>
      </c>
      <c r="K607" s="14" t="s">
        <v>60</v>
      </c>
      <c r="L607" s="14" t="s">
        <v>60</v>
      </c>
      <c r="M607" s="14" t="s">
        <v>60</v>
      </c>
      <c r="N607" s="14" t="s">
        <v>60</v>
      </c>
      <c r="O607" s="14" t="s">
        <v>60</v>
      </c>
      <c r="P607" s="14" t="s">
        <v>6489</v>
      </c>
      <c r="Q607" s="14" t="s">
        <v>11</v>
      </c>
      <c r="R607" s="3">
        <v>0</v>
      </c>
      <c r="S607" s="3">
        <f t="shared" si="30"/>
        <v>550</v>
      </c>
      <c r="T607" s="3">
        <f t="shared" si="31"/>
        <v>0</v>
      </c>
      <c r="U607" s="3" t="s">
        <v>60</v>
      </c>
      <c r="V607" s="14" t="s">
        <v>6</v>
      </c>
      <c r="W607" s="14" t="s">
        <v>6476</v>
      </c>
      <c r="X607" s="14" t="s">
        <v>60</v>
      </c>
    </row>
    <row r="608" spans="1:24" ht="15" x14ac:dyDescent="0.3">
      <c r="A608" s="3">
        <v>16</v>
      </c>
      <c r="B608" s="3" t="s">
        <v>6490</v>
      </c>
      <c r="C608" s="14" t="s">
        <v>0</v>
      </c>
      <c r="D608" s="14" t="s">
        <v>455</v>
      </c>
      <c r="E608" s="14" t="s">
        <v>4895</v>
      </c>
      <c r="F608" s="14" t="s">
        <v>3546</v>
      </c>
      <c r="G608" s="14" t="s">
        <v>3</v>
      </c>
      <c r="H608" s="14" t="s">
        <v>6485</v>
      </c>
      <c r="I608" s="14" t="s">
        <v>3799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6491</v>
      </c>
      <c r="Q608" s="14" t="s">
        <v>11</v>
      </c>
      <c r="R608" s="3">
        <v>0</v>
      </c>
      <c r="S608" s="3">
        <f t="shared" si="30"/>
        <v>550</v>
      </c>
      <c r="T608" s="3">
        <f t="shared" si="31"/>
        <v>0</v>
      </c>
      <c r="U608" s="3" t="s">
        <v>60</v>
      </c>
      <c r="V608" s="14" t="s">
        <v>6</v>
      </c>
      <c r="W608" s="14" t="s">
        <v>6476</v>
      </c>
      <c r="X608" s="14" t="s">
        <v>60</v>
      </c>
    </row>
    <row r="609" spans="1:24" ht="15" x14ac:dyDescent="0.3">
      <c r="A609" s="3">
        <v>17</v>
      </c>
      <c r="B609" s="3" t="s">
        <v>6492</v>
      </c>
      <c r="C609" s="14" t="s">
        <v>0</v>
      </c>
      <c r="D609" s="14" t="s">
        <v>3548</v>
      </c>
      <c r="E609" s="14" t="s">
        <v>5435</v>
      </c>
      <c r="F609" s="14" t="s">
        <v>3556</v>
      </c>
      <c r="G609" s="14" t="s">
        <v>3</v>
      </c>
      <c r="H609" s="14" t="s">
        <v>6493</v>
      </c>
      <c r="I609" s="14" t="s">
        <v>3800</v>
      </c>
      <c r="J609" s="14" t="s">
        <v>60</v>
      </c>
      <c r="K609" s="14" t="s">
        <v>60</v>
      </c>
      <c r="L609" s="14" t="s">
        <v>60</v>
      </c>
      <c r="M609" s="14" t="s">
        <v>3801</v>
      </c>
      <c r="N609" s="14" t="s">
        <v>60</v>
      </c>
      <c r="O609" s="14" t="s">
        <v>60</v>
      </c>
      <c r="P609" s="14" t="s">
        <v>6494</v>
      </c>
      <c r="Q609" s="14" t="s">
        <v>11</v>
      </c>
      <c r="R609" s="3">
        <v>0</v>
      </c>
      <c r="S609" s="3">
        <f t="shared" si="30"/>
        <v>550</v>
      </c>
      <c r="T609" s="3">
        <f t="shared" si="31"/>
        <v>0</v>
      </c>
      <c r="U609" s="3" t="s">
        <v>60</v>
      </c>
      <c r="V609" s="14" t="s">
        <v>6</v>
      </c>
      <c r="W609" s="14" t="s">
        <v>6476</v>
      </c>
      <c r="X609" s="14" t="s">
        <v>60</v>
      </c>
    </row>
    <row r="610" spans="1:24" ht="15" x14ac:dyDescent="0.3">
      <c r="A610" s="3">
        <v>18</v>
      </c>
      <c r="B610" s="3" t="s">
        <v>6495</v>
      </c>
      <c r="C610" s="14" t="s">
        <v>0</v>
      </c>
      <c r="D610" s="14" t="s">
        <v>3549</v>
      </c>
      <c r="E610" s="14" t="s">
        <v>4304</v>
      </c>
      <c r="F610" s="14" t="s">
        <v>3557</v>
      </c>
      <c r="G610" s="14" t="s">
        <v>3</v>
      </c>
      <c r="H610" s="14" t="s">
        <v>6496</v>
      </c>
      <c r="I610" s="14" t="s">
        <v>3802</v>
      </c>
      <c r="J610" s="14" t="s">
        <v>60</v>
      </c>
      <c r="K610" s="14" t="s">
        <v>60</v>
      </c>
      <c r="L610" s="14" t="s">
        <v>60</v>
      </c>
      <c r="M610" s="14" t="s">
        <v>60</v>
      </c>
      <c r="N610" s="14" t="s">
        <v>60</v>
      </c>
      <c r="O610" s="14" t="s">
        <v>60</v>
      </c>
      <c r="P610" s="14" t="s">
        <v>6497</v>
      </c>
      <c r="Q610" s="14" t="s">
        <v>11</v>
      </c>
      <c r="R610" s="3">
        <v>0</v>
      </c>
      <c r="S610" s="3">
        <f t="shared" si="30"/>
        <v>550</v>
      </c>
      <c r="T610" s="3">
        <f t="shared" si="31"/>
        <v>0</v>
      </c>
      <c r="U610" s="3" t="s">
        <v>60</v>
      </c>
      <c r="V610" s="14" t="s">
        <v>6</v>
      </c>
      <c r="W610" s="14" t="s">
        <v>6476</v>
      </c>
      <c r="X610" s="14" t="s">
        <v>60</v>
      </c>
    </row>
    <row r="611" spans="1:24" ht="15" x14ac:dyDescent="0.3">
      <c r="A611" s="3">
        <v>19</v>
      </c>
      <c r="B611" s="3" t="s">
        <v>6498</v>
      </c>
      <c r="C611" s="14" t="s">
        <v>0</v>
      </c>
      <c r="D611" s="14" t="s">
        <v>3550</v>
      </c>
      <c r="E611" s="14" t="s">
        <v>4304</v>
      </c>
      <c r="F611" s="14" t="s">
        <v>3558</v>
      </c>
      <c r="G611" s="14" t="s">
        <v>3</v>
      </c>
      <c r="H611" s="14" t="s">
        <v>6499</v>
      </c>
      <c r="I611" s="14" t="s">
        <v>3803</v>
      </c>
      <c r="J611" s="14" t="s">
        <v>60</v>
      </c>
      <c r="K611" s="14" t="s">
        <v>60</v>
      </c>
      <c r="L611" s="14" t="s">
        <v>60</v>
      </c>
      <c r="M611" s="14" t="s">
        <v>60</v>
      </c>
      <c r="N611" s="14" t="s">
        <v>60</v>
      </c>
      <c r="O611" s="14" t="s">
        <v>60</v>
      </c>
      <c r="P611" s="14" t="s">
        <v>6500</v>
      </c>
      <c r="Q611" s="14" t="s">
        <v>11</v>
      </c>
      <c r="R611" s="3">
        <v>0</v>
      </c>
      <c r="S611" s="3">
        <f t="shared" si="30"/>
        <v>550</v>
      </c>
      <c r="T611" s="3">
        <f t="shared" si="31"/>
        <v>0</v>
      </c>
      <c r="U611" s="3" t="s">
        <v>60</v>
      </c>
      <c r="V611" s="14" t="s">
        <v>6</v>
      </c>
      <c r="W611" s="14" t="s">
        <v>6476</v>
      </c>
      <c r="X611" s="14" t="s">
        <v>60</v>
      </c>
    </row>
    <row r="612" spans="1:24" ht="15" x14ac:dyDescent="0.3">
      <c r="A612" s="3">
        <v>20</v>
      </c>
      <c r="B612" s="3" t="s">
        <v>6501</v>
      </c>
      <c r="C612" s="14" t="s">
        <v>0</v>
      </c>
      <c r="D612" s="14" t="s">
        <v>3551</v>
      </c>
      <c r="E612" s="14" t="s">
        <v>4304</v>
      </c>
      <c r="F612" s="14" t="s">
        <v>1619</v>
      </c>
      <c r="G612" s="14" t="s">
        <v>3</v>
      </c>
      <c r="H612" s="14" t="s">
        <v>6502</v>
      </c>
      <c r="I612" s="14" t="s">
        <v>3800</v>
      </c>
      <c r="J612" s="14" t="s">
        <v>60</v>
      </c>
      <c r="K612" s="14" t="s">
        <v>60</v>
      </c>
      <c r="L612" s="14" t="s">
        <v>60</v>
      </c>
      <c r="M612" s="14" t="s">
        <v>60</v>
      </c>
      <c r="N612" s="14" t="s">
        <v>60</v>
      </c>
      <c r="O612" s="14" t="s">
        <v>60</v>
      </c>
      <c r="P612" s="14" t="s">
        <v>6503</v>
      </c>
      <c r="Q612" s="14" t="s">
        <v>11</v>
      </c>
      <c r="R612" s="3">
        <v>0</v>
      </c>
      <c r="S612" s="3">
        <f t="shared" si="30"/>
        <v>550</v>
      </c>
      <c r="T612" s="3">
        <f t="shared" si="31"/>
        <v>0</v>
      </c>
      <c r="U612" s="3" t="s">
        <v>6504</v>
      </c>
      <c r="V612" s="14" t="s">
        <v>6</v>
      </c>
      <c r="W612" s="14" t="s">
        <v>6476</v>
      </c>
      <c r="X612" s="14" t="s">
        <v>60</v>
      </c>
    </row>
    <row r="613" spans="1:24" ht="15" x14ac:dyDescent="0.3">
      <c r="A613" s="3">
        <v>21</v>
      </c>
      <c r="B613" s="3" t="s">
        <v>6505</v>
      </c>
      <c r="C613" s="14" t="s">
        <v>3452</v>
      </c>
      <c r="D613" s="14" t="s">
        <v>1583</v>
      </c>
      <c r="E613" s="14" t="s">
        <v>6506</v>
      </c>
      <c r="F613" s="14" t="s">
        <v>1584</v>
      </c>
      <c r="G613" s="14" t="s">
        <v>3</v>
      </c>
      <c r="H613" s="14" t="s">
        <v>1585</v>
      </c>
      <c r="I613" s="14" t="s">
        <v>1586</v>
      </c>
      <c r="J613" s="14" t="s">
        <v>60</v>
      </c>
      <c r="K613" s="14" t="s">
        <v>60</v>
      </c>
      <c r="L613" s="14" t="s">
        <v>60</v>
      </c>
      <c r="M613" s="14" t="s">
        <v>1587</v>
      </c>
      <c r="N613" s="14" t="s">
        <v>60</v>
      </c>
      <c r="O613" s="14" t="s">
        <v>193</v>
      </c>
      <c r="P613" s="14" t="s">
        <v>6507</v>
      </c>
      <c r="Q613" s="14" t="s">
        <v>175</v>
      </c>
      <c r="R613" s="3">
        <v>0</v>
      </c>
      <c r="S613" s="3">
        <f t="shared" si="30"/>
        <v>770</v>
      </c>
      <c r="T613" s="3">
        <f t="shared" si="31"/>
        <v>0</v>
      </c>
      <c r="U613" s="3" t="s">
        <v>60</v>
      </c>
      <c r="V613" s="14" t="s">
        <v>6</v>
      </c>
      <c r="W613" s="14" t="s">
        <v>4287</v>
      </c>
      <c r="X613" s="14" t="s">
        <v>60</v>
      </c>
    </row>
    <row r="614" spans="1:24" ht="15" x14ac:dyDescent="0.3">
      <c r="A614" s="3">
        <v>22</v>
      </c>
      <c r="B614" s="3" t="s">
        <v>6508</v>
      </c>
      <c r="C614" s="14" t="s">
        <v>69</v>
      </c>
      <c r="D614" s="14" t="s">
        <v>1332</v>
      </c>
      <c r="E614" s="14" t="s">
        <v>6509</v>
      </c>
      <c r="F614" s="14" t="s">
        <v>1333</v>
      </c>
      <c r="G614" s="14" t="s">
        <v>3</v>
      </c>
      <c r="H614" s="14" t="s">
        <v>6510</v>
      </c>
      <c r="I614" s="14" t="s">
        <v>1334</v>
      </c>
      <c r="J614" s="14" t="s">
        <v>228</v>
      </c>
      <c r="K614" s="14" t="s">
        <v>1152</v>
      </c>
      <c r="L614" s="14" t="s">
        <v>60</v>
      </c>
      <c r="M614" s="14" t="s">
        <v>1335</v>
      </c>
      <c r="N614" s="14" t="s">
        <v>60</v>
      </c>
      <c r="O614" s="14" t="s">
        <v>193</v>
      </c>
      <c r="P614" s="14" t="s">
        <v>6511</v>
      </c>
      <c r="Q614" s="14" t="s">
        <v>11</v>
      </c>
      <c r="R614" s="3">
        <v>0</v>
      </c>
      <c r="S614" s="3">
        <f t="shared" si="30"/>
        <v>570</v>
      </c>
      <c r="T614" s="3">
        <f t="shared" si="31"/>
        <v>0</v>
      </c>
      <c r="U614" s="3" t="s">
        <v>60</v>
      </c>
      <c r="V614" s="14" t="s">
        <v>6</v>
      </c>
      <c r="W614" s="14" t="s">
        <v>6349</v>
      </c>
      <c r="X614" s="14" t="s">
        <v>60</v>
      </c>
    </row>
    <row r="615" spans="1:24" ht="15" x14ac:dyDescent="0.3">
      <c r="A615" s="3">
        <v>23</v>
      </c>
      <c r="B615" s="3" t="s">
        <v>6512</v>
      </c>
      <c r="C615" s="14" t="s">
        <v>5012</v>
      </c>
      <c r="D615" s="14" t="s">
        <v>101</v>
      </c>
      <c r="E615" s="14" t="s">
        <v>6513</v>
      </c>
      <c r="F615" s="14" t="s">
        <v>1379</v>
      </c>
      <c r="G615" s="14" t="s">
        <v>3</v>
      </c>
      <c r="H615" s="14" t="s">
        <v>1420</v>
      </c>
      <c r="I615" s="14" t="s">
        <v>1421</v>
      </c>
      <c r="J615" s="14" t="s">
        <v>60</v>
      </c>
      <c r="K615" s="14" t="s">
        <v>60</v>
      </c>
      <c r="L615" s="14" t="s">
        <v>60</v>
      </c>
      <c r="M615" s="14" t="s">
        <v>60</v>
      </c>
      <c r="N615" s="14" t="s">
        <v>60</v>
      </c>
      <c r="O615" s="14" t="s">
        <v>454</v>
      </c>
      <c r="P615" s="14" t="s">
        <v>6514</v>
      </c>
      <c r="Q615" s="14" t="s">
        <v>1153</v>
      </c>
      <c r="R615" s="3">
        <v>0</v>
      </c>
      <c r="S615" s="3">
        <f t="shared" si="30"/>
        <v>570</v>
      </c>
      <c r="T615" s="3">
        <f t="shared" si="31"/>
        <v>0</v>
      </c>
      <c r="U615" s="3" t="s">
        <v>60</v>
      </c>
      <c r="V615" s="14" t="s">
        <v>6</v>
      </c>
      <c r="W615" s="14" t="s">
        <v>6379</v>
      </c>
      <c r="X615" s="14" t="s">
        <v>60</v>
      </c>
    </row>
    <row r="616" spans="1:24" ht="15" x14ac:dyDescent="0.3">
      <c r="A616" s="3">
        <v>24</v>
      </c>
      <c r="B616" s="3" t="s">
        <v>6515</v>
      </c>
      <c r="C616" s="14" t="s">
        <v>0</v>
      </c>
      <c r="D616" s="14" t="s">
        <v>1365</v>
      </c>
      <c r="E616" s="14" t="s">
        <v>6516</v>
      </c>
      <c r="F616" s="14" t="s">
        <v>1366</v>
      </c>
      <c r="G616" s="14" t="s">
        <v>3</v>
      </c>
      <c r="H616" s="14" t="s">
        <v>6517</v>
      </c>
      <c r="I616" s="14" t="s">
        <v>1367</v>
      </c>
      <c r="J616" s="14" t="s">
        <v>60</v>
      </c>
      <c r="K616" s="14" t="s">
        <v>60</v>
      </c>
      <c r="L616" s="14" t="s">
        <v>60</v>
      </c>
      <c r="M616" s="14" t="s">
        <v>6518</v>
      </c>
      <c r="N616" s="14" t="s">
        <v>60</v>
      </c>
      <c r="O616" s="14" t="s">
        <v>193</v>
      </c>
      <c r="P616" s="14" t="s">
        <v>6519</v>
      </c>
      <c r="Q616" s="14" t="s">
        <v>11</v>
      </c>
      <c r="R616" s="3">
        <v>0</v>
      </c>
      <c r="S616" s="3">
        <f t="shared" si="30"/>
        <v>550</v>
      </c>
      <c r="T616" s="3">
        <f t="shared" si="31"/>
        <v>0</v>
      </c>
      <c r="U616" s="3" t="s">
        <v>60</v>
      </c>
      <c r="V616" s="14" t="s">
        <v>6</v>
      </c>
      <c r="W616" s="14" t="s">
        <v>6349</v>
      </c>
      <c r="X616" s="14" t="s">
        <v>60</v>
      </c>
    </row>
    <row r="617" spans="1:24" ht="15" x14ac:dyDescent="0.3">
      <c r="A617" s="3">
        <v>25</v>
      </c>
      <c r="B617" s="3" t="s">
        <v>6520</v>
      </c>
      <c r="C617" s="14" t="s">
        <v>0</v>
      </c>
      <c r="D617" s="14" t="s">
        <v>1368</v>
      </c>
      <c r="E617" s="14" t="s">
        <v>6521</v>
      </c>
      <c r="F617" s="14" t="s">
        <v>1369</v>
      </c>
      <c r="G617" s="14" t="s">
        <v>3</v>
      </c>
      <c r="H617" s="14" t="s">
        <v>6522</v>
      </c>
      <c r="I617" s="14" t="s">
        <v>1370</v>
      </c>
      <c r="J617" s="14" t="s">
        <v>1183</v>
      </c>
      <c r="K617" s="14" t="s">
        <v>60</v>
      </c>
      <c r="L617" s="14" t="s">
        <v>60</v>
      </c>
      <c r="M617" s="14" t="s">
        <v>6523</v>
      </c>
      <c r="N617" s="14" t="s">
        <v>60</v>
      </c>
      <c r="O617" s="14" t="s">
        <v>6524</v>
      </c>
      <c r="P617" s="14" t="s">
        <v>6525</v>
      </c>
      <c r="Q617" s="14" t="s">
        <v>11</v>
      </c>
      <c r="R617" s="3">
        <v>0</v>
      </c>
      <c r="S617" s="3">
        <f t="shared" si="30"/>
        <v>550</v>
      </c>
      <c r="T617" s="3">
        <f t="shared" si="31"/>
        <v>0</v>
      </c>
      <c r="U617" s="3" t="s">
        <v>60</v>
      </c>
      <c r="V617" s="14" t="s">
        <v>6</v>
      </c>
      <c r="W617" s="14" t="s">
        <v>6349</v>
      </c>
      <c r="X617" s="14" t="s">
        <v>60</v>
      </c>
    </row>
    <row r="618" spans="1:24" ht="15" x14ac:dyDescent="0.3">
      <c r="A618" s="3">
        <v>26</v>
      </c>
      <c r="B618" s="3" t="s">
        <v>6526</v>
      </c>
      <c r="C618" s="14" t="s">
        <v>0</v>
      </c>
      <c r="D618" s="14" t="s">
        <v>1371</v>
      </c>
      <c r="E618" s="14" t="s">
        <v>6527</v>
      </c>
      <c r="F618" s="14" t="s">
        <v>1372</v>
      </c>
      <c r="G618" s="14" t="s">
        <v>3</v>
      </c>
      <c r="H618" s="14" t="s">
        <v>6528</v>
      </c>
      <c r="I618" s="14" t="s">
        <v>1373</v>
      </c>
      <c r="J618" s="14" t="s">
        <v>60</v>
      </c>
      <c r="K618" s="14" t="s">
        <v>60</v>
      </c>
      <c r="L618" s="14" t="s">
        <v>60</v>
      </c>
      <c r="M618" s="14" t="s">
        <v>1374</v>
      </c>
      <c r="N618" s="14" t="s">
        <v>60</v>
      </c>
      <c r="O618" s="14" t="s">
        <v>6529</v>
      </c>
      <c r="P618" s="14" t="s">
        <v>6530</v>
      </c>
      <c r="Q618" s="14" t="s">
        <v>1153</v>
      </c>
      <c r="R618" s="3">
        <v>0</v>
      </c>
      <c r="S618" s="3">
        <f t="shared" si="30"/>
        <v>550</v>
      </c>
      <c r="T618" s="3">
        <f t="shared" si="31"/>
        <v>0</v>
      </c>
      <c r="U618" s="3" t="s">
        <v>60</v>
      </c>
      <c r="V618" s="14" t="s">
        <v>6</v>
      </c>
      <c r="W618" s="14" t="s">
        <v>6349</v>
      </c>
      <c r="X618" s="14" t="s">
        <v>60</v>
      </c>
    </row>
    <row r="619" spans="1:24" ht="15" x14ac:dyDescent="0.3">
      <c r="A619" s="3">
        <v>27</v>
      </c>
      <c r="B619" s="3" t="s">
        <v>6531</v>
      </c>
      <c r="C619" s="14" t="s">
        <v>0</v>
      </c>
      <c r="D619" s="14" t="s">
        <v>1375</v>
      </c>
      <c r="E619" s="14" t="s">
        <v>6532</v>
      </c>
      <c r="F619" s="14" t="s">
        <v>1376</v>
      </c>
      <c r="G619" s="14" t="s">
        <v>3</v>
      </c>
      <c r="H619" s="14" t="s">
        <v>6533</v>
      </c>
      <c r="I619" s="14" t="s">
        <v>1377</v>
      </c>
      <c r="J619" s="14" t="s">
        <v>60</v>
      </c>
      <c r="K619" s="14" t="s">
        <v>60</v>
      </c>
      <c r="L619" s="14" t="s">
        <v>60</v>
      </c>
      <c r="M619" s="14" t="s">
        <v>6534</v>
      </c>
      <c r="N619" s="14" t="s">
        <v>60</v>
      </c>
      <c r="O619" s="14" t="s">
        <v>6535</v>
      </c>
      <c r="P619" s="14" t="s">
        <v>6536</v>
      </c>
      <c r="Q619" s="14" t="s">
        <v>1153</v>
      </c>
      <c r="R619" s="3">
        <v>0</v>
      </c>
      <c r="S619" s="3">
        <f t="shared" si="30"/>
        <v>550</v>
      </c>
      <c r="T619" s="3">
        <f t="shared" si="31"/>
        <v>0</v>
      </c>
      <c r="U619" s="3" t="s">
        <v>60</v>
      </c>
      <c r="V619" s="14" t="s">
        <v>6</v>
      </c>
      <c r="W619" s="14" t="s">
        <v>6349</v>
      </c>
      <c r="X619" s="14" t="s">
        <v>60</v>
      </c>
    </row>
    <row r="620" spans="1:24" ht="15" x14ac:dyDescent="0.3">
      <c r="A620" s="3">
        <v>28</v>
      </c>
      <c r="B620" s="3" t="s">
        <v>6537</v>
      </c>
      <c r="C620" s="14" t="s">
        <v>0</v>
      </c>
      <c r="D620" s="14" t="s">
        <v>1378</v>
      </c>
      <c r="E620" s="14" t="s">
        <v>6538</v>
      </c>
      <c r="F620" s="14" t="s">
        <v>1379</v>
      </c>
      <c r="G620" s="14" t="s">
        <v>3</v>
      </c>
      <c r="H620" s="14" t="s">
        <v>6539</v>
      </c>
      <c r="I620" s="14" t="s">
        <v>1380</v>
      </c>
      <c r="J620" s="14" t="s">
        <v>228</v>
      </c>
      <c r="K620" s="14" t="s">
        <v>1152</v>
      </c>
      <c r="L620" s="14" t="s">
        <v>60</v>
      </c>
      <c r="M620" s="14" t="s">
        <v>6540</v>
      </c>
      <c r="N620" s="14" t="s">
        <v>60</v>
      </c>
      <c r="O620" s="14" t="s">
        <v>193</v>
      </c>
      <c r="P620" s="14" t="s">
        <v>6541</v>
      </c>
      <c r="Q620" s="14" t="s">
        <v>11</v>
      </c>
      <c r="R620" s="3">
        <v>0</v>
      </c>
      <c r="S620" s="3">
        <f t="shared" si="30"/>
        <v>550</v>
      </c>
      <c r="T620" s="3">
        <f t="shared" si="31"/>
        <v>0</v>
      </c>
      <c r="U620" s="3" t="s">
        <v>60</v>
      </c>
      <c r="V620" s="14" t="s">
        <v>6</v>
      </c>
      <c r="W620" s="14" t="s">
        <v>6349</v>
      </c>
      <c r="X620" s="14" t="s">
        <v>60</v>
      </c>
    </row>
    <row r="621" spans="1:24" ht="15" x14ac:dyDescent="0.3">
      <c r="A621" s="3">
        <v>29</v>
      </c>
      <c r="B621" s="3" t="s">
        <v>6542</v>
      </c>
      <c r="C621" s="14" t="s">
        <v>0</v>
      </c>
      <c r="D621" s="14" t="s">
        <v>1381</v>
      </c>
      <c r="E621" s="14" t="s">
        <v>6543</v>
      </c>
      <c r="F621" s="14" t="s">
        <v>1382</v>
      </c>
      <c r="G621" s="14" t="s">
        <v>3</v>
      </c>
      <c r="H621" s="14" t="s">
        <v>6544</v>
      </c>
      <c r="I621" s="14" t="s">
        <v>1383</v>
      </c>
      <c r="J621" s="14" t="s">
        <v>228</v>
      </c>
      <c r="K621" s="14" t="s">
        <v>1152</v>
      </c>
      <c r="L621" s="14" t="s">
        <v>60</v>
      </c>
      <c r="M621" s="14" t="s">
        <v>1384</v>
      </c>
      <c r="N621" s="14" t="s">
        <v>60</v>
      </c>
      <c r="O621" s="14" t="s">
        <v>193</v>
      </c>
      <c r="P621" s="14" t="s">
        <v>6545</v>
      </c>
      <c r="Q621" s="14" t="s">
        <v>11</v>
      </c>
      <c r="R621" s="3">
        <v>0</v>
      </c>
      <c r="S621" s="3">
        <f t="shared" si="30"/>
        <v>550</v>
      </c>
      <c r="T621" s="3">
        <f t="shared" si="31"/>
        <v>0</v>
      </c>
      <c r="U621" s="3" t="s">
        <v>60</v>
      </c>
      <c r="V621" s="14" t="s">
        <v>6</v>
      </c>
      <c r="W621" s="14" t="s">
        <v>6349</v>
      </c>
      <c r="X621" s="14" t="s">
        <v>60</v>
      </c>
    </row>
    <row r="622" spans="1:24" ht="15" x14ac:dyDescent="0.3">
      <c r="A622" s="3">
        <v>30</v>
      </c>
      <c r="B622" s="3" t="s">
        <v>6546</v>
      </c>
      <c r="C622" s="14" t="s">
        <v>0</v>
      </c>
      <c r="D622" s="14" t="s">
        <v>1385</v>
      </c>
      <c r="E622" s="14" t="s">
        <v>6547</v>
      </c>
      <c r="F622" s="14" t="s">
        <v>1386</v>
      </c>
      <c r="G622" s="14" t="s">
        <v>3</v>
      </c>
      <c r="H622" s="14" t="s">
        <v>6548</v>
      </c>
      <c r="I622" s="14" t="s">
        <v>1387</v>
      </c>
      <c r="J622" s="14" t="s">
        <v>60</v>
      </c>
      <c r="K622" s="14" t="s">
        <v>1152</v>
      </c>
      <c r="L622" s="14" t="s">
        <v>60</v>
      </c>
      <c r="M622" s="14" t="s">
        <v>6549</v>
      </c>
      <c r="N622" s="14" t="s">
        <v>60</v>
      </c>
      <c r="O622" s="14" t="s">
        <v>6524</v>
      </c>
      <c r="P622" s="14" t="s">
        <v>6550</v>
      </c>
      <c r="Q622" s="14" t="s">
        <v>1153</v>
      </c>
      <c r="R622" s="3">
        <v>0</v>
      </c>
      <c r="S622" s="3">
        <f t="shared" si="30"/>
        <v>550</v>
      </c>
      <c r="T622" s="3">
        <f t="shared" si="31"/>
        <v>0</v>
      </c>
      <c r="U622" s="3" t="s">
        <v>60</v>
      </c>
      <c r="V622" s="14" t="s">
        <v>6</v>
      </c>
      <c r="W622" s="14" t="s">
        <v>6349</v>
      </c>
      <c r="X622" s="14" t="s">
        <v>60</v>
      </c>
    </row>
    <row r="623" spans="1:24" ht="15" x14ac:dyDescent="0.3">
      <c r="A623" s="3">
        <v>31</v>
      </c>
      <c r="B623" s="3" t="s">
        <v>6551</v>
      </c>
      <c r="C623" s="14" t="s">
        <v>2079</v>
      </c>
      <c r="D623" s="14" t="s">
        <v>1388</v>
      </c>
      <c r="E623" s="14" t="s">
        <v>6552</v>
      </c>
      <c r="F623" s="14" t="s">
        <v>1389</v>
      </c>
      <c r="G623" s="14" t="s">
        <v>3</v>
      </c>
      <c r="H623" s="14" t="s">
        <v>1390</v>
      </c>
      <c r="I623" s="14" t="s">
        <v>1391</v>
      </c>
      <c r="J623" s="14" t="s">
        <v>60</v>
      </c>
      <c r="K623" s="14" t="s">
        <v>60</v>
      </c>
      <c r="L623" s="14" t="s">
        <v>60</v>
      </c>
      <c r="M623" s="14" t="s">
        <v>6553</v>
      </c>
      <c r="N623" s="14" t="s">
        <v>60</v>
      </c>
      <c r="O623" s="14" t="s">
        <v>6554</v>
      </c>
      <c r="P623" s="14" t="s">
        <v>6555</v>
      </c>
      <c r="Q623" s="14" t="s">
        <v>1153</v>
      </c>
      <c r="R623" s="3">
        <v>0</v>
      </c>
      <c r="S623" s="3">
        <f t="shared" si="30"/>
        <v>640</v>
      </c>
      <c r="T623" s="3">
        <f t="shared" si="31"/>
        <v>0</v>
      </c>
      <c r="U623" s="3" t="s">
        <v>60</v>
      </c>
      <c r="V623" s="14" t="s">
        <v>6</v>
      </c>
      <c r="W623" s="14" t="s">
        <v>6349</v>
      </c>
      <c r="X623" s="14" t="s">
        <v>60</v>
      </c>
    </row>
    <row r="624" spans="1:24" ht="15" x14ac:dyDescent="0.3">
      <c r="A624" s="3">
        <v>32</v>
      </c>
      <c r="B624" s="3" t="s">
        <v>6556</v>
      </c>
      <c r="C624" s="14" t="s">
        <v>0</v>
      </c>
      <c r="D624" s="14" t="s">
        <v>1392</v>
      </c>
      <c r="E624" s="14" t="s">
        <v>6557</v>
      </c>
      <c r="F624" s="14" t="s">
        <v>1393</v>
      </c>
      <c r="G624" s="14" t="s">
        <v>3</v>
      </c>
      <c r="H624" s="14" t="s">
        <v>6558</v>
      </c>
      <c r="I624" s="14" t="s">
        <v>1394</v>
      </c>
      <c r="J624" s="14" t="s">
        <v>228</v>
      </c>
      <c r="K624" s="14" t="s">
        <v>60</v>
      </c>
      <c r="L624" s="14" t="s">
        <v>60</v>
      </c>
      <c r="M624" s="14" t="s">
        <v>6559</v>
      </c>
      <c r="N624" s="14" t="s">
        <v>60</v>
      </c>
      <c r="O624" s="14" t="s">
        <v>193</v>
      </c>
      <c r="P624" s="14" t="s">
        <v>6560</v>
      </c>
      <c r="Q624" s="14" t="s">
        <v>11</v>
      </c>
      <c r="R624" s="3">
        <v>0</v>
      </c>
      <c r="S624" s="3">
        <f t="shared" si="30"/>
        <v>550</v>
      </c>
      <c r="T624" s="3">
        <f t="shared" si="31"/>
        <v>0</v>
      </c>
      <c r="U624" s="3" t="s">
        <v>60</v>
      </c>
      <c r="V624" s="14" t="s">
        <v>6</v>
      </c>
      <c r="W624" s="14" t="s">
        <v>6349</v>
      </c>
      <c r="X624" s="14" t="s">
        <v>60</v>
      </c>
    </row>
    <row r="625" spans="1:24" ht="15" x14ac:dyDescent="0.3">
      <c r="A625" s="3">
        <v>33</v>
      </c>
      <c r="B625" s="3" t="s">
        <v>6561</v>
      </c>
      <c r="C625" s="14" t="s">
        <v>0</v>
      </c>
      <c r="D625" s="14" t="s">
        <v>1375</v>
      </c>
      <c r="E625" s="14" t="s">
        <v>6562</v>
      </c>
      <c r="F625" s="14" t="s">
        <v>1398</v>
      </c>
      <c r="G625" s="14" t="s">
        <v>3</v>
      </c>
      <c r="H625" s="14" t="s">
        <v>6563</v>
      </c>
      <c r="I625" s="14" t="s">
        <v>1399</v>
      </c>
      <c r="J625" s="14" t="s">
        <v>60</v>
      </c>
      <c r="K625" s="14" t="s">
        <v>60</v>
      </c>
      <c r="L625" s="14" t="s">
        <v>60</v>
      </c>
      <c r="M625" s="14" t="s">
        <v>1400</v>
      </c>
      <c r="N625" s="14" t="s">
        <v>60</v>
      </c>
      <c r="O625" s="14" t="s">
        <v>193</v>
      </c>
      <c r="P625" s="14" t="s">
        <v>6564</v>
      </c>
      <c r="Q625" s="14" t="s">
        <v>11</v>
      </c>
      <c r="R625" s="3">
        <v>0</v>
      </c>
      <c r="S625" s="3">
        <f t="shared" si="30"/>
        <v>550</v>
      </c>
      <c r="T625" s="3">
        <f t="shared" si="31"/>
        <v>0</v>
      </c>
      <c r="U625" s="3" t="s">
        <v>60</v>
      </c>
      <c r="V625" s="14" t="s">
        <v>6</v>
      </c>
      <c r="W625" s="14" t="s">
        <v>6349</v>
      </c>
      <c r="X625" s="14" t="s">
        <v>60</v>
      </c>
    </row>
    <row r="626" spans="1:24" ht="15" x14ac:dyDescent="0.3">
      <c r="A626" s="3">
        <v>34</v>
      </c>
      <c r="B626" s="3" t="s">
        <v>6565</v>
      </c>
      <c r="C626" s="14" t="s">
        <v>0</v>
      </c>
      <c r="D626" s="14" t="s">
        <v>1401</v>
      </c>
      <c r="E626" s="14" t="s">
        <v>6566</v>
      </c>
      <c r="F626" s="14" t="s">
        <v>1154</v>
      </c>
      <c r="G626" s="14" t="s">
        <v>3</v>
      </c>
      <c r="H626" s="14" t="s">
        <v>6567</v>
      </c>
      <c r="I626" s="14" t="s">
        <v>1402</v>
      </c>
      <c r="J626" s="14" t="s">
        <v>60</v>
      </c>
      <c r="K626" s="14" t="s">
        <v>60</v>
      </c>
      <c r="L626" s="14" t="s">
        <v>60</v>
      </c>
      <c r="M626" s="14" t="s">
        <v>60</v>
      </c>
      <c r="N626" s="14" t="s">
        <v>60</v>
      </c>
      <c r="O626" s="14" t="s">
        <v>1403</v>
      </c>
      <c r="P626" s="14" t="s">
        <v>6568</v>
      </c>
      <c r="Q626" s="14" t="s">
        <v>11</v>
      </c>
      <c r="R626" s="3">
        <v>0</v>
      </c>
      <c r="S626" s="3">
        <f t="shared" si="30"/>
        <v>550</v>
      </c>
      <c r="T626" s="3">
        <f t="shared" si="31"/>
        <v>0</v>
      </c>
      <c r="U626" s="3" t="s">
        <v>60</v>
      </c>
      <c r="V626" s="14" t="s">
        <v>6</v>
      </c>
      <c r="W626" s="14" t="s">
        <v>6569</v>
      </c>
      <c r="X626" s="14" t="s">
        <v>60</v>
      </c>
    </row>
    <row r="627" spans="1:24" ht="15" x14ac:dyDescent="0.3">
      <c r="A627" s="3">
        <v>35</v>
      </c>
      <c r="B627" s="3" t="s">
        <v>6570</v>
      </c>
      <c r="C627" s="14" t="s">
        <v>0</v>
      </c>
      <c r="D627" s="14" t="s">
        <v>1404</v>
      </c>
      <c r="E627" s="14" t="s">
        <v>1405</v>
      </c>
      <c r="F627" s="14" t="s">
        <v>1406</v>
      </c>
      <c r="G627" s="14" t="s">
        <v>3</v>
      </c>
      <c r="H627" s="14" t="s">
        <v>6571</v>
      </c>
      <c r="I627" s="14" t="s">
        <v>1407</v>
      </c>
      <c r="J627" s="14" t="s">
        <v>60</v>
      </c>
      <c r="K627" s="14" t="s">
        <v>60</v>
      </c>
      <c r="L627" s="14" t="s">
        <v>60</v>
      </c>
      <c r="M627" s="14" t="s">
        <v>1408</v>
      </c>
      <c r="N627" s="14" t="s">
        <v>60</v>
      </c>
      <c r="O627" s="14" t="s">
        <v>1403</v>
      </c>
      <c r="P627" s="14" t="s">
        <v>6572</v>
      </c>
      <c r="Q627" s="14" t="s">
        <v>11</v>
      </c>
      <c r="R627" s="3">
        <v>0</v>
      </c>
      <c r="S627" s="3">
        <f t="shared" si="30"/>
        <v>550</v>
      </c>
      <c r="T627" s="3">
        <f t="shared" si="31"/>
        <v>0</v>
      </c>
      <c r="U627" s="3" t="s">
        <v>60</v>
      </c>
      <c r="V627" s="14" t="s">
        <v>6</v>
      </c>
      <c r="W627" s="14" t="s">
        <v>6569</v>
      </c>
      <c r="X627" s="14" t="s">
        <v>60</v>
      </c>
    </row>
    <row r="628" spans="1:24" ht="15" x14ac:dyDescent="0.3">
      <c r="A628" s="3">
        <v>36</v>
      </c>
      <c r="B628" s="3" t="s">
        <v>6573</v>
      </c>
      <c r="C628" s="14" t="s">
        <v>0</v>
      </c>
      <c r="D628" s="14" t="s">
        <v>1409</v>
      </c>
      <c r="E628" s="14" t="s">
        <v>6574</v>
      </c>
      <c r="F628" s="14" t="s">
        <v>1410</v>
      </c>
      <c r="G628" s="14" t="s">
        <v>3</v>
      </c>
      <c r="H628" s="14" t="s">
        <v>6575</v>
      </c>
      <c r="I628" s="14" t="s">
        <v>1411</v>
      </c>
      <c r="J628" s="14" t="s">
        <v>60</v>
      </c>
      <c r="K628" s="14" t="s">
        <v>60</v>
      </c>
      <c r="L628" s="14" t="s">
        <v>60</v>
      </c>
      <c r="M628" s="14" t="s">
        <v>1412</v>
      </c>
      <c r="N628" s="14" t="s">
        <v>60</v>
      </c>
      <c r="O628" s="14" t="s">
        <v>454</v>
      </c>
      <c r="P628" s="14" t="s">
        <v>6576</v>
      </c>
      <c r="Q628" s="14" t="s">
        <v>11</v>
      </c>
      <c r="R628" s="3">
        <v>0</v>
      </c>
      <c r="S628" s="3">
        <f t="shared" si="30"/>
        <v>550</v>
      </c>
      <c r="T628" s="3">
        <f t="shared" si="31"/>
        <v>0</v>
      </c>
      <c r="U628" s="3" t="s">
        <v>60</v>
      </c>
      <c r="V628" s="14" t="s">
        <v>6</v>
      </c>
      <c r="W628" s="14" t="s">
        <v>6379</v>
      </c>
      <c r="X628" s="14" t="s">
        <v>60</v>
      </c>
    </row>
    <row r="629" spans="1:24" ht="15" x14ac:dyDescent="0.3">
      <c r="A629" s="3">
        <v>37</v>
      </c>
      <c r="B629" s="3" t="s">
        <v>6577</v>
      </c>
      <c r="C629" s="14" t="s">
        <v>0</v>
      </c>
      <c r="D629" s="14" t="s">
        <v>1484</v>
      </c>
      <c r="E629" s="14" t="s">
        <v>6578</v>
      </c>
      <c r="F629" s="14" t="s">
        <v>1395</v>
      </c>
      <c r="G629" s="14" t="s">
        <v>3</v>
      </c>
      <c r="H629" s="14" t="s">
        <v>6579</v>
      </c>
      <c r="I629" s="14" t="s">
        <v>1485</v>
      </c>
      <c r="J629" s="14" t="s">
        <v>60</v>
      </c>
      <c r="K629" s="14" t="s">
        <v>60</v>
      </c>
      <c r="L629" s="14" t="s">
        <v>60</v>
      </c>
      <c r="M629" s="14" t="s">
        <v>1486</v>
      </c>
      <c r="N629" s="14" t="s">
        <v>60</v>
      </c>
      <c r="O629" s="14" t="s">
        <v>454</v>
      </c>
      <c r="P629" s="14" t="s">
        <v>6580</v>
      </c>
      <c r="Q629" s="14" t="s">
        <v>11</v>
      </c>
      <c r="R629" s="3">
        <v>0</v>
      </c>
      <c r="S629" s="3">
        <f t="shared" si="30"/>
        <v>550</v>
      </c>
      <c r="T629" s="3">
        <f t="shared" si="31"/>
        <v>0</v>
      </c>
      <c r="U629" s="3" t="s">
        <v>60</v>
      </c>
      <c r="V629" s="14" t="s">
        <v>6</v>
      </c>
      <c r="W629" s="14" t="s">
        <v>6379</v>
      </c>
      <c r="X629" s="14" t="s">
        <v>60</v>
      </c>
    </row>
    <row r="630" spans="1:24" ht="15" x14ac:dyDescent="0.3">
      <c r="A630" s="3">
        <v>38</v>
      </c>
      <c r="B630" s="3" t="s">
        <v>6581</v>
      </c>
      <c r="C630" s="14" t="s">
        <v>0</v>
      </c>
      <c r="D630" s="14" t="s">
        <v>3295</v>
      </c>
      <c r="E630" s="14" t="s">
        <v>6582</v>
      </c>
      <c r="F630" s="14" t="s">
        <v>3296</v>
      </c>
      <c r="G630" s="14" t="s">
        <v>3</v>
      </c>
      <c r="H630" s="14" t="s">
        <v>6583</v>
      </c>
      <c r="I630" s="14" t="s">
        <v>3353</v>
      </c>
      <c r="J630" s="14" t="s">
        <v>60</v>
      </c>
      <c r="K630" s="14" t="s">
        <v>60</v>
      </c>
      <c r="L630" s="14" t="s">
        <v>60</v>
      </c>
      <c r="M630" s="14" t="s">
        <v>60</v>
      </c>
      <c r="N630" s="14" t="s">
        <v>60</v>
      </c>
      <c r="O630" s="14" t="s">
        <v>60</v>
      </c>
      <c r="P630" s="14" t="s">
        <v>6584</v>
      </c>
      <c r="Q630" s="14" t="s">
        <v>11</v>
      </c>
      <c r="R630" s="3">
        <v>0</v>
      </c>
      <c r="S630" s="3">
        <f t="shared" si="30"/>
        <v>550</v>
      </c>
      <c r="T630" s="3">
        <f t="shared" si="31"/>
        <v>0</v>
      </c>
      <c r="U630" s="3" t="s">
        <v>60</v>
      </c>
      <c r="V630" s="14" t="s">
        <v>6</v>
      </c>
      <c r="W630" s="14" t="s">
        <v>5514</v>
      </c>
      <c r="X630" s="14" t="s">
        <v>60</v>
      </c>
    </row>
    <row r="631" spans="1:24" ht="15" x14ac:dyDescent="0.3">
      <c r="A631" s="3">
        <v>39</v>
      </c>
      <c r="B631" s="3" t="s">
        <v>6585</v>
      </c>
      <c r="C631" s="14" t="s">
        <v>0</v>
      </c>
      <c r="D631" s="14" t="s">
        <v>3988</v>
      </c>
      <c r="E631" s="14" t="s">
        <v>6586</v>
      </c>
      <c r="F631" s="14" t="s">
        <v>3989</v>
      </c>
      <c r="G631" s="14" t="s">
        <v>3</v>
      </c>
      <c r="H631" s="14" t="s">
        <v>6587</v>
      </c>
      <c r="I631" s="14" t="s">
        <v>3990</v>
      </c>
      <c r="J631" s="14" t="s">
        <v>60</v>
      </c>
      <c r="K631" s="14" t="s">
        <v>60</v>
      </c>
      <c r="L631" s="14" t="s">
        <v>60</v>
      </c>
      <c r="M631" s="14" t="s">
        <v>3991</v>
      </c>
      <c r="N631" s="14" t="s">
        <v>60</v>
      </c>
      <c r="O631" s="14" t="s">
        <v>3910</v>
      </c>
      <c r="P631" s="14" t="s">
        <v>6588</v>
      </c>
      <c r="Q631" s="14" t="s">
        <v>11</v>
      </c>
      <c r="R631" s="3">
        <v>0</v>
      </c>
      <c r="S631" s="3">
        <f t="shared" si="30"/>
        <v>550</v>
      </c>
      <c r="T631" s="3">
        <f t="shared" si="31"/>
        <v>0</v>
      </c>
      <c r="U631" s="3" t="s">
        <v>60</v>
      </c>
      <c r="V631" s="14" t="s">
        <v>6</v>
      </c>
      <c r="W631" s="14" t="s">
        <v>5755</v>
      </c>
      <c r="X631" s="14" t="s">
        <v>60</v>
      </c>
    </row>
    <row r="632" spans="1:24" ht="15" x14ac:dyDescent="0.3">
      <c r="A632" s="3">
        <v>40</v>
      </c>
      <c r="B632" s="3" t="s">
        <v>6589</v>
      </c>
      <c r="C632" s="14" t="s">
        <v>0</v>
      </c>
      <c r="D632" s="14" t="s">
        <v>1362</v>
      </c>
      <c r="E632" s="14" t="s">
        <v>6590</v>
      </c>
      <c r="F632" s="14" t="s">
        <v>1363</v>
      </c>
      <c r="G632" s="14" t="s">
        <v>3</v>
      </c>
      <c r="H632" s="14" t="s">
        <v>6591</v>
      </c>
      <c r="I632" s="14" t="s">
        <v>1364</v>
      </c>
      <c r="J632" s="14" t="s">
        <v>60</v>
      </c>
      <c r="K632" s="14" t="s">
        <v>60</v>
      </c>
      <c r="L632" s="14" t="s">
        <v>60</v>
      </c>
      <c r="M632" s="14" t="s">
        <v>6592</v>
      </c>
      <c r="N632" s="14" t="s">
        <v>60</v>
      </c>
      <c r="O632" s="14" t="s">
        <v>193</v>
      </c>
      <c r="P632" s="14" t="s">
        <v>6593</v>
      </c>
      <c r="Q632" s="14" t="s">
        <v>1153</v>
      </c>
      <c r="R632" s="3">
        <v>0</v>
      </c>
      <c r="S632" s="3">
        <f t="shared" si="30"/>
        <v>550</v>
      </c>
      <c r="T632" s="3">
        <f t="shared" si="31"/>
        <v>0</v>
      </c>
      <c r="U632" s="3" t="s">
        <v>6594</v>
      </c>
      <c r="V632" s="14" t="s">
        <v>6</v>
      </c>
      <c r="W632" s="14" t="s">
        <v>6349</v>
      </c>
      <c r="X632" s="14" t="s">
        <v>60</v>
      </c>
    </row>
    <row r="633" spans="1:24" ht="15.6" x14ac:dyDescent="0.3">
      <c r="A633" s="26" t="s">
        <v>60</v>
      </c>
      <c r="B633" s="26" t="s">
        <v>60</v>
      </c>
      <c r="C633" s="27" t="s">
        <v>60</v>
      </c>
      <c r="D633" s="27" t="s">
        <v>60</v>
      </c>
      <c r="E633" s="27" t="s">
        <v>60</v>
      </c>
      <c r="F633" s="27" t="s">
        <v>60</v>
      </c>
      <c r="G633" s="27" t="s">
        <v>60</v>
      </c>
      <c r="H633" s="27" t="s">
        <v>60</v>
      </c>
      <c r="I633" s="27" t="s">
        <v>60</v>
      </c>
      <c r="J633" s="27" t="s">
        <v>60</v>
      </c>
      <c r="K633" s="27" t="s">
        <v>60</v>
      </c>
      <c r="L633" s="27" t="s">
        <v>60</v>
      </c>
      <c r="M633" s="27" t="s">
        <v>60</v>
      </c>
      <c r="N633" s="27" t="s">
        <v>60</v>
      </c>
      <c r="O633" s="27" t="s">
        <v>60</v>
      </c>
      <c r="P633" s="27" t="s">
        <v>60</v>
      </c>
      <c r="Q633" s="27" t="s">
        <v>60</v>
      </c>
      <c r="R633" s="35" t="s">
        <v>2009</v>
      </c>
      <c r="S633" s="35" t="s">
        <v>60</v>
      </c>
      <c r="T633" s="26">
        <f>SUM(T592:T632)</f>
        <v>0</v>
      </c>
      <c r="U633" s="26" t="s">
        <v>6595</v>
      </c>
      <c r="V633" s="27" t="s">
        <v>60</v>
      </c>
      <c r="W633" s="27" t="s">
        <v>60</v>
      </c>
      <c r="X633" s="27" t="s">
        <v>60</v>
      </c>
    </row>
    <row r="634" spans="1:24" ht="15.6" x14ac:dyDescent="0.3">
      <c r="A634" s="34" t="s">
        <v>6596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 spans="1:24" ht="109.2" x14ac:dyDescent="0.3">
      <c r="A635" s="23" t="s">
        <v>42</v>
      </c>
      <c r="B635" s="23" t="s">
        <v>43</v>
      </c>
      <c r="C635" s="24" t="s">
        <v>44</v>
      </c>
      <c r="D635" s="24" t="s">
        <v>4154</v>
      </c>
      <c r="E635" s="24" t="s">
        <v>4155</v>
      </c>
      <c r="F635" s="24" t="s">
        <v>4156</v>
      </c>
      <c r="G635" s="24" t="s">
        <v>45</v>
      </c>
      <c r="H635" s="24" t="s">
        <v>4157</v>
      </c>
      <c r="I635" s="24" t="s">
        <v>46</v>
      </c>
      <c r="J635" s="24" t="s">
        <v>4158</v>
      </c>
      <c r="K635" s="24" t="s">
        <v>4159</v>
      </c>
      <c r="L635" s="24" t="s">
        <v>4160</v>
      </c>
      <c r="M635" s="24" t="s">
        <v>4161</v>
      </c>
      <c r="N635" s="24" t="s">
        <v>47</v>
      </c>
      <c r="O635" s="24" t="s">
        <v>48</v>
      </c>
      <c r="P635" s="24" t="s">
        <v>49</v>
      </c>
      <c r="Q635" s="24" t="s">
        <v>50</v>
      </c>
      <c r="R635" s="23" t="s">
        <v>4162</v>
      </c>
      <c r="S635" s="23" t="s">
        <v>4163</v>
      </c>
      <c r="T635" s="23" t="s">
        <v>4164</v>
      </c>
      <c r="U635" s="23" t="s">
        <v>4165</v>
      </c>
      <c r="V635" s="24" t="s">
        <v>51</v>
      </c>
      <c r="W635" s="24" t="s">
        <v>52</v>
      </c>
      <c r="X635" s="24" t="s">
        <v>53</v>
      </c>
    </row>
    <row r="636" spans="1:24" ht="15" x14ac:dyDescent="0.3">
      <c r="A636" s="3">
        <v>1</v>
      </c>
      <c r="B636" s="3" t="s">
        <v>6597</v>
      </c>
      <c r="C636" s="14" t="s">
        <v>0</v>
      </c>
      <c r="D636" s="14" t="s">
        <v>1413</v>
      </c>
      <c r="E636" s="14" t="s">
        <v>6598</v>
      </c>
      <c r="F636" s="14" t="s">
        <v>1363</v>
      </c>
      <c r="G636" s="14" t="s">
        <v>3</v>
      </c>
      <c r="H636" s="14" t="s">
        <v>6599</v>
      </c>
      <c r="I636" s="14" t="s">
        <v>1414</v>
      </c>
      <c r="J636" s="14" t="s">
        <v>60</v>
      </c>
      <c r="K636" s="14" t="s">
        <v>60</v>
      </c>
      <c r="L636" s="14" t="s">
        <v>60</v>
      </c>
      <c r="M636" s="14" t="s">
        <v>1415</v>
      </c>
      <c r="N636" s="14" t="s">
        <v>60</v>
      </c>
      <c r="O636" s="14" t="s">
        <v>454</v>
      </c>
      <c r="P636" s="14" t="s">
        <v>6600</v>
      </c>
      <c r="Q636" s="14" t="s">
        <v>11</v>
      </c>
      <c r="R636" s="3">
        <v>0</v>
      </c>
      <c r="S636" s="3">
        <f t="shared" ref="S636:S665" si="32">IF(RIGHT(C636,3)="MAZ",550,IF(RIGHT(C636,4)="MATE",570,IF(RIGHT(C636,7)="SKD-III",640,IF(RIGHT(C636,6)="SKD-II",770,IF(RIGHT(C636,5)="SKD-I",900,IF(RIGHT(C636,5)="CPDVR",770,""))))))</f>
        <v>550</v>
      </c>
      <c r="T636" s="3">
        <f t="shared" ref="T636:T665" si="33">R636*S636</f>
        <v>0</v>
      </c>
      <c r="U636" s="3" t="s">
        <v>60</v>
      </c>
      <c r="V636" s="14" t="s">
        <v>6</v>
      </c>
      <c r="W636" s="14" t="s">
        <v>6379</v>
      </c>
      <c r="X636" s="14" t="s">
        <v>60</v>
      </c>
    </row>
    <row r="637" spans="1:24" ht="15" x14ac:dyDescent="0.3">
      <c r="A637" s="3">
        <v>2</v>
      </c>
      <c r="B637" s="3" t="s">
        <v>6601</v>
      </c>
      <c r="C637" s="14" t="s">
        <v>0</v>
      </c>
      <c r="D637" s="14" t="s">
        <v>1416</v>
      </c>
      <c r="E637" s="14" t="s">
        <v>6602</v>
      </c>
      <c r="F637" s="14" t="s">
        <v>1417</v>
      </c>
      <c r="G637" s="14" t="s">
        <v>3</v>
      </c>
      <c r="H637" s="14" t="s">
        <v>6603</v>
      </c>
      <c r="I637" s="14" t="s">
        <v>1418</v>
      </c>
      <c r="J637" s="14" t="s">
        <v>60</v>
      </c>
      <c r="K637" s="14" t="s">
        <v>60</v>
      </c>
      <c r="L637" s="14" t="s">
        <v>60</v>
      </c>
      <c r="M637" s="14" t="s">
        <v>1419</v>
      </c>
      <c r="N637" s="14" t="s">
        <v>60</v>
      </c>
      <c r="O637" s="14" t="s">
        <v>454</v>
      </c>
      <c r="P637" s="14" t="s">
        <v>6604</v>
      </c>
      <c r="Q637" s="14" t="s">
        <v>1153</v>
      </c>
      <c r="R637" s="3">
        <v>0</v>
      </c>
      <c r="S637" s="3">
        <f t="shared" si="32"/>
        <v>550</v>
      </c>
      <c r="T637" s="3">
        <f t="shared" si="33"/>
        <v>0</v>
      </c>
      <c r="U637" s="3" t="s">
        <v>60</v>
      </c>
      <c r="V637" s="14" t="s">
        <v>6</v>
      </c>
      <c r="W637" s="14" t="s">
        <v>6379</v>
      </c>
      <c r="X637" s="14" t="s">
        <v>60</v>
      </c>
    </row>
    <row r="638" spans="1:24" ht="15" x14ac:dyDescent="0.3">
      <c r="A638" s="3">
        <v>3</v>
      </c>
      <c r="B638" s="3" t="s">
        <v>6605</v>
      </c>
      <c r="C638" s="14" t="s">
        <v>0</v>
      </c>
      <c r="D638" s="14" t="s">
        <v>1426</v>
      </c>
      <c r="E638" s="14" t="s">
        <v>6606</v>
      </c>
      <c r="F638" s="14" t="s">
        <v>1427</v>
      </c>
      <c r="G638" s="14" t="s">
        <v>3</v>
      </c>
      <c r="H638" s="14" t="s">
        <v>6607</v>
      </c>
      <c r="I638" s="14" t="s">
        <v>1428</v>
      </c>
      <c r="J638" s="14" t="s">
        <v>60</v>
      </c>
      <c r="K638" s="14" t="s">
        <v>60</v>
      </c>
      <c r="L638" s="14" t="s">
        <v>60</v>
      </c>
      <c r="M638" s="14" t="s">
        <v>1429</v>
      </c>
      <c r="N638" s="14" t="s">
        <v>60</v>
      </c>
      <c r="O638" s="14" t="s">
        <v>454</v>
      </c>
      <c r="P638" s="14" t="s">
        <v>6608</v>
      </c>
      <c r="Q638" s="14" t="s">
        <v>1153</v>
      </c>
      <c r="R638" s="3">
        <v>0</v>
      </c>
      <c r="S638" s="3">
        <f t="shared" si="32"/>
        <v>550</v>
      </c>
      <c r="T638" s="3">
        <f t="shared" si="33"/>
        <v>0</v>
      </c>
      <c r="U638" s="3" t="s">
        <v>60</v>
      </c>
      <c r="V638" s="14" t="s">
        <v>6</v>
      </c>
      <c r="W638" s="14" t="s">
        <v>6379</v>
      </c>
      <c r="X638" s="14" t="s">
        <v>60</v>
      </c>
    </row>
    <row r="639" spans="1:24" ht="15" x14ac:dyDescent="0.3">
      <c r="A639" s="3">
        <v>4</v>
      </c>
      <c r="B639" s="3" t="s">
        <v>6609</v>
      </c>
      <c r="C639" s="14" t="s">
        <v>0</v>
      </c>
      <c r="D639" s="14" t="s">
        <v>1430</v>
      </c>
      <c r="E639" s="14" t="s">
        <v>6610</v>
      </c>
      <c r="F639" s="14" t="s">
        <v>1369</v>
      </c>
      <c r="G639" s="14" t="s">
        <v>3</v>
      </c>
      <c r="H639" s="14" t="s">
        <v>6611</v>
      </c>
      <c r="I639" s="14" t="s">
        <v>1431</v>
      </c>
      <c r="J639" s="14" t="s">
        <v>60</v>
      </c>
      <c r="K639" s="14" t="s">
        <v>60</v>
      </c>
      <c r="L639" s="14" t="s">
        <v>60</v>
      </c>
      <c r="M639" s="14" t="s">
        <v>1432</v>
      </c>
      <c r="N639" s="14" t="s">
        <v>60</v>
      </c>
      <c r="O639" s="14" t="s">
        <v>454</v>
      </c>
      <c r="P639" s="14" t="s">
        <v>6612</v>
      </c>
      <c r="Q639" s="14" t="s">
        <v>1153</v>
      </c>
      <c r="R639" s="3">
        <v>0</v>
      </c>
      <c r="S639" s="3">
        <f t="shared" si="32"/>
        <v>550</v>
      </c>
      <c r="T639" s="3">
        <f t="shared" si="33"/>
        <v>0</v>
      </c>
      <c r="U639" s="3" t="s">
        <v>60</v>
      </c>
      <c r="V639" s="14" t="s">
        <v>6</v>
      </c>
      <c r="W639" s="14" t="s">
        <v>6379</v>
      </c>
      <c r="X639" s="14" t="s">
        <v>60</v>
      </c>
    </row>
    <row r="640" spans="1:24" ht="15" x14ac:dyDescent="0.3">
      <c r="A640" s="3">
        <v>5</v>
      </c>
      <c r="B640" s="3" t="s">
        <v>6613</v>
      </c>
      <c r="C640" s="14" t="s">
        <v>0</v>
      </c>
      <c r="D640" s="14" t="s">
        <v>1437</v>
      </c>
      <c r="E640" s="14" t="s">
        <v>6614</v>
      </c>
      <c r="F640" s="14" t="s">
        <v>1438</v>
      </c>
      <c r="G640" s="14" t="s">
        <v>3</v>
      </c>
      <c r="H640" s="14" t="s">
        <v>6615</v>
      </c>
      <c r="I640" s="14" t="s">
        <v>1439</v>
      </c>
      <c r="J640" s="14" t="s">
        <v>60</v>
      </c>
      <c r="K640" s="14" t="s">
        <v>60</v>
      </c>
      <c r="L640" s="14" t="s">
        <v>60</v>
      </c>
      <c r="M640" s="14" t="s">
        <v>60</v>
      </c>
      <c r="N640" s="14" t="s">
        <v>60</v>
      </c>
      <c r="O640" s="14" t="s">
        <v>454</v>
      </c>
      <c r="P640" s="14" t="s">
        <v>6616</v>
      </c>
      <c r="Q640" s="14" t="s">
        <v>11</v>
      </c>
      <c r="R640" s="3">
        <v>0</v>
      </c>
      <c r="S640" s="3">
        <f t="shared" si="32"/>
        <v>550</v>
      </c>
      <c r="T640" s="3">
        <f t="shared" si="33"/>
        <v>0</v>
      </c>
      <c r="U640" s="3" t="s">
        <v>60</v>
      </c>
      <c r="V640" s="14" t="s">
        <v>6</v>
      </c>
      <c r="W640" s="14" t="s">
        <v>6379</v>
      </c>
      <c r="X640" s="14" t="s">
        <v>60</v>
      </c>
    </row>
    <row r="641" spans="1:24" ht="15" x14ac:dyDescent="0.3">
      <c r="A641" s="3">
        <v>6</v>
      </c>
      <c r="B641" s="3" t="s">
        <v>6617</v>
      </c>
      <c r="C641" s="14" t="s">
        <v>0</v>
      </c>
      <c r="D641" s="14" t="s">
        <v>1440</v>
      </c>
      <c r="E641" s="14" t="s">
        <v>6618</v>
      </c>
      <c r="F641" s="14" t="s">
        <v>1441</v>
      </c>
      <c r="G641" s="14" t="s">
        <v>3</v>
      </c>
      <c r="H641" s="14" t="s">
        <v>6619</v>
      </c>
      <c r="I641" s="14" t="s">
        <v>1442</v>
      </c>
      <c r="J641" s="14" t="s">
        <v>60</v>
      </c>
      <c r="K641" s="14" t="s">
        <v>60</v>
      </c>
      <c r="L641" s="14" t="s">
        <v>60</v>
      </c>
      <c r="M641" s="14" t="s">
        <v>1443</v>
      </c>
      <c r="N641" s="14" t="s">
        <v>60</v>
      </c>
      <c r="O641" s="14" t="s">
        <v>454</v>
      </c>
      <c r="P641" s="14" t="s">
        <v>6620</v>
      </c>
      <c r="Q641" s="14" t="s">
        <v>11</v>
      </c>
      <c r="R641" s="3">
        <v>0</v>
      </c>
      <c r="S641" s="3">
        <f t="shared" si="32"/>
        <v>550</v>
      </c>
      <c r="T641" s="3">
        <f t="shared" si="33"/>
        <v>0</v>
      </c>
      <c r="U641" s="3" t="s">
        <v>60</v>
      </c>
      <c r="V641" s="14" t="s">
        <v>6</v>
      </c>
      <c r="W641" s="14" t="s">
        <v>6379</v>
      </c>
      <c r="X641" s="14" t="s">
        <v>60</v>
      </c>
    </row>
    <row r="642" spans="1:24" ht="15" x14ac:dyDescent="0.3">
      <c r="A642" s="3">
        <v>7</v>
      </c>
      <c r="B642" s="3" t="s">
        <v>6621</v>
      </c>
      <c r="C642" s="14" t="s">
        <v>0</v>
      </c>
      <c r="D642" s="14" t="s">
        <v>1444</v>
      </c>
      <c r="E642" s="14" t="s">
        <v>6622</v>
      </c>
      <c r="F642" s="14" t="s">
        <v>1445</v>
      </c>
      <c r="G642" s="14" t="s">
        <v>3</v>
      </c>
      <c r="H642" s="14" t="s">
        <v>6623</v>
      </c>
      <c r="I642" s="14" t="s">
        <v>1446</v>
      </c>
      <c r="J642" s="14" t="s">
        <v>60</v>
      </c>
      <c r="K642" s="14" t="s">
        <v>60</v>
      </c>
      <c r="L642" s="14" t="s">
        <v>60</v>
      </c>
      <c r="M642" s="14" t="s">
        <v>1447</v>
      </c>
      <c r="N642" s="14" t="s">
        <v>60</v>
      </c>
      <c r="O642" s="14" t="s">
        <v>454</v>
      </c>
      <c r="P642" s="14" t="s">
        <v>6624</v>
      </c>
      <c r="Q642" s="14" t="s">
        <v>11</v>
      </c>
      <c r="R642" s="3">
        <v>0</v>
      </c>
      <c r="S642" s="3">
        <f t="shared" si="32"/>
        <v>550</v>
      </c>
      <c r="T642" s="3">
        <f t="shared" si="33"/>
        <v>0</v>
      </c>
      <c r="U642" s="3" t="s">
        <v>60</v>
      </c>
      <c r="V642" s="14" t="s">
        <v>6</v>
      </c>
      <c r="W642" s="14" t="s">
        <v>6379</v>
      </c>
      <c r="X642" s="14" t="s">
        <v>60</v>
      </c>
    </row>
    <row r="643" spans="1:24" ht="15" x14ac:dyDescent="0.3">
      <c r="A643" s="3">
        <v>8</v>
      </c>
      <c r="B643" s="3" t="s">
        <v>6625</v>
      </c>
      <c r="C643" s="14" t="s">
        <v>0</v>
      </c>
      <c r="D643" s="14" t="s">
        <v>1448</v>
      </c>
      <c r="E643" s="14" t="s">
        <v>6626</v>
      </c>
      <c r="F643" s="14" t="s">
        <v>1449</v>
      </c>
      <c r="G643" s="14" t="s">
        <v>3</v>
      </c>
      <c r="H643" s="14" t="s">
        <v>6627</v>
      </c>
      <c r="I643" s="14" t="s">
        <v>1450</v>
      </c>
      <c r="J643" s="14" t="s">
        <v>60</v>
      </c>
      <c r="K643" s="14" t="s">
        <v>60</v>
      </c>
      <c r="L643" s="14" t="s">
        <v>60</v>
      </c>
      <c r="M643" s="14" t="s">
        <v>1451</v>
      </c>
      <c r="N643" s="14" t="s">
        <v>60</v>
      </c>
      <c r="O643" s="14" t="s">
        <v>454</v>
      </c>
      <c r="P643" s="14" t="s">
        <v>6628</v>
      </c>
      <c r="Q643" s="14" t="s">
        <v>11</v>
      </c>
      <c r="R643" s="3">
        <v>0</v>
      </c>
      <c r="S643" s="3">
        <f t="shared" si="32"/>
        <v>550</v>
      </c>
      <c r="T643" s="3">
        <f t="shared" si="33"/>
        <v>0</v>
      </c>
      <c r="U643" s="3" t="s">
        <v>60</v>
      </c>
      <c r="V643" s="14" t="s">
        <v>6</v>
      </c>
      <c r="W643" s="14" t="s">
        <v>6379</v>
      </c>
      <c r="X643" s="14" t="s">
        <v>60</v>
      </c>
    </row>
    <row r="644" spans="1:24" ht="15" x14ac:dyDescent="0.3">
      <c r="A644" s="3">
        <v>9</v>
      </c>
      <c r="B644" s="3" t="s">
        <v>6629</v>
      </c>
      <c r="C644" s="14" t="s">
        <v>0</v>
      </c>
      <c r="D644" s="14" t="s">
        <v>1452</v>
      </c>
      <c r="E644" s="14" t="s">
        <v>5435</v>
      </c>
      <c r="F644" s="14" t="s">
        <v>1453</v>
      </c>
      <c r="G644" s="14" t="s">
        <v>3</v>
      </c>
      <c r="H644" s="14" t="s">
        <v>6630</v>
      </c>
      <c r="I644" s="14" t="s">
        <v>1454</v>
      </c>
      <c r="J644" s="14" t="s">
        <v>60</v>
      </c>
      <c r="K644" s="14" t="s">
        <v>60</v>
      </c>
      <c r="L644" s="14" t="s">
        <v>60</v>
      </c>
      <c r="M644" s="14" t="s">
        <v>1455</v>
      </c>
      <c r="N644" s="14" t="s">
        <v>60</v>
      </c>
      <c r="O644" s="14" t="s">
        <v>454</v>
      </c>
      <c r="P644" s="14" t="s">
        <v>6631</v>
      </c>
      <c r="Q644" s="14" t="s">
        <v>11</v>
      </c>
      <c r="R644" s="3">
        <v>0</v>
      </c>
      <c r="S644" s="3">
        <f t="shared" si="32"/>
        <v>550</v>
      </c>
      <c r="T644" s="3">
        <f t="shared" si="33"/>
        <v>0</v>
      </c>
      <c r="U644" s="3" t="s">
        <v>60</v>
      </c>
      <c r="V644" s="14" t="s">
        <v>6</v>
      </c>
      <c r="W644" s="14" t="s">
        <v>6379</v>
      </c>
      <c r="X644" s="14" t="s">
        <v>60</v>
      </c>
    </row>
    <row r="645" spans="1:24" ht="15" x14ac:dyDescent="0.3">
      <c r="A645" s="3">
        <v>10</v>
      </c>
      <c r="B645" s="3" t="s">
        <v>6632</v>
      </c>
      <c r="C645" s="14" t="s">
        <v>0</v>
      </c>
      <c r="D645" s="14" t="s">
        <v>1456</v>
      </c>
      <c r="E645" s="14" t="s">
        <v>6633</v>
      </c>
      <c r="F645" s="14" t="s">
        <v>628</v>
      </c>
      <c r="G645" s="14" t="s">
        <v>3</v>
      </c>
      <c r="H645" s="14" t="s">
        <v>6634</v>
      </c>
      <c r="I645" s="14" t="s">
        <v>1457</v>
      </c>
      <c r="J645" s="14" t="s">
        <v>60</v>
      </c>
      <c r="K645" s="14" t="s">
        <v>60</v>
      </c>
      <c r="L645" s="14" t="s">
        <v>60</v>
      </c>
      <c r="M645" s="14" t="s">
        <v>1458</v>
      </c>
      <c r="N645" s="14" t="s">
        <v>60</v>
      </c>
      <c r="O645" s="14" t="s">
        <v>454</v>
      </c>
      <c r="P645" s="14" t="s">
        <v>6635</v>
      </c>
      <c r="Q645" s="14" t="s">
        <v>11</v>
      </c>
      <c r="R645" s="3">
        <v>0</v>
      </c>
      <c r="S645" s="3">
        <f t="shared" si="32"/>
        <v>550</v>
      </c>
      <c r="T645" s="3">
        <f t="shared" si="33"/>
        <v>0</v>
      </c>
      <c r="U645" s="3" t="s">
        <v>60</v>
      </c>
      <c r="V645" s="14" t="s">
        <v>6</v>
      </c>
      <c r="W645" s="14" t="s">
        <v>6379</v>
      </c>
      <c r="X645" s="14" t="s">
        <v>60</v>
      </c>
    </row>
    <row r="646" spans="1:24" ht="15" x14ac:dyDescent="0.3">
      <c r="A646" s="3">
        <v>11</v>
      </c>
      <c r="B646" s="3" t="s">
        <v>6636</v>
      </c>
      <c r="C646" s="14" t="s">
        <v>0</v>
      </c>
      <c r="D646" s="14" t="s">
        <v>1459</v>
      </c>
      <c r="E646" s="14" t="s">
        <v>6637</v>
      </c>
      <c r="F646" s="14" t="s">
        <v>1460</v>
      </c>
      <c r="G646" s="14" t="s">
        <v>3</v>
      </c>
      <c r="H646" s="14" t="s">
        <v>6638</v>
      </c>
      <c r="I646" s="14" t="s">
        <v>1461</v>
      </c>
      <c r="J646" s="14" t="s">
        <v>60</v>
      </c>
      <c r="K646" s="14" t="s">
        <v>60</v>
      </c>
      <c r="L646" s="14" t="s">
        <v>60</v>
      </c>
      <c r="M646" s="14" t="s">
        <v>1462</v>
      </c>
      <c r="N646" s="14" t="s">
        <v>60</v>
      </c>
      <c r="O646" s="14" t="s">
        <v>454</v>
      </c>
      <c r="P646" s="14" t="s">
        <v>6639</v>
      </c>
      <c r="Q646" s="14" t="s">
        <v>11</v>
      </c>
      <c r="R646" s="3">
        <v>0</v>
      </c>
      <c r="S646" s="3">
        <f t="shared" si="32"/>
        <v>550</v>
      </c>
      <c r="T646" s="3">
        <f t="shared" si="33"/>
        <v>0</v>
      </c>
      <c r="U646" s="3" t="s">
        <v>60</v>
      </c>
      <c r="V646" s="14" t="s">
        <v>6</v>
      </c>
      <c r="W646" s="14" t="s">
        <v>6379</v>
      </c>
      <c r="X646" s="14" t="s">
        <v>60</v>
      </c>
    </row>
    <row r="647" spans="1:24" ht="15" x14ac:dyDescent="0.3">
      <c r="A647" s="3">
        <v>12</v>
      </c>
      <c r="B647" s="3" t="s">
        <v>6640</v>
      </c>
      <c r="C647" s="14" t="s">
        <v>0</v>
      </c>
      <c r="D647" s="14" t="s">
        <v>1144</v>
      </c>
      <c r="E647" s="14" t="s">
        <v>6641</v>
      </c>
      <c r="F647" s="14" t="s">
        <v>1379</v>
      </c>
      <c r="G647" s="14" t="s">
        <v>3</v>
      </c>
      <c r="H647" s="14" t="s">
        <v>6642</v>
      </c>
      <c r="I647" s="14" t="s">
        <v>1463</v>
      </c>
      <c r="J647" s="14" t="s">
        <v>60</v>
      </c>
      <c r="K647" s="14" t="s">
        <v>60</v>
      </c>
      <c r="L647" s="14" t="s">
        <v>60</v>
      </c>
      <c r="M647" s="14" t="s">
        <v>1464</v>
      </c>
      <c r="N647" s="14" t="s">
        <v>60</v>
      </c>
      <c r="O647" s="14" t="s">
        <v>454</v>
      </c>
      <c r="P647" s="14" t="s">
        <v>6643</v>
      </c>
      <c r="Q647" s="14" t="s">
        <v>1153</v>
      </c>
      <c r="R647" s="3">
        <v>0</v>
      </c>
      <c r="S647" s="3">
        <f t="shared" si="32"/>
        <v>550</v>
      </c>
      <c r="T647" s="3">
        <f t="shared" si="33"/>
        <v>0</v>
      </c>
      <c r="U647" s="3" t="s">
        <v>60</v>
      </c>
      <c r="V647" s="14" t="s">
        <v>6</v>
      </c>
      <c r="W647" s="14" t="s">
        <v>6379</v>
      </c>
      <c r="X647" s="14" t="s">
        <v>60</v>
      </c>
    </row>
    <row r="648" spans="1:24" ht="15" x14ac:dyDescent="0.3">
      <c r="A648" s="3">
        <v>13</v>
      </c>
      <c r="B648" s="3" t="s">
        <v>6644</v>
      </c>
      <c r="C648" s="14" t="s">
        <v>0</v>
      </c>
      <c r="D648" s="14" t="s">
        <v>1465</v>
      </c>
      <c r="E648" s="14" t="s">
        <v>6645</v>
      </c>
      <c r="F648" s="14" t="s">
        <v>1466</v>
      </c>
      <c r="G648" s="14" t="s">
        <v>3</v>
      </c>
      <c r="H648" s="14" t="s">
        <v>6646</v>
      </c>
      <c r="I648" s="14" t="s">
        <v>1467</v>
      </c>
      <c r="J648" s="14" t="s">
        <v>60</v>
      </c>
      <c r="K648" s="14" t="s">
        <v>60</v>
      </c>
      <c r="L648" s="14" t="s">
        <v>60</v>
      </c>
      <c r="M648" s="14" t="s">
        <v>1468</v>
      </c>
      <c r="N648" s="14" t="s">
        <v>60</v>
      </c>
      <c r="O648" s="14" t="s">
        <v>454</v>
      </c>
      <c r="P648" s="14" t="s">
        <v>6647</v>
      </c>
      <c r="Q648" s="14" t="s">
        <v>1469</v>
      </c>
      <c r="R648" s="3">
        <v>0</v>
      </c>
      <c r="S648" s="3">
        <f t="shared" si="32"/>
        <v>550</v>
      </c>
      <c r="T648" s="3">
        <f t="shared" si="33"/>
        <v>0</v>
      </c>
      <c r="U648" s="3" t="s">
        <v>60</v>
      </c>
      <c r="V648" s="14" t="s">
        <v>6</v>
      </c>
      <c r="W648" s="14" t="s">
        <v>6379</v>
      </c>
      <c r="X648" s="14" t="s">
        <v>60</v>
      </c>
    </row>
    <row r="649" spans="1:24" ht="15" x14ac:dyDescent="0.3">
      <c r="A649" s="3">
        <v>14</v>
      </c>
      <c r="B649" s="3" t="s">
        <v>6648</v>
      </c>
      <c r="C649" s="14" t="s">
        <v>0</v>
      </c>
      <c r="D649" s="14" t="s">
        <v>3559</v>
      </c>
      <c r="E649" s="14" t="s">
        <v>6649</v>
      </c>
      <c r="F649" s="14" t="s">
        <v>3561</v>
      </c>
      <c r="G649" s="14" t="s">
        <v>3</v>
      </c>
      <c r="H649" s="14" t="s">
        <v>6650</v>
      </c>
      <c r="I649" s="14" t="s">
        <v>3787</v>
      </c>
      <c r="J649" s="14" t="s">
        <v>60</v>
      </c>
      <c r="K649" s="14" t="s">
        <v>60</v>
      </c>
      <c r="L649" s="14" t="s">
        <v>60</v>
      </c>
      <c r="M649" s="14" t="s">
        <v>60</v>
      </c>
      <c r="N649" s="14" t="s">
        <v>60</v>
      </c>
      <c r="O649" s="14" t="s">
        <v>60</v>
      </c>
      <c r="P649" s="14" t="s">
        <v>6651</v>
      </c>
      <c r="Q649" s="14" t="s">
        <v>1153</v>
      </c>
      <c r="R649" s="3">
        <v>0</v>
      </c>
      <c r="S649" s="3">
        <f t="shared" si="32"/>
        <v>550</v>
      </c>
      <c r="T649" s="3">
        <f t="shared" si="33"/>
        <v>0</v>
      </c>
      <c r="U649" s="3" t="s">
        <v>60</v>
      </c>
      <c r="V649" s="14" t="s">
        <v>6</v>
      </c>
      <c r="W649" s="14" t="s">
        <v>4444</v>
      </c>
      <c r="X649" s="14" t="s">
        <v>60</v>
      </c>
    </row>
    <row r="650" spans="1:24" ht="15" x14ac:dyDescent="0.3">
      <c r="A650" s="3">
        <v>15</v>
      </c>
      <c r="B650" s="3" t="s">
        <v>6652</v>
      </c>
      <c r="C650" s="14" t="s">
        <v>0</v>
      </c>
      <c r="D650" s="14" t="s">
        <v>3420</v>
      </c>
      <c r="E650" s="14" t="s">
        <v>6653</v>
      </c>
      <c r="F650" s="14" t="s">
        <v>1588</v>
      </c>
      <c r="G650" s="14" t="s">
        <v>3</v>
      </c>
      <c r="H650" s="14" t="s">
        <v>6654</v>
      </c>
      <c r="I650" s="14" t="s">
        <v>3788</v>
      </c>
      <c r="J650" s="14" t="s">
        <v>60</v>
      </c>
      <c r="K650" s="14" t="s">
        <v>60</v>
      </c>
      <c r="L650" s="14" t="s">
        <v>60</v>
      </c>
      <c r="M650" s="14" t="s">
        <v>60</v>
      </c>
      <c r="N650" s="14" t="s">
        <v>60</v>
      </c>
      <c r="O650" s="14" t="s">
        <v>60</v>
      </c>
      <c r="P650" s="14" t="s">
        <v>6655</v>
      </c>
      <c r="Q650" s="14" t="s">
        <v>11</v>
      </c>
      <c r="R650" s="3">
        <v>0</v>
      </c>
      <c r="S650" s="3">
        <f t="shared" si="32"/>
        <v>550</v>
      </c>
      <c r="T650" s="3">
        <f t="shared" si="33"/>
        <v>0</v>
      </c>
      <c r="U650" s="3" t="s">
        <v>60</v>
      </c>
      <c r="V650" s="14" t="s">
        <v>6</v>
      </c>
      <c r="W650" s="14" t="s">
        <v>4444</v>
      </c>
      <c r="X650" s="14" t="s">
        <v>60</v>
      </c>
    </row>
    <row r="651" spans="1:24" ht="15" x14ac:dyDescent="0.3">
      <c r="A651" s="3">
        <v>16</v>
      </c>
      <c r="B651" s="3" t="s">
        <v>6656</v>
      </c>
      <c r="C651" s="14" t="s">
        <v>0</v>
      </c>
      <c r="D651" s="14" t="s">
        <v>3560</v>
      </c>
      <c r="E651" s="14" t="s">
        <v>4440</v>
      </c>
      <c r="F651" s="14" t="s">
        <v>1529</v>
      </c>
      <c r="G651" s="14" t="s">
        <v>3</v>
      </c>
      <c r="H651" s="14" t="s">
        <v>6657</v>
      </c>
      <c r="I651" s="14" t="s">
        <v>1530</v>
      </c>
      <c r="J651" s="14" t="s">
        <v>60</v>
      </c>
      <c r="K651" s="14" t="s">
        <v>60</v>
      </c>
      <c r="L651" s="14" t="s">
        <v>60</v>
      </c>
      <c r="M651" s="14" t="s">
        <v>1531</v>
      </c>
      <c r="N651" s="14" t="s">
        <v>60</v>
      </c>
      <c r="O651" s="14" t="s">
        <v>60</v>
      </c>
      <c r="P651" s="14" t="s">
        <v>6658</v>
      </c>
      <c r="Q651" s="14" t="s">
        <v>11</v>
      </c>
      <c r="R651" s="3">
        <v>0</v>
      </c>
      <c r="S651" s="3">
        <f t="shared" si="32"/>
        <v>550</v>
      </c>
      <c r="T651" s="3">
        <f t="shared" si="33"/>
        <v>0</v>
      </c>
      <c r="U651" s="3" t="s">
        <v>60</v>
      </c>
      <c r="V651" s="14" t="s">
        <v>6</v>
      </c>
      <c r="W651" s="14" t="s">
        <v>4444</v>
      </c>
      <c r="X651" s="14" t="s">
        <v>60</v>
      </c>
    </row>
    <row r="652" spans="1:24" ht="15" x14ac:dyDescent="0.3">
      <c r="A652" s="3">
        <v>17</v>
      </c>
      <c r="B652" s="3" t="s">
        <v>6659</v>
      </c>
      <c r="C652" s="14" t="s">
        <v>0</v>
      </c>
      <c r="D652" s="14" t="s">
        <v>3620</v>
      </c>
      <c r="E652" s="14" t="s">
        <v>6660</v>
      </c>
      <c r="F652" s="14" t="s">
        <v>3562</v>
      </c>
      <c r="G652" s="14" t="s">
        <v>3</v>
      </c>
      <c r="H652" s="14" t="s">
        <v>6661</v>
      </c>
      <c r="I652" s="14" t="s">
        <v>3789</v>
      </c>
      <c r="J652" s="14" t="s">
        <v>60</v>
      </c>
      <c r="K652" s="14" t="s">
        <v>60</v>
      </c>
      <c r="L652" s="14" t="s">
        <v>60</v>
      </c>
      <c r="M652" s="14" t="s">
        <v>60</v>
      </c>
      <c r="N652" s="14" t="s">
        <v>60</v>
      </c>
      <c r="O652" s="14" t="s">
        <v>60</v>
      </c>
      <c r="P652" s="14" t="s">
        <v>6662</v>
      </c>
      <c r="Q652" s="14" t="s">
        <v>3621</v>
      </c>
      <c r="R652" s="3">
        <v>0</v>
      </c>
      <c r="S652" s="3">
        <f t="shared" si="32"/>
        <v>550</v>
      </c>
      <c r="T652" s="3">
        <f t="shared" si="33"/>
        <v>0</v>
      </c>
      <c r="U652" s="3" t="s">
        <v>60</v>
      </c>
      <c r="V652" s="14" t="s">
        <v>6</v>
      </c>
      <c r="W652" s="14" t="s">
        <v>4444</v>
      </c>
      <c r="X652" s="14" t="s">
        <v>60</v>
      </c>
    </row>
    <row r="653" spans="1:24" ht="15" x14ac:dyDescent="0.3">
      <c r="A653" s="3">
        <v>18</v>
      </c>
      <c r="B653" s="3" t="s">
        <v>1327</v>
      </c>
      <c r="C653" s="14" t="s">
        <v>0</v>
      </c>
      <c r="D653" s="14" t="s">
        <v>1328</v>
      </c>
      <c r="E653" s="14" t="s">
        <v>6663</v>
      </c>
      <c r="F653" s="14" t="s">
        <v>1329</v>
      </c>
      <c r="G653" s="14" t="s">
        <v>3</v>
      </c>
      <c r="H653" s="14" t="s">
        <v>1330</v>
      </c>
      <c r="I653" s="14" t="s">
        <v>1331</v>
      </c>
      <c r="J653" s="14" t="s">
        <v>60</v>
      </c>
      <c r="K653" s="14" t="s">
        <v>60</v>
      </c>
      <c r="L653" s="14" t="s">
        <v>60</v>
      </c>
      <c r="M653" s="14" t="s">
        <v>6664</v>
      </c>
      <c r="N653" s="14" t="s">
        <v>60</v>
      </c>
      <c r="O653" s="14" t="s">
        <v>6665</v>
      </c>
      <c r="P653" s="14" t="s">
        <v>6666</v>
      </c>
      <c r="Q653" s="14" t="s">
        <v>185</v>
      </c>
      <c r="R653" s="3">
        <v>0</v>
      </c>
      <c r="S653" s="3">
        <f t="shared" si="32"/>
        <v>550</v>
      </c>
      <c r="T653" s="3">
        <f t="shared" si="33"/>
        <v>0</v>
      </c>
      <c r="U653" s="3" t="s">
        <v>60</v>
      </c>
      <c r="V653" s="14" t="s">
        <v>6</v>
      </c>
      <c r="W653" s="14" t="s">
        <v>6349</v>
      </c>
      <c r="X653" s="14" t="s">
        <v>60</v>
      </c>
    </row>
    <row r="654" spans="1:24" ht="15" x14ac:dyDescent="0.3">
      <c r="A654" s="3">
        <v>19</v>
      </c>
      <c r="B654" s="3" t="s">
        <v>6667</v>
      </c>
      <c r="C654" s="14" t="s">
        <v>0</v>
      </c>
      <c r="D654" s="14" t="s">
        <v>1588</v>
      </c>
      <c r="E654" s="14" t="s">
        <v>6668</v>
      </c>
      <c r="F654" s="14" t="s">
        <v>1589</v>
      </c>
      <c r="G654" s="14" t="s">
        <v>3</v>
      </c>
      <c r="H654" s="14" t="s">
        <v>6669</v>
      </c>
      <c r="I654" s="14" t="s">
        <v>1590</v>
      </c>
      <c r="J654" s="14" t="s">
        <v>60</v>
      </c>
      <c r="K654" s="14" t="s">
        <v>60</v>
      </c>
      <c r="L654" s="14" t="s">
        <v>60</v>
      </c>
      <c r="M654" s="14" t="s">
        <v>1591</v>
      </c>
      <c r="N654" s="14" t="s">
        <v>60</v>
      </c>
      <c r="O654" s="14" t="s">
        <v>454</v>
      </c>
      <c r="P654" s="14" t="s">
        <v>6670</v>
      </c>
      <c r="Q654" s="14" t="s">
        <v>1153</v>
      </c>
      <c r="R654" s="3">
        <v>0</v>
      </c>
      <c r="S654" s="3">
        <f t="shared" si="32"/>
        <v>550</v>
      </c>
      <c r="T654" s="3">
        <f t="shared" si="33"/>
        <v>0</v>
      </c>
      <c r="U654" s="3" t="s">
        <v>60</v>
      </c>
      <c r="V654" s="14" t="s">
        <v>6</v>
      </c>
      <c r="W654" s="14" t="s">
        <v>6379</v>
      </c>
      <c r="X654" s="14" t="s">
        <v>60</v>
      </c>
    </row>
    <row r="655" spans="1:24" ht="15" x14ac:dyDescent="0.3">
      <c r="A655" s="3">
        <v>20</v>
      </c>
      <c r="B655" s="3" t="s">
        <v>6671</v>
      </c>
      <c r="C655" s="14" t="s">
        <v>0</v>
      </c>
      <c r="D655" s="14" t="s">
        <v>1592</v>
      </c>
      <c r="E655" s="14" t="s">
        <v>6672</v>
      </c>
      <c r="F655" s="14" t="s">
        <v>1593</v>
      </c>
      <c r="G655" s="14" t="s">
        <v>3</v>
      </c>
      <c r="H655" s="14" t="s">
        <v>6673</v>
      </c>
      <c r="I655" s="14" t="s">
        <v>1594</v>
      </c>
      <c r="J655" s="14" t="s">
        <v>60</v>
      </c>
      <c r="K655" s="14" t="s">
        <v>60</v>
      </c>
      <c r="L655" s="14" t="s">
        <v>60</v>
      </c>
      <c r="M655" s="14" t="s">
        <v>1595</v>
      </c>
      <c r="N655" s="14" t="s">
        <v>60</v>
      </c>
      <c r="O655" s="14" t="s">
        <v>454</v>
      </c>
      <c r="P655" s="14" t="s">
        <v>6674</v>
      </c>
      <c r="Q655" s="14" t="s">
        <v>1153</v>
      </c>
      <c r="R655" s="3">
        <v>0</v>
      </c>
      <c r="S655" s="3">
        <f t="shared" si="32"/>
        <v>550</v>
      </c>
      <c r="T655" s="3">
        <f t="shared" si="33"/>
        <v>0</v>
      </c>
      <c r="U655" s="3" t="s">
        <v>6675</v>
      </c>
      <c r="V655" s="14" t="s">
        <v>6</v>
      </c>
      <c r="W655" s="14" t="s">
        <v>6379</v>
      </c>
      <c r="X655" s="14" t="s">
        <v>60</v>
      </c>
    </row>
    <row r="656" spans="1:24" ht="15" x14ac:dyDescent="0.3">
      <c r="A656" s="3">
        <v>21</v>
      </c>
      <c r="B656" s="3" t="s">
        <v>6676</v>
      </c>
      <c r="C656" s="14" t="s">
        <v>0</v>
      </c>
      <c r="D656" s="14" t="s">
        <v>65</v>
      </c>
      <c r="E656" s="14" t="s">
        <v>6677</v>
      </c>
      <c r="F656" s="14" t="s">
        <v>1596</v>
      </c>
      <c r="G656" s="14" t="s">
        <v>3</v>
      </c>
      <c r="H656" s="14" t="s">
        <v>6678</v>
      </c>
      <c r="I656" s="14" t="s">
        <v>1597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4" t="s">
        <v>60</v>
      </c>
      <c r="O656" s="14" t="s">
        <v>454</v>
      </c>
      <c r="P656" s="14" t="s">
        <v>6679</v>
      </c>
      <c r="Q656" s="14" t="s">
        <v>11</v>
      </c>
      <c r="R656" s="3">
        <v>0</v>
      </c>
      <c r="S656" s="3">
        <f t="shared" si="32"/>
        <v>550</v>
      </c>
      <c r="T656" s="3">
        <f t="shared" si="33"/>
        <v>0</v>
      </c>
      <c r="U656" s="3" t="s">
        <v>60</v>
      </c>
      <c r="V656" s="14" t="s">
        <v>6</v>
      </c>
      <c r="W656" s="14" t="s">
        <v>6379</v>
      </c>
      <c r="X656" s="14" t="s">
        <v>60</v>
      </c>
    </row>
    <row r="657" spans="1:24" ht="15" x14ac:dyDescent="0.3">
      <c r="A657" s="3">
        <v>22</v>
      </c>
      <c r="B657" s="3" t="s">
        <v>6680</v>
      </c>
      <c r="C657" s="14" t="s">
        <v>0</v>
      </c>
      <c r="D657" s="14" t="s">
        <v>1598</v>
      </c>
      <c r="E657" s="14" t="s">
        <v>6681</v>
      </c>
      <c r="F657" s="14" t="s">
        <v>1379</v>
      </c>
      <c r="G657" s="14" t="s">
        <v>3</v>
      </c>
      <c r="H657" s="14" t="s">
        <v>6682</v>
      </c>
      <c r="I657" s="14" t="s">
        <v>1599</v>
      </c>
      <c r="J657" s="14" t="s">
        <v>60</v>
      </c>
      <c r="K657" s="14" t="s">
        <v>60</v>
      </c>
      <c r="L657" s="14" t="s">
        <v>60</v>
      </c>
      <c r="M657" s="14" t="s">
        <v>60</v>
      </c>
      <c r="N657" s="14" t="s">
        <v>60</v>
      </c>
      <c r="O657" s="14" t="s">
        <v>454</v>
      </c>
      <c r="P657" s="14" t="s">
        <v>6683</v>
      </c>
      <c r="Q657" s="14" t="s">
        <v>1153</v>
      </c>
      <c r="R657" s="3">
        <v>0</v>
      </c>
      <c r="S657" s="3">
        <f t="shared" si="32"/>
        <v>550</v>
      </c>
      <c r="T657" s="3">
        <f t="shared" si="33"/>
        <v>0</v>
      </c>
      <c r="U657" s="3" t="s">
        <v>60</v>
      </c>
      <c r="V657" s="14" t="s">
        <v>6</v>
      </c>
      <c r="W657" s="14" t="s">
        <v>6684</v>
      </c>
      <c r="X657" s="14" t="s">
        <v>60</v>
      </c>
    </row>
    <row r="658" spans="1:24" ht="15" x14ac:dyDescent="0.3">
      <c r="A658" s="3">
        <v>23</v>
      </c>
      <c r="B658" s="3" t="s">
        <v>6685</v>
      </c>
      <c r="C658" s="14" t="s">
        <v>0</v>
      </c>
      <c r="D658" s="14" t="s">
        <v>1600</v>
      </c>
      <c r="E658" s="14" t="s">
        <v>6686</v>
      </c>
      <c r="F658" s="14" t="s">
        <v>1601</v>
      </c>
      <c r="G658" s="14" t="s">
        <v>3</v>
      </c>
      <c r="H658" s="14" t="s">
        <v>6687</v>
      </c>
      <c r="I658" s="14" t="s">
        <v>1602</v>
      </c>
      <c r="J658" s="14" t="s">
        <v>60</v>
      </c>
      <c r="K658" s="14" t="s">
        <v>60</v>
      </c>
      <c r="L658" s="14" t="s">
        <v>60</v>
      </c>
      <c r="M658" s="14" t="s">
        <v>60</v>
      </c>
      <c r="N658" s="14" t="s">
        <v>60</v>
      </c>
      <c r="O658" s="14" t="s">
        <v>60</v>
      </c>
      <c r="P658" s="14" t="s">
        <v>6688</v>
      </c>
      <c r="Q658" s="14" t="s">
        <v>11</v>
      </c>
      <c r="R658" s="3">
        <v>0</v>
      </c>
      <c r="S658" s="3">
        <f t="shared" si="32"/>
        <v>550</v>
      </c>
      <c r="T658" s="3">
        <f t="shared" si="33"/>
        <v>0</v>
      </c>
      <c r="U658" s="3" t="s">
        <v>60</v>
      </c>
      <c r="V658" s="14" t="s">
        <v>6</v>
      </c>
      <c r="W658" s="14" t="s">
        <v>6689</v>
      </c>
      <c r="X658" s="14" t="s">
        <v>60</v>
      </c>
    </row>
    <row r="659" spans="1:24" ht="15" x14ac:dyDescent="0.3">
      <c r="A659" s="3">
        <v>24</v>
      </c>
      <c r="B659" s="3" t="s">
        <v>6690</v>
      </c>
      <c r="C659" s="14" t="s">
        <v>0</v>
      </c>
      <c r="D659" s="14" t="s">
        <v>1603</v>
      </c>
      <c r="E659" s="14" t="s">
        <v>6691</v>
      </c>
      <c r="F659" s="14" t="s">
        <v>1604</v>
      </c>
      <c r="G659" s="14" t="s">
        <v>3</v>
      </c>
      <c r="H659" s="14" t="s">
        <v>6692</v>
      </c>
      <c r="I659" s="14" t="s">
        <v>1605</v>
      </c>
      <c r="J659" s="14" t="s">
        <v>60</v>
      </c>
      <c r="K659" s="14" t="s">
        <v>60</v>
      </c>
      <c r="L659" s="14" t="s">
        <v>60</v>
      </c>
      <c r="M659" s="14" t="s">
        <v>60</v>
      </c>
      <c r="N659" s="14" t="s">
        <v>60</v>
      </c>
      <c r="O659" s="14" t="s">
        <v>60</v>
      </c>
      <c r="P659" s="14" t="s">
        <v>6693</v>
      </c>
      <c r="Q659" s="14" t="s">
        <v>11</v>
      </c>
      <c r="R659" s="3">
        <v>0</v>
      </c>
      <c r="S659" s="3">
        <f t="shared" si="32"/>
        <v>550</v>
      </c>
      <c r="T659" s="3">
        <f t="shared" si="33"/>
        <v>0</v>
      </c>
      <c r="U659" s="3" t="s">
        <v>60</v>
      </c>
      <c r="V659" s="14" t="s">
        <v>6</v>
      </c>
      <c r="W659" s="14" t="s">
        <v>6689</v>
      </c>
      <c r="X659" s="14" t="s">
        <v>60</v>
      </c>
    </row>
    <row r="660" spans="1:24" ht="15" x14ac:dyDescent="0.3">
      <c r="A660" s="3">
        <v>25</v>
      </c>
      <c r="B660" s="3" t="s">
        <v>6694</v>
      </c>
      <c r="C660" s="14" t="s">
        <v>0</v>
      </c>
      <c r="D660" s="14" t="s">
        <v>1614</v>
      </c>
      <c r="E660" s="14" t="s">
        <v>6695</v>
      </c>
      <c r="F660" s="14" t="s">
        <v>1615</v>
      </c>
      <c r="G660" s="14" t="s">
        <v>3</v>
      </c>
      <c r="H660" s="14" t="s">
        <v>6696</v>
      </c>
      <c r="I660" s="14" t="s">
        <v>1616</v>
      </c>
      <c r="J660" s="14" t="s">
        <v>60</v>
      </c>
      <c r="K660" s="14" t="s">
        <v>60</v>
      </c>
      <c r="L660" s="14" t="s">
        <v>60</v>
      </c>
      <c r="M660" s="14" t="s">
        <v>60</v>
      </c>
      <c r="N660" s="14" t="s">
        <v>60</v>
      </c>
      <c r="O660" s="14" t="s">
        <v>1617</v>
      </c>
      <c r="P660" s="14" t="s">
        <v>6697</v>
      </c>
      <c r="Q660" s="14" t="s">
        <v>11</v>
      </c>
      <c r="R660" s="3">
        <v>0</v>
      </c>
      <c r="S660" s="3">
        <f t="shared" si="32"/>
        <v>550</v>
      </c>
      <c r="T660" s="3">
        <f t="shared" si="33"/>
        <v>0</v>
      </c>
      <c r="U660" s="3" t="s">
        <v>60</v>
      </c>
      <c r="V660" s="14" t="s">
        <v>6</v>
      </c>
      <c r="W660" s="14" t="s">
        <v>6698</v>
      </c>
      <c r="X660" s="14" t="s">
        <v>60</v>
      </c>
    </row>
    <row r="661" spans="1:24" ht="15" x14ac:dyDescent="0.3">
      <c r="A661" s="3">
        <v>26</v>
      </c>
      <c r="B661" s="3" t="s">
        <v>6699</v>
      </c>
      <c r="C661" s="14" t="s">
        <v>0</v>
      </c>
      <c r="D661" s="14" t="s">
        <v>1623</v>
      </c>
      <c r="E661" s="14" t="s">
        <v>6700</v>
      </c>
      <c r="F661" s="14" t="s">
        <v>1624</v>
      </c>
      <c r="G661" s="14" t="s">
        <v>121</v>
      </c>
      <c r="H661" s="14" t="s">
        <v>6701</v>
      </c>
      <c r="I661" s="14" t="s">
        <v>1625</v>
      </c>
      <c r="J661" s="14" t="s">
        <v>60</v>
      </c>
      <c r="K661" s="14" t="s">
        <v>60</v>
      </c>
      <c r="L661" s="14" t="s">
        <v>60</v>
      </c>
      <c r="M661" s="14" t="s">
        <v>60</v>
      </c>
      <c r="N661" s="14" t="s">
        <v>60</v>
      </c>
      <c r="O661" s="14" t="s">
        <v>388</v>
      </c>
      <c r="P661" s="14" t="s">
        <v>6702</v>
      </c>
      <c r="Q661" s="14" t="s">
        <v>11</v>
      </c>
      <c r="R661" s="3">
        <v>0</v>
      </c>
      <c r="S661" s="3">
        <f t="shared" si="32"/>
        <v>550</v>
      </c>
      <c r="T661" s="3">
        <f t="shared" si="33"/>
        <v>0</v>
      </c>
      <c r="U661" s="3" t="s">
        <v>60</v>
      </c>
      <c r="V661" s="14" t="s">
        <v>6</v>
      </c>
      <c r="W661" s="14" t="s">
        <v>6703</v>
      </c>
      <c r="X661" s="14" t="s">
        <v>60</v>
      </c>
    </row>
    <row r="662" spans="1:24" ht="15" x14ac:dyDescent="0.3">
      <c r="A662" s="3">
        <v>27</v>
      </c>
      <c r="B662" s="3" t="s">
        <v>6704</v>
      </c>
      <c r="C662" s="14" t="s">
        <v>0</v>
      </c>
      <c r="D662" s="14" t="s">
        <v>1631</v>
      </c>
      <c r="E662" s="14" t="s">
        <v>6705</v>
      </c>
      <c r="F662" s="14" t="s">
        <v>1632</v>
      </c>
      <c r="G662" s="14" t="s">
        <v>3</v>
      </c>
      <c r="H662" s="14" t="s">
        <v>6706</v>
      </c>
      <c r="I662" s="14" t="s">
        <v>1633</v>
      </c>
      <c r="J662" s="14" t="s">
        <v>60</v>
      </c>
      <c r="K662" s="14" t="s">
        <v>60</v>
      </c>
      <c r="L662" s="14" t="s">
        <v>60</v>
      </c>
      <c r="M662" s="14" t="s">
        <v>60</v>
      </c>
      <c r="N662" s="14" t="s">
        <v>60</v>
      </c>
      <c r="O662" s="14" t="s">
        <v>60</v>
      </c>
      <c r="P662" s="14" t="s">
        <v>6707</v>
      </c>
      <c r="Q662" s="14" t="s">
        <v>11</v>
      </c>
      <c r="R662" s="3">
        <v>0</v>
      </c>
      <c r="S662" s="3">
        <f t="shared" si="32"/>
        <v>550</v>
      </c>
      <c r="T662" s="3">
        <f t="shared" si="33"/>
        <v>0</v>
      </c>
      <c r="U662" s="3" t="s">
        <v>60</v>
      </c>
      <c r="V662" s="14" t="s">
        <v>6</v>
      </c>
      <c r="W662" s="14" t="s">
        <v>4634</v>
      </c>
      <c r="X662" s="14" t="s">
        <v>60</v>
      </c>
    </row>
    <row r="663" spans="1:24" ht="15" x14ac:dyDescent="0.3">
      <c r="A663" s="3">
        <v>28</v>
      </c>
      <c r="B663" s="3" t="s">
        <v>6708</v>
      </c>
      <c r="C663" s="14" t="s">
        <v>0</v>
      </c>
      <c r="D663" s="14" t="s">
        <v>1626</v>
      </c>
      <c r="E663" s="14" t="s">
        <v>6709</v>
      </c>
      <c r="F663" s="14" t="s">
        <v>1627</v>
      </c>
      <c r="G663" s="14" t="s">
        <v>3</v>
      </c>
      <c r="H663" s="14" t="s">
        <v>6710</v>
      </c>
      <c r="I663" s="14" t="s">
        <v>1628</v>
      </c>
      <c r="J663" s="14" t="s">
        <v>60</v>
      </c>
      <c r="K663" s="14" t="s">
        <v>60</v>
      </c>
      <c r="L663" s="14" t="s">
        <v>60</v>
      </c>
      <c r="M663" s="14" t="s">
        <v>60</v>
      </c>
      <c r="N663" s="14" t="s">
        <v>60</v>
      </c>
      <c r="O663" s="14" t="s">
        <v>388</v>
      </c>
      <c r="P663" s="14" t="s">
        <v>6711</v>
      </c>
      <c r="Q663" s="14" t="s">
        <v>11</v>
      </c>
      <c r="R663" s="3">
        <v>0</v>
      </c>
      <c r="S663" s="3">
        <f t="shared" si="32"/>
        <v>550</v>
      </c>
      <c r="T663" s="3">
        <f t="shared" si="33"/>
        <v>0</v>
      </c>
      <c r="U663" s="3" t="s">
        <v>60</v>
      </c>
      <c r="V663" s="14" t="s">
        <v>6</v>
      </c>
      <c r="W663" s="14" t="s">
        <v>6703</v>
      </c>
      <c r="X663" s="14" t="s">
        <v>60</v>
      </c>
    </row>
    <row r="664" spans="1:24" ht="15" x14ac:dyDescent="0.3">
      <c r="A664" s="3">
        <v>29</v>
      </c>
      <c r="B664" s="3" t="s">
        <v>6712</v>
      </c>
      <c r="C664" s="14" t="s">
        <v>0</v>
      </c>
      <c r="D664" s="14" t="s">
        <v>1339</v>
      </c>
      <c r="E664" s="14" t="s">
        <v>6713</v>
      </c>
      <c r="F664" s="14" t="s">
        <v>1340</v>
      </c>
      <c r="G664" s="14" t="s">
        <v>3</v>
      </c>
      <c r="H664" s="14" t="s">
        <v>6714</v>
      </c>
      <c r="I664" s="14" t="s">
        <v>1341</v>
      </c>
      <c r="J664" s="14" t="s">
        <v>60</v>
      </c>
      <c r="K664" s="14" t="s">
        <v>60</v>
      </c>
      <c r="L664" s="14" t="s">
        <v>60</v>
      </c>
      <c r="M664" s="14" t="s">
        <v>60</v>
      </c>
      <c r="N664" s="14" t="s">
        <v>60</v>
      </c>
      <c r="O664" s="14" t="s">
        <v>193</v>
      </c>
      <c r="P664" s="14" t="s">
        <v>6715</v>
      </c>
      <c r="Q664" s="14" t="s">
        <v>11</v>
      </c>
      <c r="R664" s="3">
        <v>0</v>
      </c>
      <c r="S664" s="3">
        <f t="shared" si="32"/>
        <v>550</v>
      </c>
      <c r="T664" s="3">
        <f t="shared" si="33"/>
        <v>0</v>
      </c>
      <c r="U664" s="3" t="s">
        <v>60</v>
      </c>
      <c r="V664" s="14" t="s">
        <v>6</v>
      </c>
      <c r="W664" s="14" t="s">
        <v>6349</v>
      </c>
      <c r="X664" s="14" t="s">
        <v>60</v>
      </c>
    </row>
    <row r="665" spans="1:24" ht="15" x14ac:dyDescent="0.3">
      <c r="A665" s="3">
        <v>30</v>
      </c>
      <c r="B665" s="3" t="s">
        <v>6716</v>
      </c>
      <c r="C665" s="14" t="s">
        <v>0</v>
      </c>
      <c r="D665" s="14" t="s">
        <v>1358</v>
      </c>
      <c r="E665" s="14" t="s">
        <v>6717</v>
      </c>
      <c r="F665" s="14" t="s">
        <v>1359</v>
      </c>
      <c r="G665" s="14" t="s">
        <v>3</v>
      </c>
      <c r="H665" s="14" t="s">
        <v>6718</v>
      </c>
      <c r="I665" s="14" t="s">
        <v>1360</v>
      </c>
      <c r="J665" s="14" t="s">
        <v>228</v>
      </c>
      <c r="K665" s="14" t="s">
        <v>1152</v>
      </c>
      <c r="L665" s="14" t="s">
        <v>60</v>
      </c>
      <c r="M665" s="14" t="s">
        <v>1361</v>
      </c>
      <c r="N665" s="14" t="s">
        <v>60</v>
      </c>
      <c r="O665" s="14" t="s">
        <v>193</v>
      </c>
      <c r="P665" s="14" t="s">
        <v>6719</v>
      </c>
      <c r="Q665" s="14" t="s">
        <v>1153</v>
      </c>
      <c r="R665" s="3">
        <v>0</v>
      </c>
      <c r="S665" s="3">
        <f t="shared" si="32"/>
        <v>550</v>
      </c>
      <c r="T665" s="3">
        <f t="shared" si="33"/>
        <v>0</v>
      </c>
      <c r="U665" s="3" t="s">
        <v>6720</v>
      </c>
      <c r="V665" s="14" t="s">
        <v>6</v>
      </c>
      <c r="W665" s="14" t="s">
        <v>6349</v>
      </c>
      <c r="X665" s="14" t="s">
        <v>60</v>
      </c>
    </row>
    <row r="666" spans="1:24" ht="15.6" x14ac:dyDescent="0.3">
      <c r="A666" s="26" t="s">
        <v>60</v>
      </c>
      <c r="B666" s="26" t="s">
        <v>60</v>
      </c>
      <c r="C666" s="27" t="s">
        <v>60</v>
      </c>
      <c r="D666" s="27" t="s">
        <v>60</v>
      </c>
      <c r="E666" s="27" t="s">
        <v>60</v>
      </c>
      <c r="F666" s="27" t="s">
        <v>60</v>
      </c>
      <c r="G666" s="27" t="s">
        <v>60</v>
      </c>
      <c r="H666" s="27" t="s">
        <v>60</v>
      </c>
      <c r="I666" s="27" t="s">
        <v>60</v>
      </c>
      <c r="J666" s="27" t="s">
        <v>60</v>
      </c>
      <c r="K666" s="27" t="s">
        <v>60</v>
      </c>
      <c r="L666" s="27" t="s">
        <v>60</v>
      </c>
      <c r="M666" s="27" t="s">
        <v>60</v>
      </c>
      <c r="N666" s="27" t="s">
        <v>60</v>
      </c>
      <c r="O666" s="27" t="s">
        <v>60</v>
      </c>
      <c r="P666" s="27" t="s">
        <v>60</v>
      </c>
      <c r="Q666" s="27" t="s">
        <v>60</v>
      </c>
      <c r="R666" s="35" t="s">
        <v>2009</v>
      </c>
      <c r="S666" s="35" t="s">
        <v>60</v>
      </c>
      <c r="T666" s="26">
        <f>SUM(T635:T665)</f>
        <v>0</v>
      </c>
      <c r="U666" s="26" t="s">
        <v>6721</v>
      </c>
      <c r="V666" s="27" t="s">
        <v>60</v>
      </c>
      <c r="W666" s="27" t="s">
        <v>60</v>
      </c>
      <c r="X666" s="27" t="s">
        <v>60</v>
      </c>
    </row>
    <row r="667" spans="1:24" ht="15.6" x14ac:dyDescent="0.3">
      <c r="A667" s="34" t="s">
        <v>6722</v>
      </c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 spans="1:24" ht="109.2" x14ac:dyDescent="0.3">
      <c r="A668" s="23" t="s">
        <v>42</v>
      </c>
      <c r="B668" s="23" t="s">
        <v>43</v>
      </c>
      <c r="C668" s="24" t="s">
        <v>44</v>
      </c>
      <c r="D668" s="24" t="s">
        <v>4154</v>
      </c>
      <c r="E668" s="24" t="s">
        <v>4155</v>
      </c>
      <c r="F668" s="24" t="s">
        <v>4156</v>
      </c>
      <c r="G668" s="24" t="s">
        <v>45</v>
      </c>
      <c r="H668" s="24" t="s">
        <v>4157</v>
      </c>
      <c r="I668" s="24" t="s">
        <v>46</v>
      </c>
      <c r="J668" s="24" t="s">
        <v>4158</v>
      </c>
      <c r="K668" s="24" t="s">
        <v>4159</v>
      </c>
      <c r="L668" s="24" t="s">
        <v>4160</v>
      </c>
      <c r="M668" s="24" t="s">
        <v>4161</v>
      </c>
      <c r="N668" s="24" t="s">
        <v>47</v>
      </c>
      <c r="O668" s="24" t="s">
        <v>48</v>
      </c>
      <c r="P668" s="24" t="s">
        <v>49</v>
      </c>
      <c r="Q668" s="24" t="s">
        <v>50</v>
      </c>
      <c r="R668" s="23" t="s">
        <v>4162</v>
      </c>
      <c r="S668" s="23" t="s">
        <v>4163</v>
      </c>
      <c r="T668" s="23" t="s">
        <v>4164</v>
      </c>
      <c r="U668" s="23" t="s">
        <v>4165</v>
      </c>
      <c r="V668" s="24" t="s">
        <v>51</v>
      </c>
      <c r="W668" s="24" t="s">
        <v>52</v>
      </c>
      <c r="X668" s="24" t="s">
        <v>53</v>
      </c>
    </row>
    <row r="669" spans="1:24" ht="15" x14ac:dyDescent="0.3">
      <c r="A669" s="3">
        <v>1</v>
      </c>
      <c r="B669" s="3" t="s">
        <v>6723</v>
      </c>
      <c r="C669" s="14" t="s">
        <v>710</v>
      </c>
      <c r="D669" s="14" t="s">
        <v>1221</v>
      </c>
      <c r="E669" s="14" t="s">
        <v>6724</v>
      </c>
      <c r="F669" s="14" t="s">
        <v>1222</v>
      </c>
      <c r="G669" s="14" t="s">
        <v>3</v>
      </c>
      <c r="H669" s="14" t="s">
        <v>6725</v>
      </c>
      <c r="I669" s="14" t="s">
        <v>1223</v>
      </c>
      <c r="J669" s="14" t="s">
        <v>60</v>
      </c>
      <c r="K669" s="14" t="s">
        <v>60</v>
      </c>
      <c r="L669" s="14" t="s">
        <v>60</v>
      </c>
      <c r="M669" s="14" t="s">
        <v>60</v>
      </c>
      <c r="N669" s="14" t="s">
        <v>60</v>
      </c>
      <c r="O669" s="14" t="s">
        <v>193</v>
      </c>
      <c r="P669" s="14" t="s">
        <v>6726</v>
      </c>
      <c r="Q669" s="14" t="s">
        <v>11</v>
      </c>
      <c r="R669" s="3">
        <v>0</v>
      </c>
      <c r="S669" s="3">
        <f t="shared" ref="S669:S699" si="34">IF(RIGHT(C669,3)="MAZ",550,IF(RIGHT(C669,4)="MATE",570,IF(RIGHT(C669,7)="SKD-III",640,IF(RIGHT(C669,6)="SKD-II",770,IF(RIGHT(C669,5)="SKD-I",900,IF(RIGHT(C669,5)="CPDVR",770,""))))))</f>
        <v>900</v>
      </c>
      <c r="T669" s="3">
        <f t="shared" ref="T669:T699" si="35">R669*S669</f>
        <v>0</v>
      </c>
      <c r="U669" s="3" t="s">
        <v>60</v>
      </c>
      <c r="V669" s="14" t="s">
        <v>6</v>
      </c>
      <c r="W669" s="14" t="s">
        <v>6349</v>
      </c>
      <c r="X669" s="14" t="s">
        <v>60</v>
      </c>
    </row>
    <row r="670" spans="1:24" ht="15" x14ac:dyDescent="0.3">
      <c r="A670" s="3">
        <v>2</v>
      </c>
      <c r="B670" s="3" t="s">
        <v>6727</v>
      </c>
      <c r="C670" s="14" t="s">
        <v>69</v>
      </c>
      <c r="D670" s="14" t="s">
        <v>1224</v>
      </c>
      <c r="E670" s="14" t="s">
        <v>4746</v>
      </c>
      <c r="F670" s="14" t="s">
        <v>1225</v>
      </c>
      <c r="G670" s="14" t="s">
        <v>3</v>
      </c>
      <c r="H670" s="14" t="s">
        <v>6728</v>
      </c>
      <c r="I670" s="14" t="s">
        <v>1226</v>
      </c>
      <c r="J670" s="14" t="s">
        <v>60</v>
      </c>
      <c r="K670" s="14" t="s">
        <v>60</v>
      </c>
      <c r="L670" s="14" t="s">
        <v>60</v>
      </c>
      <c r="M670" s="14" t="s">
        <v>1227</v>
      </c>
      <c r="N670" s="14" t="s">
        <v>60</v>
      </c>
      <c r="O670" s="14" t="s">
        <v>60</v>
      </c>
      <c r="P670" s="14" t="s">
        <v>6729</v>
      </c>
      <c r="Q670" s="14" t="s">
        <v>1120</v>
      </c>
      <c r="R670" s="3">
        <v>0</v>
      </c>
      <c r="S670" s="3">
        <f t="shared" si="34"/>
        <v>570</v>
      </c>
      <c r="T670" s="3">
        <f t="shared" si="35"/>
        <v>0</v>
      </c>
      <c r="U670" s="3" t="s">
        <v>60</v>
      </c>
      <c r="V670" s="14" t="s">
        <v>6</v>
      </c>
      <c r="W670" s="14" t="s">
        <v>5939</v>
      </c>
      <c r="X670" s="14" t="s">
        <v>60</v>
      </c>
    </row>
    <row r="671" spans="1:24" ht="15" x14ac:dyDescent="0.3">
      <c r="A671" s="3">
        <v>3</v>
      </c>
      <c r="B671" s="3" t="s">
        <v>6730</v>
      </c>
      <c r="C671" s="14" t="s">
        <v>0</v>
      </c>
      <c r="D671" s="14" t="s">
        <v>1228</v>
      </c>
      <c r="E671" s="14" t="s">
        <v>5237</v>
      </c>
      <c r="F671" s="14" t="s">
        <v>1229</v>
      </c>
      <c r="G671" s="14" t="s">
        <v>3</v>
      </c>
      <c r="H671" s="14" t="s">
        <v>1230</v>
      </c>
      <c r="I671" s="14" t="s">
        <v>1231</v>
      </c>
      <c r="J671" s="14" t="s">
        <v>60</v>
      </c>
      <c r="K671" s="14" t="s">
        <v>60</v>
      </c>
      <c r="L671" s="14" t="s">
        <v>60</v>
      </c>
      <c r="M671" s="14" t="s">
        <v>1232</v>
      </c>
      <c r="N671" s="14" t="s">
        <v>60</v>
      </c>
      <c r="O671" s="14" t="s">
        <v>60</v>
      </c>
      <c r="P671" s="14" t="s">
        <v>6731</v>
      </c>
      <c r="Q671" s="14" t="s">
        <v>11</v>
      </c>
      <c r="R671" s="3">
        <v>0</v>
      </c>
      <c r="S671" s="3">
        <f t="shared" si="34"/>
        <v>550</v>
      </c>
      <c r="T671" s="3">
        <f t="shared" si="35"/>
        <v>0</v>
      </c>
      <c r="U671" s="3" t="s">
        <v>60</v>
      </c>
      <c r="V671" s="14" t="s">
        <v>6</v>
      </c>
      <c r="W671" s="14" t="s">
        <v>5939</v>
      </c>
      <c r="X671" s="14" t="s">
        <v>6732</v>
      </c>
    </row>
    <row r="672" spans="1:24" ht="15" x14ac:dyDescent="0.3">
      <c r="A672" s="3">
        <v>4</v>
      </c>
      <c r="B672" s="3" t="s">
        <v>6733</v>
      </c>
      <c r="C672" s="14" t="s">
        <v>0</v>
      </c>
      <c r="D672" s="14" t="s">
        <v>1233</v>
      </c>
      <c r="E672" s="14" t="s">
        <v>4928</v>
      </c>
      <c r="F672" s="14" t="s">
        <v>1234</v>
      </c>
      <c r="G672" s="14" t="s">
        <v>3</v>
      </c>
      <c r="H672" s="14" t="s">
        <v>6734</v>
      </c>
      <c r="I672" s="14" t="s">
        <v>1235</v>
      </c>
      <c r="J672" s="14" t="s">
        <v>60</v>
      </c>
      <c r="K672" s="14" t="s">
        <v>60</v>
      </c>
      <c r="L672" s="14" t="s">
        <v>60</v>
      </c>
      <c r="M672" s="14" t="s">
        <v>1236</v>
      </c>
      <c r="N672" s="14" t="s">
        <v>60</v>
      </c>
      <c r="O672" s="14" t="s">
        <v>60</v>
      </c>
      <c r="P672" s="14" t="s">
        <v>6735</v>
      </c>
      <c r="Q672" s="14" t="s">
        <v>11</v>
      </c>
      <c r="R672" s="3">
        <v>0</v>
      </c>
      <c r="S672" s="3">
        <f t="shared" si="34"/>
        <v>550</v>
      </c>
      <c r="T672" s="3">
        <f t="shared" si="35"/>
        <v>0</v>
      </c>
      <c r="U672" s="3" t="s">
        <v>60</v>
      </c>
      <c r="V672" s="14" t="s">
        <v>6</v>
      </c>
      <c r="W672" s="14" t="s">
        <v>5939</v>
      </c>
      <c r="X672" s="14" t="s">
        <v>60</v>
      </c>
    </row>
    <row r="673" spans="1:24" ht="15" x14ac:dyDescent="0.3">
      <c r="A673" s="3">
        <v>5</v>
      </c>
      <c r="B673" s="3" t="s">
        <v>6736</v>
      </c>
      <c r="C673" s="14" t="s">
        <v>0</v>
      </c>
      <c r="D673" s="14" t="s">
        <v>1237</v>
      </c>
      <c r="E673" s="14" t="s">
        <v>4440</v>
      </c>
      <c r="F673" s="14" t="s">
        <v>1238</v>
      </c>
      <c r="G673" s="14" t="s">
        <v>3</v>
      </c>
      <c r="H673" s="14" t="s">
        <v>6737</v>
      </c>
      <c r="I673" s="14" t="s">
        <v>1239</v>
      </c>
      <c r="J673" s="14" t="s">
        <v>60</v>
      </c>
      <c r="K673" s="14" t="s">
        <v>60</v>
      </c>
      <c r="L673" s="14" t="s">
        <v>60</v>
      </c>
      <c r="M673" s="14" t="s">
        <v>1240</v>
      </c>
      <c r="N673" s="14" t="s">
        <v>60</v>
      </c>
      <c r="O673" s="14" t="s">
        <v>60</v>
      </c>
      <c r="P673" s="14" t="s">
        <v>6738</v>
      </c>
      <c r="Q673" s="14" t="s">
        <v>11</v>
      </c>
      <c r="R673" s="3">
        <v>0</v>
      </c>
      <c r="S673" s="3">
        <f t="shared" si="34"/>
        <v>550</v>
      </c>
      <c r="T673" s="3">
        <f t="shared" si="35"/>
        <v>0</v>
      </c>
      <c r="U673" s="3" t="s">
        <v>60</v>
      </c>
      <c r="V673" s="14" t="s">
        <v>6</v>
      </c>
      <c r="W673" s="14" t="s">
        <v>5939</v>
      </c>
      <c r="X673" s="14" t="s">
        <v>60</v>
      </c>
    </row>
    <row r="674" spans="1:24" ht="15" x14ac:dyDescent="0.3">
      <c r="A674" s="3">
        <v>6</v>
      </c>
      <c r="B674" s="3" t="s">
        <v>6739</v>
      </c>
      <c r="C674" s="14" t="s">
        <v>0</v>
      </c>
      <c r="D674" s="14" t="s">
        <v>699</v>
      </c>
      <c r="E674" s="14" t="s">
        <v>4815</v>
      </c>
      <c r="F674" s="14" t="s">
        <v>1241</v>
      </c>
      <c r="G674" s="14" t="s">
        <v>3</v>
      </c>
      <c r="H674" s="14" t="s">
        <v>6740</v>
      </c>
      <c r="I674" s="14" t="s">
        <v>1242</v>
      </c>
      <c r="J674" s="14" t="s">
        <v>60</v>
      </c>
      <c r="K674" s="14" t="s">
        <v>60</v>
      </c>
      <c r="L674" s="14" t="s">
        <v>60</v>
      </c>
      <c r="M674" s="14" t="s">
        <v>1243</v>
      </c>
      <c r="N674" s="14" t="s">
        <v>60</v>
      </c>
      <c r="O674" s="14" t="s">
        <v>60</v>
      </c>
      <c r="P674" s="14" t="s">
        <v>6741</v>
      </c>
      <c r="Q674" s="14" t="s">
        <v>11</v>
      </c>
      <c r="R674" s="3">
        <v>0</v>
      </c>
      <c r="S674" s="3">
        <f t="shared" si="34"/>
        <v>550</v>
      </c>
      <c r="T674" s="3">
        <f t="shared" si="35"/>
        <v>0</v>
      </c>
      <c r="U674" s="3" t="s">
        <v>60</v>
      </c>
      <c r="V674" s="14" t="s">
        <v>6</v>
      </c>
      <c r="W674" s="14" t="s">
        <v>5939</v>
      </c>
      <c r="X674" s="14" t="s">
        <v>60</v>
      </c>
    </row>
    <row r="675" spans="1:24" ht="15" x14ac:dyDescent="0.3">
      <c r="A675" s="3">
        <v>7</v>
      </c>
      <c r="B675" s="3" t="s">
        <v>6742</v>
      </c>
      <c r="C675" s="14" t="s">
        <v>0</v>
      </c>
      <c r="D675" s="14" t="s">
        <v>1249</v>
      </c>
      <c r="E675" s="14" t="s">
        <v>4430</v>
      </c>
      <c r="F675" s="14" t="s">
        <v>1250</v>
      </c>
      <c r="G675" s="14" t="s">
        <v>3</v>
      </c>
      <c r="H675" s="14" t="s">
        <v>6743</v>
      </c>
      <c r="I675" s="14" t="s">
        <v>1251</v>
      </c>
      <c r="J675" s="14" t="s">
        <v>60</v>
      </c>
      <c r="K675" s="14" t="s">
        <v>60</v>
      </c>
      <c r="L675" s="14" t="s">
        <v>60</v>
      </c>
      <c r="M675" s="14" t="s">
        <v>1252</v>
      </c>
      <c r="N675" s="14" t="s">
        <v>60</v>
      </c>
      <c r="O675" s="14" t="s">
        <v>60</v>
      </c>
      <c r="P675" s="14" t="s">
        <v>6744</v>
      </c>
      <c r="Q675" s="14" t="s">
        <v>11</v>
      </c>
      <c r="R675" s="3">
        <v>0</v>
      </c>
      <c r="S675" s="3">
        <f t="shared" si="34"/>
        <v>550</v>
      </c>
      <c r="T675" s="3">
        <f t="shared" si="35"/>
        <v>0</v>
      </c>
      <c r="U675" s="3" t="s">
        <v>60</v>
      </c>
      <c r="V675" s="14" t="s">
        <v>6</v>
      </c>
      <c r="W675" s="14" t="s">
        <v>5939</v>
      </c>
      <c r="X675" s="14" t="s">
        <v>60</v>
      </c>
    </row>
    <row r="676" spans="1:24" ht="15" x14ac:dyDescent="0.3">
      <c r="A676" s="3">
        <v>8</v>
      </c>
      <c r="B676" s="3" t="s">
        <v>6745</v>
      </c>
      <c r="C676" s="14" t="s">
        <v>0</v>
      </c>
      <c r="D676" s="14" t="s">
        <v>1253</v>
      </c>
      <c r="E676" s="14" t="s">
        <v>6208</v>
      </c>
      <c r="F676" s="14" t="s">
        <v>1254</v>
      </c>
      <c r="G676" s="14" t="s">
        <v>3</v>
      </c>
      <c r="H676" s="14" t="s">
        <v>6746</v>
      </c>
      <c r="I676" s="14" t="s">
        <v>1255</v>
      </c>
      <c r="J676" s="14" t="s">
        <v>60</v>
      </c>
      <c r="K676" s="14" t="s">
        <v>60</v>
      </c>
      <c r="L676" s="14" t="s">
        <v>60</v>
      </c>
      <c r="M676" s="14" t="s">
        <v>1256</v>
      </c>
      <c r="N676" s="14" t="s">
        <v>60</v>
      </c>
      <c r="O676" s="14" t="s">
        <v>60</v>
      </c>
      <c r="P676" s="14" t="s">
        <v>6747</v>
      </c>
      <c r="Q676" s="14" t="s">
        <v>11</v>
      </c>
      <c r="R676" s="3">
        <v>0</v>
      </c>
      <c r="S676" s="3">
        <f t="shared" si="34"/>
        <v>550</v>
      </c>
      <c r="T676" s="3">
        <f t="shared" si="35"/>
        <v>0</v>
      </c>
      <c r="U676" s="3" t="s">
        <v>60</v>
      </c>
      <c r="V676" s="14" t="s">
        <v>6</v>
      </c>
      <c r="W676" s="14" t="s">
        <v>5939</v>
      </c>
      <c r="X676" s="14" t="s">
        <v>60</v>
      </c>
    </row>
    <row r="677" spans="1:24" ht="15" x14ac:dyDescent="0.3">
      <c r="A677" s="3">
        <v>9</v>
      </c>
      <c r="B677" s="3" t="s">
        <v>6748</v>
      </c>
      <c r="C677" s="14" t="s">
        <v>91</v>
      </c>
      <c r="D677" s="14" t="s">
        <v>1257</v>
      </c>
      <c r="E677" s="14" t="s">
        <v>4200</v>
      </c>
      <c r="F677" s="14" t="s">
        <v>1258</v>
      </c>
      <c r="G677" s="14" t="s">
        <v>3</v>
      </c>
      <c r="H677" s="14" t="s">
        <v>6749</v>
      </c>
      <c r="I677" s="14" t="s">
        <v>1259</v>
      </c>
      <c r="J677" s="14" t="s">
        <v>60</v>
      </c>
      <c r="K677" s="14" t="s">
        <v>60</v>
      </c>
      <c r="L677" s="14" t="s">
        <v>60</v>
      </c>
      <c r="M677" s="14" t="s">
        <v>1260</v>
      </c>
      <c r="N677" s="14" t="s">
        <v>60</v>
      </c>
      <c r="O677" s="14" t="s">
        <v>193</v>
      </c>
      <c r="P677" s="14" t="s">
        <v>6750</v>
      </c>
      <c r="Q677" s="14" t="s">
        <v>11</v>
      </c>
      <c r="R677" s="3">
        <v>0</v>
      </c>
      <c r="S677" s="3">
        <f t="shared" si="34"/>
        <v>770</v>
      </c>
      <c r="T677" s="3">
        <f t="shared" si="35"/>
        <v>0</v>
      </c>
      <c r="U677" s="3" t="s">
        <v>60</v>
      </c>
      <c r="V677" s="14" t="s">
        <v>6</v>
      </c>
      <c r="W677" s="14" t="s">
        <v>6349</v>
      </c>
      <c r="X677" s="14" t="s">
        <v>60</v>
      </c>
    </row>
    <row r="678" spans="1:24" ht="15" x14ac:dyDescent="0.3">
      <c r="A678" s="3">
        <v>10</v>
      </c>
      <c r="B678" s="3" t="s">
        <v>1261</v>
      </c>
      <c r="C678" s="14" t="s">
        <v>710</v>
      </c>
      <c r="D678" s="14" t="s">
        <v>1262</v>
      </c>
      <c r="E678" s="14" t="s">
        <v>6751</v>
      </c>
      <c r="F678" s="14" t="s">
        <v>1263</v>
      </c>
      <c r="G678" s="14" t="s">
        <v>3</v>
      </c>
      <c r="H678" s="14" t="s">
        <v>6752</v>
      </c>
      <c r="I678" s="14" t="s">
        <v>1264</v>
      </c>
      <c r="J678" s="14" t="s">
        <v>1265</v>
      </c>
      <c r="K678" s="14" t="s">
        <v>1152</v>
      </c>
      <c r="L678" s="14" t="s">
        <v>60</v>
      </c>
      <c r="M678" s="14" t="s">
        <v>1266</v>
      </c>
      <c r="N678" s="14" t="s">
        <v>60</v>
      </c>
      <c r="O678" s="14" t="s">
        <v>193</v>
      </c>
      <c r="P678" s="14" t="s">
        <v>6753</v>
      </c>
      <c r="Q678" s="14" t="s">
        <v>185</v>
      </c>
      <c r="R678" s="3">
        <v>0</v>
      </c>
      <c r="S678" s="3">
        <f t="shared" si="34"/>
        <v>900</v>
      </c>
      <c r="T678" s="3">
        <f t="shared" si="35"/>
        <v>0</v>
      </c>
      <c r="U678" s="3" t="s">
        <v>60</v>
      </c>
      <c r="V678" s="14" t="s">
        <v>6</v>
      </c>
      <c r="W678" s="14" t="s">
        <v>4287</v>
      </c>
      <c r="X678" s="14" t="s">
        <v>60</v>
      </c>
    </row>
    <row r="679" spans="1:24" ht="15" x14ac:dyDescent="0.3">
      <c r="A679" s="3">
        <v>11</v>
      </c>
      <c r="B679" s="3" t="s">
        <v>1267</v>
      </c>
      <c r="C679" s="14" t="s">
        <v>710</v>
      </c>
      <c r="D679" s="14" t="s">
        <v>1268</v>
      </c>
      <c r="E679" s="14" t="s">
        <v>6754</v>
      </c>
      <c r="F679" s="14" t="s">
        <v>1269</v>
      </c>
      <c r="G679" s="14" t="s">
        <v>3</v>
      </c>
      <c r="H679" s="14" t="s">
        <v>6755</v>
      </c>
      <c r="I679" s="14" t="s">
        <v>1270</v>
      </c>
      <c r="J679" s="14" t="s">
        <v>1265</v>
      </c>
      <c r="K679" s="14" t="s">
        <v>1152</v>
      </c>
      <c r="L679" s="14" t="s">
        <v>60</v>
      </c>
      <c r="M679" s="14" t="s">
        <v>1271</v>
      </c>
      <c r="N679" s="14" t="s">
        <v>60</v>
      </c>
      <c r="O679" s="14" t="s">
        <v>193</v>
      </c>
      <c r="P679" s="14" t="s">
        <v>6756</v>
      </c>
      <c r="Q679" s="14" t="s">
        <v>185</v>
      </c>
      <c r="R679" s="3">
        <v>0</v>
      </c>
      <c r="S679" s="3">
        <f t="shared" si="34"/>
        <v>900</v>
      </c>
      <c r="T679" s="3">
        <f t="shared" si="35"/>
        <v>0</v>
      </c>
      <c r="U679" s="3" t="s">
        <v>60</v>
      </c>
      <c r="V679" s="14" t="s">
        <v>6</v>
      </c>
      <c r="W679" s="14" t="s">
        <v>6349</v>
      </c>
      <c r="X679" s="14" t="s">
        <v>60</v>
      </c>
    </row>
    <row r="680" spans="1:24" ht="15" x14ac:dyDescent="0.3">
      <c r="A680" s="3">
        <v>12</v>
      </c>
      <c r="B680" s="3" t="s">
        <v>6757</v>
      </c>
      <c r="C680" s="14" t="s">
        <v>313</v>
      </c>
      <c r="D680" s="14" t="s">
        <v>1272</v>
      </c>
      <c r="E680" s="14" t="s">
        <v>4205</v>
      </c>
      <c r="F680" s="14" t="s">
        <v>1273</v>
      </c>
      <c r="G680" s="14" t="s">
        <v>3</v>
      </c>
      <c r="H680" s="14" t="s">
        <v>1274</v>
      </c>
      <c r="I680" s="14" t="s">
        <v>1275</v>
      </c>
      <c r="J680" s="14" t="s">
        <v>60</v>
      </c>
      <c r="K680" s="14" t="s">
        <v>60</v>
      </c>
      <c r="L680" s="14" t="s">
        <v>60</v>
      </c>
      <c r="M680" s="14" t="s">
        <v>1276</v>
      </c>
      <c r="N680" s="14" t="s">
        <v>60</v>
      </c>
      <c r="O680" s="14" t="s">
        <v>193</v>
      </c>
      <c r="P680" s="14" t="s">
        <v>6758</v>
      </c>
      <c r="Q680" s="14" t="s">
        <v>11</v>
      </c>
      <c r="R680" s="3">
        <v>0</v>
      </c>
      <c r="S680" s="3">
        <f t="shared" si="34"/>
        <v>550</v>
      </c>
      <c r="T680" s="3">
        <f t="shared" si="35"/>
        <v>0</v>
      </c>
      <c r="U680" s="3" t="s">
        <v>60</v>
      </c>
      <c r="V680" s="14" t="s">
        <v>6</v>
      </c>
      <c r="W680" s="14" t="s">
        <v>6349</v>
      </c>
      <c r="X680" s="14" t="s">
        <v>60</v>
      </c>
    </row>
    <row r="681" spans="1:24" ht="15" x14ac:dyDescent="0.3">
      <c r="A681" s="3">
        <v>13</v>
      </c>
      <c r="B681" s="3" t="s">
        <v>6759</v>
      </c>
      <c r="C681" s="14" t="s">
        <v>390</v>
      </c>
      <c r="D681" s="14" t="s">
        <v>1277</v>
      </c>
      <c r="E681" s="14" t="s">
        <v>6760</v>
      </c>
      <c r="F681" s="14" t="s">
        <v>1278</v>
      </c>
      <c r="G681" s="14" t="s">
        <v>3</v>
      </c>
      <c r="H681" s="14" t="s">
        <v>1279</v>
      </c>
      <c r="I681" s="14" t="s">
        <v>1280</v>
      </c>
      <c r="J681" s="14" t="s">
        <v>60</v>
      </c>
      <c r="K681" s="14" t="s">
        <v>60</v>
      </c>
      <c r="L681" s="14" t="s">
        <v>60</v>
      </c>
      <c r="M681" s="14" t="s">
        <v>1281</v>
      </c>
      <c r="N681" s="14" t="s">
        <v>60</v>
      </c>
      <c r="O681" s="14" t="s">
        <v>6761</v>
      </c>
      <c r="P681" s="14" t="s">
        <v>6762</v>
      </c>
      <c r="Q681" s="14" t="s">
        <v>11</v>
      </c>
      <c r="R681" s="3">
        <v>0</v>
      </c>
      <c r="S681" s="3">
        <f t="shared" si="34"/>
        <v>770</v>
      </c>
      <c r="T681" s="3">
        <f t="shared" si="35"/>
        <v>0</v>
      </c>
      <c r="U681" s="3" t="s">
        <v>60</v>
      </c>
      <c r="V681" s="14" t="s">
        <v>6</v>
      </c>
      <c r="W681" s="14" t="s">
        <v>6349</v>
      </c>
      <c r="X681" s="14" t="s">
        <v>60</v>
      </c>
    </row>
    <row r="682" spans="1:24" ht="15" x14ac:dyDescent="0.3">
      <c r="A682" s="3">
        <v>14</v>
      </c>
      <c r="B682" s="3" t="s">
        <v>6763</v>
      </c>
      <c r="C682" s="14" t="s">
        <v>0</v>
      </c>
      <c r="D682" s="14" t="s">
        <v>1283</v>
      </c>
      <c r="E682" s="14" t="s">
        <v>5557</v>
      </c>
      <c r="F682" s="14" t="s">
        <v>1284</v>
      </c>
      <c r="G682" s="14" t="s">
        <v>3</v>
      </c>
      <c r="H682" s="14" t="s">
        <v>6764</v>
      </c>
      <c r="I682" s="14" t="s">
        <v>1285</v>
      </c>
      <c r="J682" s="14" t="s">
        <v>60</v>
      </c>
      <c r="K682" s="14" t="s">
        <v>60</v>
      </c>
      <c r="L682" s="14" t="s">
        <v>60</v>
      </c>
      <c r="M682" s="14" t="s">
        <v>1286</v>
      </c>
      <c r="N682" s="14" t="s">
        <v>60</v>
      </c>
      <c r="O682" s="14" t="s">
        <v>6765</v>
      </c>
      <c r="P682" s="14" t="s">
        <v>6766</v>
      </c>
      <c r="Q682" s="14" t="s">
        <v>11</v>
      </c>
      <c r="R682" s="3">
        <v>0</v>
      </c>
      <c r="S682" s="3">
        <f t="shared" si="34"/>
        <v>550</v>
      </c>
      <c r="T682" s="3">
        <f t="shared" si="35"/>
        <v>0</v>
      </c>
      <c r="U682" s="3" t="s">
        <v>60</v>
      </c>
      <c r="V682" s="14" t="s">
        <v>6</v>
      </c>
      <c r="W682" s="14" t="s">
        <v>6318</v>
      </c>
      <c r="X682" s="14" t="s">
        <v>60</v>
      </c>
    </row>
    <row r="683" spans="1:24" ht="15" x14ac:dyDescent="0.3">
      <c r="A683" s="3">
        <v>15</v>
      </c>
      <c r="B683" s="3" t="s">
        <v>6767</v>
      </c>
      <c r="C683" s="14" t="s">
        <v>0</v>
      </c>
      <c r="D683" s="14" t="s">
        <v>1287</v>
      </c>
      <c r="E683" s="14" t="s">
        <v>4205</v>
      </c>
      <c r="F683" s="14" t="s">
        <v>1288</v>
      </c>
      <c r="G683" s="14" t="s">
        <v>3</v>
      </c>
      <c r="H683" s="14" t="s">
        <v>6768</v>
      </c>
      <c r="I683" s="14" t="s">
        <v>1289</v>
      </c>
      <c r="J683" s="14" t="s">
        <v>60</v>
      </c>
      <c r="K683" s="14" t="s">
        <v>60</v>
      </c>
      <c r="L683" s="14" t="s">
        <v>60</v>
      </c>
      <c r="M683" s="14" t="s">
        <v>1290</v>
      </c>
      <c r="N683" s="14" t="s">
        <v>60</v>
      </c>
      <c r="O683" s="14" t="s">
        <v>395</v>
      </c>
      <c r="P683" s="14" t="s">
        <v>6769</v>
      </c>
      <c r="Q683" s="14" t="s">
        <v>11</v>
      </c>
      <c r="R683" s="3">
        <v>0</v>
      </c>
      <c r="S683" s="3">
        <f t="shared" si="34"/>
        <v>550</v>
      </c>
      <c r="T683" s="3">
        <f t="shared" si="35"/>
        <v>0</v>
      </c>
      <c r="U683" s="3" t="s">
        <v>60</v>
      </c>
      <c r="V683" s="14" t="s">
        <v>6</v>
      </c>
      <c r="W683" s="14" t="s">
        <v>6318</v>
      </c>
      <c r="X683" s="14" t="s">
        <v>60</v>
      </c>
    </row>
    <row r="684" spans="1:24" ht="15" x14ac:dyDescent="0.3">
      <c r="A684" s="3">
        <v>16</v>
      </c>
      <c r="B684" s="3" t="s">
        <v>6770</v>
      </c>
      <c r="C684" s="14" t="s">
        <v>0</v>
      </c>
      <c r="D684" s="14" t="s">
        <v>1291</v>
      </c>
      <c r="E684" s="14" t="s">
        <v>4304</v>
      </c>
      <c r="F684" s="14" t="s">
        <v>1292</v>
      </c>
      <c r="G684" s="14" t="s">
        <v>3</v>
      </c>
      <c r="H684" s="14" t="s">
        <v>6771</v>
      </c>
      <c r="I684" s="14" t="s">
        <v>1293</v>
      </c>
      <c r="J684" s="14" t="s">
        <v>60</v>
      </c>
      <c r="K684" s="14" t="s">
        <v>60</v>
      </c>
      <c r="L684" s="14" t="s">
        <v>60</v>
      </c>
      <c r="M684" s="14" t="s">
        <v>1294</v>
      </c>
      <c r="N684" s="14" t="s">
        <v>60</v>
      </c>
      <c r="O684" s="14" t="s">
        <v>395</v>
      </c>
      <c r="P684" s="14" t="s">
        <v>6772</v>
      </c>
      <c r="Q684" s="14" t="s">
        <v>11</v>
      </c>
      <c r="R684" s="3">
        <v>0</v>
      </c>
      <c r="S684" s="3">
        <f t="shared" si="34"/>
        <v>550</v>
      </c>
      <c r="T684" s="3">
        <f t="shared" si="35"/>
        <v>0</v>
      </c>
      <c r="U684" s="3" t="s">
        <v>60</v>
      </c>
      <c r="V684" s="14" t="s">
        <v>6</v>
      </c>
      <c r="W684" s="14" t="s">
        <v>6318</v>
      </c>
      <c r="X684" s="14" t="s">
        <v>60</v>
      </c>
    </row>
    <row r="685" spans="1:24" ht="15" x14ac:dyDescent="0.3">
      <c r="A685" s="3">
        <v>17</v>
      </c>
      <c r="B685" s="3" t="s">
        <v>6773</v>
      </c>
      <c r="C685" s="14" t="s">
        <v>0</v>
      </c>
      <c r="D685" s="14" t="s">
        <v>1296</v>
      </c>
      <c r="E685" s="14" t="s">
        <v>6774</v>
      </c>
      <c r="F685" s="14" t="s">
        <v>1297</v>
      </c>
      <c r="G685" s="14" t="s">
        <v>3</v>
      </c>
      <c r="H685" s="14" t="s">
        <v>6775</v>
      </c>
      <c r="I685" s="14" t="s">
        <v>1298</v>
      </c>
      <c r="J685" s="14" t="s">
        <v>60</v>
      </c>
      <c r="K685" s="14" t="s">
        <v>60</v>
      </c>
      <c r="L685" s="14" t="s">
        <v>60</v>
      </c>
      <c r="M685" s="14" t="s">
        <v>1299</v>
      </c>
      <c r="N685" s="14" t="s">
        <v>60</v>
      </c>
      <c r="O685" s="14" t="s">
        <v>395</v>
      </c>
      <c r="P685" s="14" t="s">
        <v>6776</v>
      </c>
      <c r="Q685" s="14" t="s">
        <v>11</v>
      </c>
      <c r="R685" s="3">
        <v>0</v>
      </c>
      <c r="S685" s="3">
        <f t="shared" si="34"/>
        <v>550</v>
      </c>
      <c r="T685" s="3">
        <f t="shared" si="35"/>
        <v>0</v>
      </c>
      <c r="U685" s="3" t="s">
        <v>60</v>
      </c>
      <c r="V685" s="14" t="s">
        <v>6</v>
      </c>
      <c r="W685" s="14" t="s">
        <v>6318</v>
      </c>
      <c r="X685" s="14" t="s">
        <v>60</v>
      </c>
    </row>
    <row r="686" spans="1:24" ht="15" x14ac:dyDescent="0.3">
      <c r="A686" s="3">
        <v>18</v>
      </c>
      <c r="B686" s="3" t="s">
        <v>6777</v>
      </c>
      <c r="C686" s="14" t="s">
        <v>0</v>
      </c>
      <c r="D686" s="14" t="s">
        <v>1300</v>
      </c>
      <c r="E686" s="14" t="s">
        <v>6778</v>
      </c>
      <c r="F686" s="14" t="s">
        <v>1301</v>
      </c>
      <c r="G686" s="14" t="s">
        <v>3</v>
      </c>
      <c r="H686" s="14" t="s">
        <v>6779</v>
      </c>
      <c r="I686" s="14" t="s">
        <v>1302</v>
      </c>
      <c r="J686" s="14" t="s">
        <v>60</v>
      </c>
      <c r="K686" s="14" t="s">
        <v>60</v>
      </c>
      <c r="L686" s="14" t="s">
        <v>60</v>
      </c>
      <c r="M686" s="14" t="s">
        <v>1303</v>
      </c>
      <c r="N686" s="14" t="s">
        <v>60</v>
      </c>
      <c r="O686" s="14" t="s">
        <v>395</v>
      </c>
      <c r="P686" s="14" t="s">
        <v>6780</v>
      </c>
      <c r="Q686" s="14" t="s">
        <v>11</v>
      </c>
      <c r="R686" s="3">
        <v>0</v>
      </c>
      <c r="S686" s="3">
        <f t="shared" si="34"/>
        <v>550</v>
      </c>
      <c r="T686" s="3">
        <f t="shared" si="35"/>
        <v>0</v>
      </c>
      <c r="U686" s="3" t="s">
        <v>60</v>
      </c>
      <c r="V686" s="14" t="s">
        <v>6</v>
      </c>
      <c r="W686" s="14" t="s">
        <v>6318</v>
      </c>
      <c r="X686" s="14" t="s">
        <v>60</v>
      </c>
    </row>
    <row r="687" spans="1:24" ht="15" x14ac:dyDescent="0.3">
      <c r="A687" s="3">
        <v>19</v>
      </c>
      <c r="B687" s="3" t="s">
        <v>6781</v>
      </c>
      <c r="C687" s="14" t="s">
        <v>91</v>
      </c>
      <c r="D687" s="14" t="s">
        <v>1304</v>
      </c>
      <c r="E687" s="14" t="s">
        <v>6782</v>
      </c>
      <c r="F687" s="14" t="s">
        <v>1305</v>
      </c>
      <c r="G687" s="14" t="s">
        <v>3</v>
      </c>
      <c r="H687" s="14" t="s">
        <v>6783</v>
      </c>
      <c r="I687" s="14" t="s">
        <v>1306</v>
      </c>
      <c r="J687" s="14" t="s">
        <v>60</v>
      </c>
      <c r="K687" s="14" t="s">
        <v>60</v>
      </c>
      <c r="L687" s="14" t="s">
        <v>60</v>
      </c>
      <c r="M687" s="14" t="s">
        <v>1307</v>
      </c>
      <c r="N687" s="14" t="s">
        <v>60</v>
      </c>
      <c r="O687" s="14" t="s">
        <v>193</v>
      </c>
      <c r="P687" s="14" t="s">
        <v>6784</v>
      </c>
      <c r="Q687" s="14" t="s">
        <v>1153</v>
      </c>
      <c r="R687" s="3">
        <v>0</v>
      </c>
      <c r="S687" s="3">
        <f t="shared" si="34"/>
        <v>770</v>
      </c>
      <c r="T687" s="3">
        <f t="shared" si="35"/>
        <v>0</v>
      </c>
      <c r="U687" s="3" t="s">
        <v>60</v>
      </c>
      <c r="V687" s="14" t="s">
        <v>6</v>
      </c>
      <c r="W687" s="14" t="s">
        <v>6349</v>
      </c>
      <c r="X687" s="14" t="s">
        <v>60</v>
      </c>
    </row>
    <row r="688" spans="1:24" ht="15" x14ac:dyDescent="0.3">
      <c r="A688" s="3">
        <v>20</v>
      </c>
      <c r="B688" s="3" t="s">
        <v>6785</v>
      </c>
      <c r="C688" s="14" t="s">
        <v>0</v>
      </c>
      <c r="D688" s="14" t="s">
        <v>1308</v>
      </c>
      <c r="E688" s="14" t="s">
        <v>5390</v>
      </c>
      <c r="F688" s="14" t="s">
        <v>1229</v>
      </c>
      <c r="G688" s="14" t="s">
        <v>3</v>
      </c>
      <c r="H688" s="14" t="s">
        <v>6786</v>
      </c>
      <c r="I688" s="14" t="s">
        <v>1309</v>
      </c>
      <c r="J688" s="14" t="s">
        <v>60</v>
      </c>
      <c r="K688" s="14" t="s">
        <v>60</v>
      </c>
      <c r="L688" s="14" t="s">
        <v>60</v>
      </c>
      <c r="M688" s="14" t="s">
        <v>1310</v>
      </c>
      <c r="N688" s="14" t="s">
        <v>60</v>
      </c>
      <c r="O688" s="14" t="s">
        <v>114</v>
      </c>
      <c r="P688" s="14" t="s">
        <v>6787</v>
      </c>
      <c r="Q688" s="14" t="s">
        <v>11</v>
      </c>
      <c r="R688" s="3">
        <v>0</v>
      </c>
      <c r="S688" s="3">
        <f t="shared" si="34"/>
        <v>550</v>
      </c>
      <c r="T688" s="3">
        <f t="shared" si="35"/>
        <v>0</v>
      </c>
      <c r="U688" s="3" t="s">
        <v>6788</v>
      </c>
      <c r="V688" s="14" t="s">
        <v>6</v>
      </c>
      <c r="W688" s="14" t="s">
        <v>6789</v>
      </c>
      <c r="X688" s="14" t="s">
        <v>60</v>
      </c>
    </row>
    <row r="689" spans="1:24" ht="15" x14ac:dyDescent="0.3">
      <c r="A689" s="3">
        <v>21</v>
      </c>
      <c r="B689" s="3" t="s">
        <v>6790</v>
      </c>
      <c r="C689" s="14" t="s">
        <v>91</v>
      </c>
      <c r="D689" s="14" t="s">
        <v>1311</v>
      </c>
      <c r="E689" s="14" t="s">
        <v>6791</v>
      </c>
      <c r="F689" s="14" t="s">
        <v>1312</v>
      </c>
      <c r="G689" s="14" t="s">
        <v>3</v>
      </c>
      <c r="H689" s="14" t="s">
        <v>6792</v>
      </c>
      <c r="I689" s="14" t="s">
        <v>1313</v>
      </c>
      <c r="J689" s="14" t="s">
        <v>1265</v>
      </c>
      <c r="K689" s="14" t="s">
        <v>60</v>
      </c>
      <c r="L689" s="14" t="s">
        <v>60</v>
      </c>
      <c r="M689" s="14" t="s">
        <v>1314</v>
      </c>
      <c r="N689" s="14" t="s">
        <v>60</v>
      </c>
      <c r="O689" s="14" t="s">
        <v>193</v>
      </c>
      <c r="P689" s="14" t="s">
        <v>6793</v>
      </c>
      <c r="Q689" s="14" t="s">
        <v>588</v>
      </c>
      <c r="R689" s="3">
        <v>0</v>
      </c>
      <c r="S689" s="3">
        <f t="shared" si="34"/>
        <v>770</v>
      </c>
      <c r="T689" s="3">
        <f t="shared" si="35"/>
        <v>0</v>
      </c>
      <c r="U689" s="3" t="s">
        <v>60</v>
      </c>
      <c r="V689" s="14" t="s">
        <v>6</v>
      </c>
      <c r="W689" s="14" t="s">
        <v>4287</v>
      </c>
      <c r="X689" s="14" t="s">
        <v>60</v>
      </c>
    </row>
    <row r="690" spans="1:24" ht="15" x14ac:dyDescent="0.3">
      <c r="A690" s="3">
        <v>22</v>
      </c>
      <c r="B690" s="3" t="s">
        <v>1315</v>
      </c>
      <c r="C690" s="14" t="s">
        <v>710</v>
      </c>
      <c r="D690" s="14" t="s">
        <v>1316</v>
      </c>
      <c r="E690" s="14" t="s">
        <v>6794</v>
      </c>
      <c r="F690" s="14" t="s">
        <v>178</v>
      </c>
      <c r="G690" s="14" t="s">
        <v>3</v>
      </c>
      <c r="H690" s="14" t="s">
        <v>6795</v>
      </c>
      <c r="I690" s="14" t="s">
        <v>1317</v>
      </c>
      <c r="J690" s="14" t="s">
        <v>228</v>
      </c>
      <c r="K690" s="14" t="s">
        <v>60</v>
      </c>
      <c r="L690" s="14" t="s">
        <v>60</v>
      </c>
      <c r="M690" s="14" t="s">
        <v>1318</v>
      </c>
      <c r="N690" s="14" t="s">
        <v>60</v>
      </c>
      <c r="O690" s="14" t="s">
        <v>193</v>
      </c>
      <c r="P690" s="14" t="s">
        <v>6796</v>
      </c>
      <c r="Q690" s="14" t="s">
        <v>185</v>
      </c>
      <c r="R690" s="3">
        <v>0</v>
      </c>
      <c r="S690" s="3">
        <f t="shared" si="34"/>
        <v>900</v>
      </c>
      <c r="T690" s="3">
        <f t="shared" si="35"/>
        <v>0</v>
      </c>
      <c r="U690" s="3" t="s">
        <v>60</v>
      </c>
      <c r="V690" s="14" t="s">
        <v>6</v>
      </c>
      <c r="W690" s="14" t="s">
        <v>6349</v>
      </c>
      <c r="X690" s="14" t="s">
        <v>60</v>
      </c>
    </row>
    <row r="691" spans="1:24" ht="15" x14ac:dyDescent="0.3">
      <c r="A691" s="3">
        <v>23</v>
      </c>
      <c r="B691" s="3" t="s">
        <v>6797</v>
      </c>
      <c r="C691" s="14" t="s">
        <v>26</v>
      </c>
      <c r="D691" s="14" t="s">
        <v>1324</v>
      </c>
      <c r="E691" s="14" t="s">
        <v>5390</v>
      </c>
      <c r="F691" s="14" t="s">
        <v>1325</v>
      </c>
      <c r="G691" s="14" t="s">
        <v>3</v>
      </c>
      <c r="H691" s="14" t="s">
        <v>6798</v>
      </c>
      <c r="I691" s="14" t="s">
        <v>1326</v>
      </c>
      <c r="J691" s="14" t="s">
        <v>60</v>
      </c>
      <c r="K691" s="14" t="s">
        <v>60</v>
      </c>
      <c r="L691" s="14" t="s">
        <v>60</v>
      </c>
      <c r="M691" s="14" t="s">
        <v>60</v>
      </c>
      <c r="N691" s="14" t="s">
        <v>60</v>
      </c>
      <c r="O691" s="14" t="s">
        <v>60</v>
      </c>
      <c r="P691" s="14" t="s">
        <v>6799</v>
      </c>
      <c r="Q691" s="14" t="s">
        <v>11</v>
      </c>
      <c r="R691" s="3">
        <v>0</v>
      </c>
      <c r="S691" s="3">
        <f t="shared" si="34"/>
        <v>770</v>
      </c>
      <c r="T691" s="3">
        <f t="shared" si="35"/>
        <v>0</v>
      </c>
      <c r="U691" s="3" t="s">
        <v>60</v>
      </c>
      <c r="V691" s="14" t="s">
        <v>6241</v>
      </c>
      <c r="W691" s="14" t="s">
        <v>6800</v>
      </c>
      <c r="X691" s="14" t="s">
        <v>60</v>
      </c>
    </row>
    <row r="692" spans="1:24" ht="15" x14ac:dyDescent="0.3">
      <c r="A692" s="3">
        <v>24</v>
      </c>
      <c r="B692" s="3" t="s">
        <v>6801</v>
      </c>
      <c r="C692" s="14" t="s">
        <v>0</v>
      </c>
      <c r="D692" s="14" t="s">
        <v>1638</v>
      </c>
      <c r="E692" s="14" t="s">
        <v>6802</v>
      </c>
      <c r="F692" s="14" t="s">
        <v>1639</v>
      </c>
      <c r="G692" s="14" t="s">
        <v>3</v>
      </c>
      <c r="H692" s="14" t="s">
        <v>6803</v>
      </c>
      <c r="I692" s="14" t="s">
        <v>1640</v>
      </c>
      <c r="J692" s="14" t="s">
        <v>60</v>
      </c>
      <c r="K692" s="14" t="s">
        <v>60</v>
      </c>
      <c r="L692" s="14" t="s">
        <v>60</v>
      </c>
      <c r="M692" s="14" t="s">
        <v>1641</v>
      </c>
      <c r="N692" s="14" t="s">
        <v>60</v>
      </c>
      <c r="O692" s="14" t="s">
        <v>454</v>
      </c>
      <c r="P692" s="14" t="s">
        <v>6804</v>
      </c>
      <c r="Q692" s="14" t="s">
        <v>11</v>
      </c>
      <c r="R692" s="3">
        <v>0</v>
      </c>
      <c r="S692" s="3">
        <f t="shared" si="34"/>
        <v>550</v>
      </c>
      <c r="T692" s="3">
        <f t="shared" si="35"/>
        <v>0</v>
      </c>
      <c r="U692" s="3" t="s">
        <v>60</v>
      </c>
      <c r="V692" s="14" t="s">
        <v>6</v>
      </c>
      <c r="W692" s="14" t="s">
        <v>6805</v>
      </c>
      <c r="X692" s="14" t="s">
        <v>60</v>
      </c>
    </row>
    <row r="693" spans="1:24" ht="15" x14ac:dyDescent="0.3">
      <c r="A693" s="3">
        <v>25</v>
      </c>
      <c r="B693" s="3" t="s">
        <v>6806</v>
      </c>
      <c r="C693" s="14" t="s">
        <v>0</v>
      </c>
      <c r="D693" s="14" t="s">
        <v>1634</v>
      </c>
      <c r="E693" s="14" t="s">
        <v>6807</v>
      </c>
      <c r="F693" s="14" t="s">
        <v>1115</v>
      </c>
      <c r="G693" s="14" t="s">
        <v>3</v>
      </c>
      <c r="H693" s="14" t="s">
        <v>6808</v>
      </c>
      <c r="I693" s="14" t="s">
        <v>1635</v>
      </c>
      <c r="J693" s="14" t="s">
        <v>60</v>
      </c>
      <c r="K693" s="14" t="s">
        <v>60</v>
      </c>
      <c r="L693" s="14" t="s">
        <v>60</v>
      </c>
      <c r="M693" s="14" t="s">
        <v>1636</v>
      </c>
      <c r="N693" s="14" t="s">
        <v>60</v>
      </c>
      <c r="O693" s="14" t="s">
        <v>60</v>
      </c>
      <c r="P693" s="14" t="s">
        <v>6809</v>
      </c>
      <c r="Q693" s="14" t="s">
        <v>1637</v>
      </c>
      <c r="R693" s="3">
        <v>0</v>
      </c>
      <c r="S693" s="3">
        <f t="shared" si="34"/>
        <v>550</v>
      </c>
      <c r="T693" s="3">
        <f t="shared" si="35"/>
        <v>0</v>
      </c>
      <c r="U693" s="3" t="s">
        <v>60</v>
      </c>
      <c r="V693" s="14" t="s">
        <v>6</v>
      </c>
      <c r="W693" s="14" t="s">
        <v>4634</v>
      </c>
      <c r="X693" s="14" t="s">
        <v>60</v>
      </c>
    </row>
    <row r="694" spans="1:24" ht="15" x14ac:dyDescent="0.3">
      <c r="A694" s="3">
        <v>26</v>
      </c>
      <c r="B694" s="3" t="s">
        <v>6810</v>
      </c>
      <c r="C694" s="14" t="s">
        <v>0</v>
      </c>
      <c r="D694" s="14" t="s">
        <v>1648</v>
      </c>
      <c r="E694" s="14" t="s">
        <v>6811</v>
      </c>
      <c r="F694" s="14" t="s">
        <v>1649</v>
      </c>
      <c r="G694" s="14" t="s">
        <v>3</v>
      </c>
      <c r="H694" s="14" t="s">
        <v>6812</v>
      </c>
      <c r="I694" s="14" t="s">
        <v>6813</v>
      </c>
      <c r="J694" s="14" t="s">
        <v>60</v>
      </c>
      <c r="K694" s="14" t="s">
        <v>60</v>
      </c>
      <c r="L694" s="14" t="s">
        <v>60</v>
      </c>
      <c r="M694" s="14" t="s">
        <v>1650</v>
      </c>
      <c r="N694" s="14" t="s">
        <v>60</v>
      </c>
      <c r="O694" s="14" t="s">
        <v>1143</v>
      </c>
      <c r="P694" s="14" t="s">
        <v>6814</v>
      </c>
      <c r="Q694" s="14" t="s">
        <v>11</v>
      </c>
      <c r="R694" s="3">
        <v>0</v>
      </c>
      <c r="S694" s="3">
        <f t="shared" si="34"/>
        <v>550</v>
      </c>
      <c r="T694" s="3">
        <f t="shared" si="35"/>
        <v>0</v>
      </c>
      <c r="U694" s="3" t="s">
        <v>60</v>
      </c>
      <c r="V694" s="14" t="s">
        <v>6</v>
      </c>
      <c r="W694" s="14" t="s">
        <v>6265</v>
      </c>
      <c r="X694" s="14" t="s">
        <v>60</v>
      </c>
    </row>
    <row r="695" spans="1:24" ht="15" x14ac:dyDescent="0.3">
      <c r="A695" s="3">
        <v>27</v>
      </c>
      <c r="B695" s="3" t="s">
        <v>6815</v>
      </c>
      <c r="C695" s="14" t="s">
        <v>0</v>
      </c>
      <c r="D695" s="14" t="s">
        <v>1654</v>
      </c>
      <c r="E695" s="14" t="s">
        <v>6816</v>
      </c>
      <c r="F695" s="14" t="s">
        <v>1648</v>
      </c>
      <c r="G695" s="14" t="s">
        <v>3</v>
      </c>
      <c r="H695" s="14" t="s">
        <v>6817</v>
      </c>
      <c r="I695" s="14" t="s">
        <v>1655</v>
      </c>
      <c r="J695" s="14" t="s">
        <v>60</v>
      </c>
      <c r="K695" s="14" t="s">
        <v>60</v>
      </c>
      <c r="L695" s="14" t="s">
        <v>60</v>
      </c>
      <c r="M695" s="14" t="s">
        <v>60</v>
      </c>
      <c r="N695" s="14" t="s">
        <v>60</v>
      </c>
      <c r="O695" s="14" t="s">
        <v>193</v>
      </c>
      <c r="P695" s="14" t="s">
        <v>6818</v>
      </c>
      <c r="Q695" s="14" t="s">
        <v>11</v>
      </c>
      <c r="R695" s="3">
        <v>0</v>
      </c>
      <c r="S695" s="3">
        <f t="shared" si="34"/>
        <v>550</v>
      </c>
      <c r="T695" s="3">
        <f t="shared" si="35"/>
        <v>0</v>
      </c>
      <c r="U695" s="3" t="s">
        <v>60</v>
      </c>
      <c r="V695" s="14" t="s">
        <v>6</v>
      </c>
      <c r="W695" s="14" t="s">
        <v>6349</v>
      </c>
      <c r="X695" s="14" t="s">
        <v>60</v>
      </c>
    </row>
    <row r="696" spans="1:24" ht="15" x14ac:dyDescent="0.3">
      <c r="A696" s="3">
        <v>28</v>
      </c>
      <c r="B696" s="3" t="s">
        <v>6819</v>
      </c>
      <c r="C696" s="14" t="s">
        <v>0</v>
      </c>
      <c r="D696" s="14" t="s">
        <v>1575</v>
      </c>
      <c r="E696" s="14" t="s">
        <v>4308</v>
      </c>
      <c r="F696" s="14" t="s">
        <v>1576</v>
      </c>
      <c r="G696" s="14" t="s">
        <v>3</v>
      </c>
      <c r="H696" s="14" t="s">
        <v>6820</v>
      </c>
      <c r="I696" s="14" t="s">
        <v>1577</v>
      </c>
      <c r="J696" s="14" t="s">
        <v>60</v>
      </c>
      <c r="K696" s="14" t="s">
        <v>60</v>
      </c>
      <c r="L696" s="14" t="s">
        <v>60</v>
      </c>
      <c r="M696" s="14" t="s">
        <v>1578</v>
      </c>
      <c r="N696" s="14" t="s">
        <v>60</v>
      </c>
      <c r="O696" s="14" t="s">
        <v>933</v>
      </c>
      <c r="P696" s="14" t="s">
        <v>6821</v>
      </c>
      <c r="Q696" s="14" t="s">
        <v>11</v>
      </c>
      <c r="R696" s="3">
        <v>0</v>
      </c>
      <c r="S696" s="3">
        <f t="shared" si="34"/>
        <v>550</v>
      </c>
      <c r="T696" s="3">
        <f t="shared" si="35"/>
        <v>0</v>
      </c>
      <c r="U696" s="3" t="s">
        <v>60</v>
      </c>
      <c r="V696" s="14" t="s">
        <v>6</v>
      </c>
      <c r="W696" s="14" t="s">
        <v>4985</v>
      </c>
      <c r="X696" s="14" t="s">
        <v>60</v>
      </c>
    </row>
    <row r="697" spans="1:24" ht="15" x14ac:dyDescent="0.3">
      <c r="A697" s="3">
        <v>29</v>
      </c>
      <c r="B697" s="3" t="s">
        <v>6822</v>
      </c>
      <c r="C697" s="14" t="s">
        <v>0</v>
      </c>
      <c r="D697" s="14" t="s">
        <v>1656</v>
      </c>
      <c r="E697" s="14" t="s">
        <v>5008</v>
      </c>
      <c r="F697" s="14" t="s">
        <v>1117</v>
      </c>
      <c r="G697" s="14" t="s">
        <v>3</v>
      </c>
      <c r="H697" s="14" t="s">
        <v>6823</v>
      </c>
      <c r="I697" s="14" t="s">
        <v>1657</v>
      </c>
      <c r="J697" s="14" t="s">
        <v>60</v>
      </c>
      <c r="K697" s="14" t="s">
        <v>60</v>
      </c>
      <c r="L697" s="14" t="s">
        <v>60</v>
      </c>
      <c r="M697" s="14" t="s">
        <v>1658</v>
      </c>
      <c r="N697" s="14" t="s">
        <v>60</v>
      </c>
      <c r="O697" s="14" t="s">
        <v>60</v>
      </c>
      <c r="P697" s="14" t="s">
        <v>6824</v>
      </c>
      <c r="Q697" s="14" t="s">
        <v>11</v>
      </c>
      <c r="R697" s="3">
        <v>0</v>
      </c>
      <c r="S697" s="3">
        <f t="shared" si="34"/>
        <v>550</v>
      </c>
      <c r="T697" s="3">
        <f t="shared" si="35"/>
        <v>0</v>
      </c>
      <c r="U697" s="3" t="s">
        <v>60</v>
      </c>
      <c r="V697" s="14" t="s">
        <v>6</v>
      </c>
      <c r="W697" s="14" t="s">
        <v>6825</v>
      </c>
      <c r="X697" s="14" t="s">
        <v>60</v>
      </c>
    </row>
    <row r="698" spans="1:24" ht="15" x14ac:dyDescent="0.3">
      <c r="A698" s="3">
        <v>30</v>
      </c>
      <c r="B698" s="3" t="s">
        <v>6826</v>
      </c>
      <c r="C698" s="14" t="s">
        <v>0</v>
      </c>
      <c r="D698" s="14" t="s">
        <v>1606</v>
      </c>
      <c r="E698" s="14" t="s">
        <v>6827</v>
      </c>
      <c r="F698" s="14" t="s">
        <v>1607</v>
      </c>
      <c r="G698" s="14" t="s">
        <v>3</v>
      </c>
      <c r="H698" s="14" t="s">
        <v>6828</v>
      </c>
      <c r="I698" s="14" t="s">
        <v>1608</v>
      </c>
      <c r="J698" s="14" t="s">
        <v>60</v>
      </c>
      <c r="K698" s="14" t="s">
        <v>60</v>
      </c>
      <c r="L698" s="14" t="s">
        <v>60</v>
      </c>
      <c r="M698" s="14" t="s">
        <v>1609</v>
      </c>
      <c r="N698" s="14" t="s">
        <v>60</v>
      </c>
      <c r="O698" s="14" t="s">
        <v>60</v>
      </c>
      <c r="P698" s="14" t="s">
        <v>6829</v>
      </c>
      <c r="Q698" s="14" t="s">
        <v>11</v>
      </c>
      <c r="R698" s="3">
        <v>0</v>
      </c>
      <c r="S698" s="3">
        <f t="shared" si="34"/>
        <v>550</v>
      </c>
      <c r="T698" s="3">
        <f t="shared" si="35"/>
        <v>0</v>
      </c>
      <c r="U698" s="3" t="s">
        <v>60</v>
      </c>
      <c r="V698" s="14" t="s">
        <v>6</v>
      </c>
      <c r="W698" s="14" t="s">
        <v>5601</v>
      </c>
      <c r="X698" s="14" t="s">
        <v>60</v>
      </c>
    </row>
    <row r="699" spans="1:24" ht="15" x14ac:dyDescent="0.3">
      <c r="A699" s="3">
        <v>31</v>
      </c>
      <c r="B699" s="3" t="s">
        <v>6830</v>
      </c>
      <c r="C699" s="14" t="s">
        <v>26</v>
      </c>
      <c r="D699" s="14" t="s">
        <v>3977</v>
      </c>
      <c r="E699" s="14" t="s">
        <v>6831</v>
      </c>
      <c r="F699" s="14" t="s">
        <v>3978</v>
      </c>
      <c r="G699" s="14" t="s">
        <v>3</v>
      </c>
      <c r="H699" s="14" t="s">
        <v>6832</v>
      </c>
      <c r="I699" s="14" t="s">
        <v>3984</v>
      </c>
      <c r="J699" s="14" t="s">
        <v>60</v>
      </c>
      <c r="K699" s="14" t="s">
        <v>60</v>
      </c>
      <c r="L699" s="14" t="s">
        <v>60</v>
      </c>
      <c r="M699" s="14" t="s">
        <v>6833</v>
      </c>
      <c r="N699" s="14" t="s">
        <v>60</v>
      </c>
      <c r="O699" s="14" t="s">
        <v>3910</v>
      </c>
      <c r="P699" s="14" t="s">
        <v>6834</v>
      </c>
      <c r="Q699" s="14" t="s">
        <v>185</v>
      </c>
      <c r="R699" s="3">
        <v>0</v>
      </c>
      <c r="S699" s="3">
        <f t="shared" si="34"/>
        <v>770</v>
      </c>
      <c r="T699" s="3">
        <f t="shared" si="35"/>
        <v>0</v>
      </c>
      <c r="U699" s="3" t="s">
        <v>6835</v>
      </c>
      <c r="V699" s="14" t="s">
        <v>6</v>
      </c>
      <c r="W699" s="14" t="s">
        <v>6468</v>
      </c>
      <c r="X699" s="14" t="s">
        <v>60</v>
      </c>
    </row>
    <row r="700" spans="1:24" ht="15.6" x14ac:dyDescent="0.3">
      <c r="A700" s="26" t="s">
        <v>60</v>
      </c>
      <c r="B700" s="26" t="s">
        <v>60</v>
      </c>
      <c r="C700" s="27" t="s">
        <v>60</v>
      </c>
      <c r="D700" s="27" t="s">
        <v>60</v>
      </c>
      <c r="E700" s="27" t="s">
        <v>60</v>
      </c>
      <c r="F700" s="27" t="s">
        <v>60</v>
      </c>
      <c r="G700" s="27" t="s">
        <v>60</v>
      </c>
      <c r="H700" s="27" t="s">
        <v>60</v>
      </c>
      <c r="I700" s="27" t="s">
        <v>60</v>
      </c>
      <c r="J700" s="27" t="s">
        <v>60</v>
      </c>
      <c r="K700" s="27" t="s">
        <v>60</v>
      </c>
      <c r="L700" s="27" t="s">
        <v>60</v>
      </c>
      <c r="M700" s="27" t="s">
        <v>60</v>
      </c>
      <c r="N700" s="27" t="s">
        <v>60</v>
      </c>
      <c r="O700" s="27" t="s">
        <v>60</v>
      </c>
      <c r="P700" s="27" t="s">
        <v>60</v>
      </c>
      <c r="Q700" s="27" t="s">
        <v>60</v>
      </c>
      <c r="R700" s="35" t="s">
        <v>2009</v>
      </c>
      <c r="S700" s="35" t="s">
        <v>60</v>
      </c>
      <c r="T700" s="26">
        <f>SUM(T668:T699)</f>
        <v>0</v>
      </c>
      <c r="U700" s="26" t="s">
        <v>6836</v>
      </c>
      <c r="V700" s="27" t="s">
        <v>60</v>
      </c>
      <c r="W700" s="27" t="s">
        <v>60</v>
      </c>
      <c r="X700" s="27" t="s">
        <v>60</v>
      </c>
    </row>
    <row r="701" spans="1:24" ht="15.6" x14ac:dyDescent="0.3">
      <c r="A701" s="34" t="s">
        <v>6837</v>
      </c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 spans="1:24" ht="109.2" x14ac:dyDescent="0.3">
      <c r="A702" s="23" t="s">
        <v>42</v>
      </c>
      <c r="B702" s="23" t="s">
        <v>43</v>
      </c>
      <c r="C702" s="24" t="s">
        <v>44</v>
      </c>
      <c r="D702" s="24" t="s">
        <v>4154</v>
      </c>
      <c r="E702" s="24" t="s">
        <v>4155</v>
      </c>
      <c r="F702" s="24" t="s">
        <v>4156</v>
      </c>
      <c r="G702" s="24" t="s">
        <v>45</v>
      </c>
      <c r="H702" s="24" t="s">
        <v>4157</v>
      </c>
      <c r="I702" s="24" t="s">
        <v>46</v>
      </c>
      <c r="J702" s="24" t="s">
        <v>4158</v>
      </c>
      <c r="K702" s="24" t="s">
        <v>4159</v>
      </c>
      <c r="L702" s="24" t="s">
        <v>4160</v>
      </c>
      <c r="M702" s="24" t="s">
        <v>4161</v>
      </c>
      <c r="N702" s="24" t="s">
        <v>47</v>
      </c>
      <c r="O702" s="24" t="s">
        <v>48</v>
      </c>
      <c r="P702" s="24" t="s">
        <v>49</v>
      </c>
      <c r="Q702" s="24" t="s">
        <v>50</v>
      </c>
      <c r="R702" s="23" t="s">
        <v>4162</v>
      </c>
      <c r="S702" s="23" t="s">
        <v>4163</v>
      </c>
      <c r="T702" s="23" t="s">
        <v>4164</v>
      </c>
      <c r="U702" s="23" t="s">
        <v>4165</v>
      </c>
      <c r="V702" s="24" t="s">
        <v>51</v>
      </c>
      <c r="W702" s="24" t="s">
        <v>52</v>
      </c>
      <c r="X702" s="24" t="s">
        <v>53</v>
      </c>
    </row>
    <row r="703" spans="1:24" ht="15" x14ac:dyDescent="0.3">
      <c r="A703" s="3">
        <v>1</v>
      </c>
      <c r="B703" s="3" t="s">
        <v>6838</v>
      </c>
      <c r="C703" s="14" t="s">
        <v>0</v>
      </c>
      <c r="D703" s="14" t="s">
        <v>1494</v>
      </c>
      <c r="E703" s="14" t="s">
        <v>6839</v>
      </c>
      <c r="F703" s="14" t="s">
        <v>1305</v>
      </c>
      <c r="G703" s="14" t="s">
        <v>3</v>
      </c>
      <c r="H703" s="14" t="s">
        <v>6840</v>
      </c>
      <c r="I703" s="14" t="s">
        <v>1495</v>
      </c>
      <c r="J703" s="14" t="s">
        <v>60</v>
      </c>
      <c r="K703" s="14" t="s">
        <v>60</v>
      </c>
      <c r="L703" s="14" t="s">
        <v>60</v>
      </c>
      <c r="M703" s="14" t="s">
        <v>60</v>
      </c>
      <c r="N703" s="14" t="s">
        <v>60</v>
      </c>
      <c r="O703" s="14" t="s">
        <v>86</v>
      </c>
      <c r="P703" s="14" t="s">
        <v>6841</v>
      </c>
      <c r="Q703" s="14" t="s">
        <v>11</v>
      </c>
      <c r="R703" s="3">
        <v>0</v>
      </c>
      <c r="S703" s="3">
        <f t="shared" ref="S703:S736" si="36">IF(RIGHT(C703,3)="MAZ",550,IF(RIGHT(C703,4)="MATE",570,IF(RIGHT(C703,7)="SKD-III",640,IF(RIGHT(C703,6)="SKD-II",770,IF(RIGHT(C703,5)="SKD-I",900,IF(RIGHT(C703,5)="CPDVR",770,""))))))</f>
        <v>550</v>
      </c>
      <c r="T703" s="3">
        <f t="shared" ref="T703:T736" si="37">R703*S703</f>
        <v>0</v>
      </c>
      <c r="U703" s="3" t="s">
        <v>60</v>
      </c>
      <c r="V703" s="14" t="s">
        <v>6</v>
      </c>
      <c r="W703" s="14" t="s">
        <v>5980</v>
      </c>
      <c r="X703" s="14" t="s">
        <v>60</v>
      </c>
    </row>
    <row r="704" spans="1:24" ht="15" x14ac:dyDescent="0.3">
      <c r="A704" s="3">
        <v>2</v>
      </c>
      <c r="B704" s="3" t="s">
        <v>6842</v>
      </c>
      <c r="C704" s="14" t="s">
        <v>0</v>
      </c>
      <c r="D704" s="14" t="s">
        <v>1496</v>
      </c>
      <c r="E704" s="14" t="s">
        <v>4778</v>
      </c>
      <c r="F704" s="14" t="s">
        <v>1497</v>
      </c>
      <c r="G704" s="14" t="s">
        <v>3</v>
      </c>
      <c r="H704" s="14" t="s">
        <v>1498</v>
      </c>
      <c r="I704" s="14" t="s">
        <v>1499</v>
      </c>
      <c r="J704" s="14" t="s">
        <v>60</v>
      </c>
      <c r="K704" s="14" t="s">
        <v>60</v>
      </c>
      <c r="L704" s="14" t="s">
        <v>60</v>
      </c>
      <c r="M704" s="14" t="s">
        <v>1500</v>
      </c>
      <c r="N704" s="14" t="s">
        <v>60</v>
      </c>
      <c r="O704" s="14" t="s">
        <v>454</v>
      </c>
      <c r="P704" s="14" t="s">
        <v>6843</v>
      </c>
      <c r="Q704" s="14" t="s">
        <v>1501</v>
      </c>
      <c r="R704" s="3">
        <v>0</v>
      </c>
      <c r="S704" s="3">
        <f t="shared" si="36"/>
        <v>550</v>
      </c>
      <c r="T704" s="3">
        <f t="shared" si="37"/>
        <v>0</v>
      </c>
      <c r="U704" s="3" t="s">
        <v>60</v>
      </c>
      <c r="V704" s="14" t="s">
        <v>6</v>
      </c>
      <c r="W704" s="14" t="s">
        <v>6789</v>
      </c>
      <c r="X704" s="14" t="s">
        <v>6844</v>
      </c>
    </row>
    <row r="705" spans="1:24" ht="15" x14ac:dyDescent="0.3">
      <c r="A705" s="3">
        <v>3</v>
      </c>
      <c r="B705" s="3" t="s">
        <v>6845</v>
      </c>
      <c r="C705" s="14" t="s">
        <v>69</v>
      </c>
      <c r="D705" s="14" t="s">
        <v>1502</v>
      </c>
      <c r="E705" s="14" t="s">
        <v>5037</v>
      </c>
      <c r="F705" s="14" t="s">
        <v>1503</v>
      </c>
      <c r="G705" s="14" t="s">
        <v>3</v>
      </c>
      <c r="H705" s="14" t="s">
        <v>6846</v>
      </c>
      <c r="I705" s="14" t="s">
        <v>1504</v>
      </c>
      <c r="J705" s="14" t="s">
        <v>60</v>
      </c>
      <c r="K705" s="14" t="s">
        <v>60</v>
      </c>
      <c r="L705" s="14" t="s">
        <v>60</v>
      </c>
      <c r="M705" s="14" t="s">
        <v>1505</v>
      </c>
      <c r="N705" s="14" t="s">
        <v>60</v>
      </c>
      <c r="O705" s="14" t="s">
        <v>485</v>
      </c>
      <c r="P705" s="14" t="s">
        <v>6847</v>
      </c>
      <c r="Q705" s="14" t="s">
        <v>11</v>
      </c>
      <c r="R705" s="3">
        <v>0</v>
      </c>
      <c r="S705" s="3">
        <f t="shared" si="36"/>
        <v>570</v>
      </c>
      <c r="T705" s="3">
        <f t="shared" si="37"/>
        <v>0</v>
      </c>
      <c r="U705" s="3" t="s">
        <v>60</v>
      </c>
      <c r="V705" s="14" t="s">
        <v>6</v>
      </c>
      <c r="W705" s="14" t="s">
        <v>6271</v>
      </c>
      <c r="X705" s="14" t="s">
        <v>60</v>
      </c>
    </row>
    <row r="706" spans="1:24" ht="15" x14ac:dyDescent="0.3">
      <c r="A706" s="3">
        <v>4</v>
      </c>
      <c r="B706" s="3" t="s">
        <v>6848</v>
      </c>
      <c r="C706" s="14" t="s">
        <v>0</v>
      </c>
      <c r="D706" s="14" t="s">
        <v>1506</v>
      </c>
      <c r="E706" s="14" t="s">
        <v>4990</v>
      </c>
      <c r="F706" s="14" t="s">
        <v>456</v>
      </c>
      <c r="G706" s="14" t="s">
        <v>3</v>
      </c>
      <c r="H706" s="14" t="s">
        <v>6849</v>
      </c>
      <c r="I706" s="14" t="s">
        <v>1507</v>
      </c>
      <c r="J706" s="14" t="s">
        <v>60</v>
      </c>
      <c r="K706" s="14" t="s">
        <v>60</v>
      </c>
      <c r="L706" s="14" t="s">
        <v>60</v>
      </c>
      <c r="M706" s="14" t="s">
        <v>1508</v>
      </c>
      <c r="N706" s="14" t="s">
        <v>60</v>
      </c>
      <c r="O706" s="14" t="s">
        <v>454</v>
      </c>
      <c r="P706" s="14" t="s">
        <v>6850</v>
      </c>
      <c r="Q706" s="14" t="s">
        <v>1509</v>
      </c>
      <c r="R706" s="3">
        <v>0</v>
      </c>
      <c r="S706" s="3">
        <f t="shared" si="36"/>
        <v>550</v>
      </c>
      <c r="T706" s="3">
        <f t="shared" si="37"/>
        <v>0</v>
      </c>
      <c r="U706" s="3" t="s">
        <v>60</v>
      </c>
      <c r="V706" s="14" t="s">
        <v>6</v>
      </c>
      <c r="W706" s="14" t="s">
        <v>6805</v>
      </c>
      <c r="X706" s="14" t="s">
        <v>60</v>
      </c>
    </row>
    <row r="707" spans="1:24" ht="15" x14ac:dyDescent="0.3">
      <c r="A707" s="3">
        <v>5</v>
      </c>
      <c r="B707" s="3" t="s">
        <v>6851</v>
      </c>
      <c r="C707" s="14" t="s">
        <v>69</v>
      </c>
      <c r="D707" s="14" t="s">
        <v>1510</v>
      </c>
      <c r="E707" s="14" t="s">
        <v>4864</v>
      </c>
      <c r="F707" s="14" t="s">
        <v>1511</v>
      </c>
      <c r="G707" s="14" t="s">
        <v>3</v>
      </c>
      <c r="H707" s="14" t="s">
        <v>6852</v>
      </c>
      <c r="I707" s="14" t="s">
        <v>1512</v>
      </c>
      <c r="J707" s="14" t="s">
        <v>60</v>
      </c>
      <c r="K707" s="14" t="s">
        <v>60</v>
      </c>
      <c r="L707" s="14" t="s">
        <v>60</v>
      </c>
      <c r="M707" s="14" t="s">
        <v>1512</v>
      </c>
      <c r="N707" s="14" t="s">
        <v>60</v>
      </c>
      <c r="O707" s="14" t="s">
        <v>193</v>
      </c>
      <c r="P707" s="14" t="s">
        <v>6853</v>
      </c>
      <c r="Q707" s="14" t="s">
        <v>11</v>
      </c>
      <c r="R707" s="3">
        <v>0</v>
      </c>
      <c r="S707" s="3">
        <f t="shared" si="36"/>
        <v>570</v>
      </c>
      <c r="T707" s="3">
        <f t="shared" si="37"/>
        <v>0</v>
      </c>
      <c r="U707" s="3" t="s">
        <v>60</v>
      </c>
      <c r="V707" s="14" t="s">
        <v>6</v>
      </c>
      <c r="W707" s="14" t="s">
        <v>4287</v>
      </c>
      <c r="X707" s="14" t="s">
        <v>60</v>
      </c>
    </row>
    <row r="708" spans="1:24" ht="15" x14ac:dyDescent="0.3">
      <c r="A708" s="3">
        <v>6</v>
      </c>
      <c r="B708" s="3" t="s">
        <v>6854</v>
      </c>
      <c r="C708" s="14" t="s">
        <v>0</v>
      </c>
      <c r="D708" s="14" t="s">
        <v>1513</v>
      </c>
      <c r="E708" s="14" t="s">
        <v>4658</v>
      </c>
      <c r="F708" s="14" t="s">
        <v>1514</v>
      </c>
      <c r="G708" s="14" t="s">
        <v>3</v>
      </c>
      <c r="H708" s="14" t="s">
        <v>1515</v>
      </c>
      <c r="I708" s="14" t="s">
        <v>1516</v>
      </c>
      <c r="J708" s="14" t="s">
        <v>60</v>
      </c>
      <c r="K708" s="14" t="s">
        <v>60</v>
      </c>
      <c r="L708" s="14" t="s">
        <v>60</v>
      </c>
      <c r="M708" s="14" t="s">
        <v>1517</v>
      </c>
      <c r="N708" s="14" t="s">
        <v>60</v>
      </c>
      <c r="O708" s="14" t="s">
        <v>1209</v>
      </c>
      <c r="P708" s="14" t="s">
        <v>6855</v>
      </c>
      <c r="Q708" s="14" t="s">
        <v>1509</v>
      </c>
      <c r="R708" s="3">
        <v>0</v>
      </c>
      <c r="S708" s="3">
        <f t="shared" si="36"/>
        <v>550</v>
      </c>
      <c r="T708" s="3">
        <f t="shared" si="37"/>
        <v>0</v>
      </c>
      <c r="U708" s="3" t="s">
        <v>60</v>
      </c>
      <c r="V708" s="14" t="s">
        <v>6</v>
      </c>
      <c r="W708" s="14" t="s">
        <v>6330</v>
      </c>
      <c r="X708" s="14" t="s">
        <v>60</v>
      </c>
    </row>
    <row r="709" spans="1:24" ht="15" x14ac:dyDescent="0.3">
      <c r="A709" s="3">
        <v>7</v>
      </c>
      <c r="B709" s="3" t="s">
        <v>6856</v>
      </c>
      <c r="C709" s="14" t="s">
        <v>0</v>
      </c>
      <c r="D709" s="14" t="s">
        <v>1518</v>
      </c>
      <c r="E709" s="14" t="s">
        <v>5828</v>
      </c>
      <c r="F709" s="14" t="s">
        <v>1519</v>
      </c>
      <c r="G709" s="14" t="s">
        <v>3</v>
      </c>
      <c r="H709" s="14" t="s">
        <v>6857</v>
      </c>
      <c r="I709" s="14" t="s">
        <v>1520</v>
      </c>
      <c r="J709" s="14" t="s">
        <v>60</v>
      </c>
      <c r="K709" s="14" t="s">
        <v>60</v>
      </c>
      <c r="L709" s="14" t="s">
        <v>60</v>
      </c>
      <c r="M709" s="14" t="s">
        <v>1521</v>
      </c>
      <c r="N709" s="14" t="s">
        <v>60</v>
      </c>
      <c r="O709" s="14" t="s">
        <v>1522</v>
      </c>
      <c r="P709" s="14" t="s">
        <v>6858</v>
      </c>
      <c r="Q709" s="14" t="s">
        <v>11</v>
      </c>
      <c r="R709" s="3">
        <v>0</v>
      </c>
      <c r="S709" s="3">
        <f t="shared" si="36"/>
        <v>550</v>
      </c>
      <c r="T709" s="3">
        <f t="shared" si="37"/>
        <v>0</v>
      </c>
      <c r="U709" s="3" t="s">
        <v>60</v>
      </c>
      <c r="V709" s="14" t="s">
        <v>6</v>
      </c>
      <c r="W709" s="14" t="s">
        <v>6859</v>
      </c>
      <c r="X709" s="14" t="s">
        <v>60</v>
      </c>
    </row>
    <row r="710" spans="1:24" ht="15" x14ac:dyDescent="0.3">
      <c r="A710" s="3">
        <v>8</v>
      </c>
      <c r="B710" s="3" t="s">
        <v>6860</v>
      </c>
      <c r="C710" s="14" t="s">
        <v>0</v>
      </c>
      <c r="D710" s="14" t="s">
        <v>514</v>
      </c>
      <c r="E710" s="14" t="s">
        <v>4658</v>
      </c>
      <c r="F710" s="14" t="s">
        <v>1525</v>
      </c>
      <c r="G710" s="14" t="s">
        <v>3</v>
      </c>
      <c r="H710" s="14" t="s">
        <v>6861</v>
      </c>
      <c r="I710" s="14" t="s">
        <v>1526</v>
      </c>
      <c r="J710" s="14" t="s">
        <v>60</v>
      </c>
      <c r="K710" s="14" t="s">
        <v>60</v>
      </c>
      <c r="L710" s="14" t="s">
        <v>60</v>
      </c>
      <c r="M710" s="14" t="s">
        <v>1527</v>
      </c>
      <c r="N710" s="14" t="s">
        <v>60</v>
      </c>
      <c r="O710" s="14" t="s">
        <v>454</v>
      </c>
      <c r="P710" s="14" t="s">
        <v>6862</v>
      </c>
      <c r="Q710" s="14" t="s">
        <v>389</v>
      </c>
      <c r="R710" s="3">
        <v>0</v>
      </c>
      <c r="S710" s="3">
        <f t="shared" si="36"/>
        <v>550</v>
      </c>
      <c r="T710" s="3">
        <f t="shared" si="37"/>
        <v>0</v>
      </c>
      <c r="U710" s="3" t="s">
        <v>60</v>
      </c>
      <c r="V710" s="14" t="s">
        <v>6</v>
      </c>
      <c r="W710" s="14" t="s">
        <v>6789</v>
      </c>
      <c r="X710" s="14" t="s">
        <v>60</v>
      </c>
    </row>
    <row r="711" spans="1:24" ht="15" x14ac:dyDescent="0.3">
      <c r="A711" s="3">
        <v>9</v>
      </c>
      <c r="B711" s="3" t="s">
        <v>6863</v>
      </c>
      <c r="C711" s="14" t="s">
        <v>0</v>
      </c>
      <c r="D711" s="14" t="s">
        <v>402</v>
      </c>
      <c r="E711" s="14" t="s">
        <v>4216</v>
      </c>
      <c r="F711" s="14" t="s">
        <v>1532</v>
      </c>
      <c r="G711" s="14" t="s">
        <v>3</v>
      </c>
      <c r="H711" s="14" t="s">
        <v>1533</v>
      </c>
      <c r="I711" s="14" t="s">
        <v>1534</v>
      </c>
      <c r="J711" s="14" t="s">
        <v>60</v>
      </c>
      <c r="K711" s="14" t="s">
        <v>60</v>
      </c>
      <c r="L711" s="14" t="s">
        <v>60</v>
      </c>
      <c r="M711" s="14" t="s">
        <v>60</v>
      </c>
      <c r="N711" s="14" t="s">
        <v>60</v>
      </c>
      <c r="O711" s="14" t="s">
        <v>339</v>
      </c>
      <c r="P711" s="14" t="s">
        <v>6864</v>
      </c>
      <c r="Q711" s="14" t="s">
        <v>11</v>
      </c>
      <c r="R711" s="3">
        <v>0</v>
      </c>
      <c r="S711" s="3">
        <f t="shared" si="36"/>
        <v>550</v>
      </c>
      <c r="T711" s="3">
        <f t="shared" si="37"/>
        <v>0</v>
      </c>
      <c r="U711" s="3" t="s">
        <v>60</v>
      </c>
      <c r="V711" s="14" t="s">
        <v>6</v>
      </c>
      <c r="W711" s="14" t="s">
        <v>5912</v>
      </c>
      <c r="X711" s="14" t="s">
        <v>6866</v>
      </c>
    </row>
    <row r="712" spans="1:24" ht="15" x14ac:dyDescent="0.3">
      <c r="A712" s="3">
        <v>10</v>
      </c>
      <c r="B712" s="3" t="s">
        <v>6867</v>
      </c>
      <c r="C712" s="14" t="s">
        <v>0</v>
      </c>
      <c r="D712" s="14" t="s">
        <v>1535</v>
      </c>
      <c r="E712" s="14" t="s">
        <v>6868</v>
      </c>
      <c r="F712" s="14" t="s">
        <v>1536</v>
      </c>
      <c r="G712" s="14" t="s">
        <v>3</v>
      </c>
      <c r="H712" s="14" t="s">
        <v>1537</v>
      </c>
      <c r="I712" s="14" t="s">
        <v>1538</v>
      </c>
      <c r="J712" s="14" t="s">
        <v>60</v>
      </c>
      <c r="K712" s="14" t="s">
        <v>60</v>
      </c>
      <c r="L712" s="14" t="s">
        <v>60</v>
      </c>
      <c r="M712" s="14" t="s">
        <v>1539</v>
      </c>
      <c r="N712" s="14" t="s">
        <v>60</v>
      </c>
      <c r="O712" s="14" t="s">
        <v>1540</v>
      </c>
      <c r="P712" s="14" t="s">
        <v>6869</v>
      </c>
      <c r="Q712" s="14" t="s">
        <v>11</v>
      </c>
      <c r="R712" s="3">
        <v>0</v>
      </c>
      <c r="S712" s="3">
        <f t="shared" si="36"/>
        <v>550</v>
      </c>
      <c r="T712" s="3">
        <f t="shared" si="37"/>
        <v>0</v>
      </c>
      <c r="U712" s="3" t="s">
        <v>60</v>
      </c>
      <c r="V712" s="14" t="s">
        <v>6</v>
      </c>
      <c r="W712" s="14" t="s">
        <v>6870</v>
      </c>
      <c r="X712" s="14" t="s">
        <v>6866</v>
      </c>
    </row>
    <row r="713" spans="1:24" ht="15" x14ac:dyDescent="0.3">
      <c r="A713" s="3">
        <v>11</v>
      </c>
      <c r="B713" s="3" t="s">
        <v>6871</v>
      </c>
      <c r="C713" s="14" t="s">
        <v>14</v>
      </c>
      <c r="D713" s="14" t="s">
        <v>1541</v>
      </c>
      <c r="E713" s="14" t="s">
        <v>6872</v>
      </c>
      <c r="F713" s="14" t="s">
        <v>1542</v>
      </c>
      <c r="G713" s="14" t="s">
        <v>3</v>
      </c>
      <c r="H713" s="14" t="s">
        <v>6873</v>
      </c>
      <c r="I713" s="14" t="s">
        <v>1543</v>
      </c>
      <c r="J713" s="14" t="s">
        <v>60</v>
      </c>
      <c r="K713" s="14" t="s">
        <v>60</v>
      </c>
      <c r="L713" s="14" t="s">
        <v>60</v>
      </c>
      <c r="M713" s="14" t="s">
        <v>1544</v>
      </c>
      <c r="N713" s="14" t="s">
        <v>60</v>
      </c>
      <c r="O713" s="14" t="s">
        <v>5052</v>
      </c>
      <c r="P713" s="14" t="s">
        <v>6874</v>
      </c>
      <c r="Q713" s="14" t="s">
        <v>185</v>
      </c>
      <c r="R713" s="3">
        <v>0</v>
      </c>
      <c r="S713" s="3">
        <f t="shared" si="36"/>
        <v>640</v>
      </c>
      <c r="T713" s="3">
        <f t="shared" si="37"/>
        <v>0</v>
      </c>
      <c r="U713" s="3" t="s">
        <v>60</v>
      </c>
      <c r="V713" s="14" t="s">
        <v>6</v>
      </c>
      <c r="W713" s="14" t="s">
        <v>4287</v>
      </c>
      <c r="X713" s="14" t="s">
        <v>60</v>
      </c>
    </row>
    <row r="714" spans="1:24" ht="15" x14ac:dyDescent="0.3">
      <c r="A714" s="3">
        <v>12</v>
      </c>
      <c r="B714" s="3" t="s">
        <v>6875</v>
      </c>
      <c r="C714" s="14" t="s">
        <v>0</v>
      </c>
      <c r="D714" s="14" t="s">
        <v>1545</v>
      </c>
      <c r="E714" s="14" t="s">
        <v>6876</v>
      </c>
      <c r="F714" s="14" t="s">
        <v>1546</v>
      </c>
      <c r="G714" s="14" t="s">
        <v>3</v>
      </c>
      <c r="H714" s="14" t="s">
        <v>6877</v>
      </c>
      <c r="I714" s="14" t="s">
        <v>1547</v>
      </c>
      <c r="J714" s="14" t="s">
        <v>60</v>
      </c>
      <c r="K714" s="14" t="s">
        <v>60</v>
      </c>
      <c r="L714" s="14" t="s">
        <v>60</v>
      </c>
      <c r="M714" s="14" t="s">
        <v>1548</v>
      </c>
      <c r="N714" s="14" t="s">
        <v>60</v>
      </c>
      <c r="O714" s="14" t="s">
        <v>193</v>
      </c>
      <c r="P714" s="14" t="s">
        <v>6878</v>
      </c>
      <c r="Q714" s="14" t="s">
        <v>11</v>
      </c>
      <c r="R714" s="3">
        <v>0</v>
      </c>
      <c r="S714" s="3">
        <f t="shared" si="36"/>
        <v>550</v>
      </c>
      <c r="T714" s="3">
        <f t="shared" si="37"/>
        <v>0</v>
      </c>
      <c r="U714" s="3" t="s">
        <v>60</v>
      </c>
      <c r="V714" s="14" t="s">
        <v>6</v>
      </c>
      <c r="W714" s="14" t="s">
        <v>4287</v>
      </c>
      <c r="X714" s="14" t="s">
        <v>60</v>
      </c>
    </row>
    <row r="715" spans="1:24" ht="15" x14ac:dyDescent="0.3">
      <c r="A715" s="3">
        <v>13</v>
      </c>
      <c r="B715" s="3" t="s">
        <v>1549</v>
      </c>
      <c r="C715" s="14" t="s">
        <v>0</v>
      </c>
      <c r="D715" s="14" t="s">
        <v>1550</v>
      </c>
      <c r="E715" s="14" t="s">
        <v>6879</v>
      </c>
      <c r="F715" s="14" t="s">
        <v>1551</v>
      </c>
      <c r="G715" s="14" t="s">
        <v>3</v>
      </c>
      <c r="H715" s="14" t="s">
        <v>6880</v>
      </c>
      <c r="I715" s="14" t="s">
        <v>1552</v>
      </c>
      <c r="J715" s="14" t="s">
        <v>60</v>
      </c>
      <c r="K715" s="14" t="s">
        <v>60</v>
      </c>
      <c r="L715" s="14" t="s">
        <v>60</v>
      </c>
      <c r="M715" s="14" t="s">
        <v>1553</v>
      </c>
      <c r="N715" s="14" t="s">
        <v>60</v>
      </c>
      <c r="O715" s="14" t="s">
        <v>193</v>
      </c>
      <c r="P715" s="14" t="s">
        <v>6881</v>
      </c>
      <c r="Q715" s="14" t="s">
        <v>11</v>
      </c>
      <c r="R715" s="3">
        <v>0</v>
      </c>
      <c r="S715" s="3">
        <f t="shared" si="36"/>
        <v>550</v>
      </c>
      <c r="T715" s="3">
        <f t="shared" si="37"/>
        <v>0</v>
      </c>
      <c r="U715" s="3" t="s">
        <v>60</v>
      </c>
      <c r="V715" s="14" t="s">
        <v>6</v>
      </c>
      <c r="W715" s="14" t="s">
        <v>4287</v>
      </c>
      <c r="X715" s="14" t="s">
        <v>60</v>
      </c>
    </row>
    <row r="716" spans="1:24" ht="15" x14ac:dyDescent="0.3">
      <c r="A716" s="3">
        <v>14</v>
      </c>
      <c r="B716" s="3" t="s">
        <v>1554</v>
      </c>
      <c r="C716" s="14" t="s">
        <v>0</v>
      </c>
      <c r="D716" s="14" t="s">
        <v>1555</v>
      </c>
      <c r="E716" s="14" t="s">
        <v>6882</v>
      </c>
      <c r="F716" s="14" t="s">
        <v>1556</v>
      </c>
      <c r="G716" s="14" t="s">
        <v>3</v>
      </c>
      <c r="H716" s="14" t="s">
        <v>6883</v>
      </c>
      <c r="I716" s="14" t="s">
        <v>1557</v>
      </c>
      <c r="J716" s="14" t="s">
        <v>60</v>
      </c>
      <c r="K716" s="14" t="s">
        <v>60</v>
      </c>
      <c r="L716" s="14" t="s">
        <v>60</v>
      </c>
      <c r="M716" s="14" t="s">
        <v>1558</v>
      </c>
      <c r="N716" s="14" t="s">
        <v>60</v>
      </c>
      <c r="O716" s="14" t="s">
        <v>193</v>
      </c>
      <c r="P716" s="14" t="s">
        <v>6884</v>
      </c>
      <c r="Q716" s="14" t="s">
        <v>185</v>
      </c>
      <c r="R716" s="3">
        <v>0</v>
      </c>
      <c r="S716" s="3">
        <f t="shared" si="36"/>
        <v>550</v>
      </c>
      <c r="T716" s="3">
        <f t="shared" si="37"/>
        <v>0</v>
      </c>
      <c r="U716" s="3" t="s">
        <v>60</v>
      </c>
      <c r="V716" s="14" t="s">
        <v>6</v>
      </c>
      <c r="W716" s="14" t="s">
        <v>4287</v>
      </c>
      <c r="X716" s="14" t="s">
        <v>60</v>
      </c>
    </row>
    <row r="717" spans="1:24" ht="15" x14ac:dyDescent="0.3">
      <c r="A717" s="3">
        <v>15</v>
      </c>
      <c r="B717" s="3" t="s">
        <v>1559</v>
      </c>
      <c r="C717" s="14" t="s">
        <v>0</v>
      </c>
      <c r="D717" s="14" t="s">
        <v>1560</v>
      </c>
      <c r="E717" s="14" t="s">
        <v>6885</v>
      </c>
      <c r="F717" s="14" t="s">
        <v>1561</v>
      </c>
      <c r="G717" s="14" t="s">
        <v>3</v>
      </c>
      <c r="H717" s="14" t="s">
        <v>6886</v>
      </c>
      <c r="I717" s="14" t="s">
        <v>1562</v>
      </c>
      <c r="J717" s="14" t="s">
        <v>60</v>
      </c>
      <c r="K717" s="14" t="s">
        <v>60</v>
      </c>
      <c r="L717" s="14" t="s">
        <v>60</v>
      </c>
      <c r="M717" s="14" t="s">
        <v>1563</v>
      </c>
      <c r="N717" s="14" t="s">
        <v>60</v>
      </c>
      <c r="O717" s="14" t="s">
        <v>193</v>
      </c>
      <c r="P717" s="14" t="s">
        <v>6887</v>
      </c>
      <c r="Q717" s="14" t="s">
        <v>185</v>
      </c>
      <c r="R717" s="3">
        <v>0</v>
      </c>
      <c r="S717" s="3">
        <f t="shared" si="36"/>
        <v>550</v>
      </c>
      <c r="T717" s="3">
        <f t="shared" si="37"/>
        <v>0</v>
      </c>
      <c r="U717" s="3" t="s">
        <v>60</v>
      </c>
      <c r="V717" s="14" t="s">
        <v>6</v>
      </c>
      <c r="W717" s="14" t="s">
        <v>4287</v>
      </c>
      <c r="X717" s="14" t="s">
        <v>60</v>
      </c>
    </row>
    <row r="718" spans="1:24" ht="15" x14ac:dyDescent="0.3">
      <c r="A718" s="3">
        <v>16</v>
      </c>
      <c r="B718" s="3" t="s">
        <v>1564</v>
      </c>
      <c r="C718" s="14" t="s">
        <v>0</v>
      </c>
      <c r="D718" s="14" t="s">
        <v>1565</v>
      </c>
      <c r="E718" s="14" t="s">
        <v>6888</v>
      </c>
      <c r="F718" s="14" t="s">
        <v>1566</v>
      </c>
      <c r="G718" s="14" t="s">
        <v>121</v>
      </c>
      <c r="H718" s="14" t="s">
        <v>6889</v>
      </c>
      <c r="I718" s="14" t="s">
        <v>1567</v>
      </c>
      <c r="J718" s="14" t="s">
        <v>60</v>
      </c>
      <c r="K718" s="14" t="s">
        <v>60</v>
      </c>
      <c r="L718" s="14" t="s">
        <v>60</v>
      </c>
      <c r="M718" s="14" t="s">
        <v>6890</v>
      </c>
      <c r="N718" s="14" t="s">
        <v>60</v>
      </c>
      <c r="O718" s="14" t="s">
        <v>193</v>
      </c>
      <c r="P718" s="14" t="s">
        <v>6891</v>
      </c>
      <c r="Q718" s="14" t="s">
        <v>185</v>
      </c>
      <c r="R718" s="3">
        <v>0</v>
      </c>
      <c r="S718" s="3">
        <f t="shared" si="36"/>
        <v>550</v>
      </c>
      <c r="T718" s="3">
        <f t="shared" si="37"/>
        <v>0</v>
      </c>
      <c r="U718" s="3" t="s">
        <v>60</v>
      </c>
      <c r="V718" s="14" t="s">
        <v>6</v>
      </c>
      <c r="W718" s="14" t="s">
        <v>4287</v>
      </c>
      <c r="X718" s="14" t="s">
        <v>60</v>
      </c>
    </row>
    <row r="719" spans="1:24" ht="15" x14ac:dyDescent="0.3">
      <c r="A719" s="3">
        <v>17</v>
      </c>
      <c r="B719" s="3" t="s">
        <v>6892</v>
      </c>
      <c r="C719" s="14" t="s">
        <v>0</v>
      </c>
      <c r="D719" s="14" t="s">
        <v>1568</v>
      </c>
      <c r="E719" s="14" t="s">
        <v>4440</v>
      </c>
      <c r="F719" s="14" t="s">
        <v>1569</v>
      </c>
      <c r="G719" s="14" t="s">
        <v>3</v>
      </c>
      <c r="H719" s="14" t="s">
        <v>6893</v>
      </c>
      <c r="I719" s="14" t="s">
        <v>1570</v>
      </c>
      <c r="J719" s="14" t="s">
        <v>60</v>
      </c>
      <c r="K719" s="14" t="s">
        <v>60</v>
      </c>
      <c r="L719" s="14" t="s">
        <v>60</v>
      </c>
      <c r="M719" s="14" t="s">
        <v>1571</v>
      </c>
      <c r="N719" s="14" t="s">
        <v>60</v>
      </c>
      <c r="O719" s="14" t="s">
        <v>193</v>
      </c>
      <c r="P719" s="14" t="s">
        <v>6894</v>
      </c>
      <c r="Q719" s="14" t="s">
        <v>11</v>
      </c>
      <c r="R719" s="3">
        <v>0</v>
      </c>
      <c r="S719" s="3">
        <f t="shared" si="36"/>
        <v>550</v>
      </c>
      <c r="T719" s="3">
        <f t="shared" si="37"/>
        <v>0</v>
      </c>
      <c r="U719" s="3" t="s">
        <v>60</v>
      </c>
      <c r="V719" s="14" t="s">
        <v>6</v>
      </c>
      <c r="W719" s="14" t="s">
        <v>6349</v>
      </c>
      <c r="X719" s="14" t="s">
        <v>60</v>
      </c>
    </row>
    <row r="720" spans="1:24" ht="15" x14ac:dyDescent="0.3">
      <c r="A720" s="3">
        <v>18</v>
      </c>
      <c r="B720" s="3" t="s">
        <v>6895</v>
      </c>
      <c r="C720" s="14" t="s">
        <v>0</v>
      </c>
      <c r="D720" s="14" t="s">
        <v>167</v>
      </c>
      <c r="E720" s="14" t="s">
        <v>4440</v>
      </c>
      <c r="F720" s="14" t="s">
        <v>1572</v>
      </c>
      <c r="G720" s="14" t="s">
        <v>3</v>
      </c>
      <c r="H720" s="14" t="s">
        <v>6896</v>
      </c>
      <c r="I720" s="14" t="s">
        <v>1573</v>
      </c>
      <c r="J720" s="14" t="s">
        <v>60</v>
      </c>
      <c r="K720" s="14" t="s">
        <v>60</v>
      </c>
      <c r="L720" s="14" t="s">
        <v>60</v>
      </c>
      <c r="M720" s="14" t="s">
        <v>1574</v>
      </c>
      <c r="N720" s="14" t="s">
        <v>60</v>
      </c>
      <c r="O720" s="14" t="s">
        <v>60</v>
      </c>
      <c r="P720" s="14" t="s">
        <v>6897</v>
      </c>
      <c r="Q720" s="14" t="s">
        <v>11</v>
      </c>
      <c r="R720" s="3">
        <v>0</v>
      </c>
      <c r="S720" s="3">
        <f t="shared" si="36"/>
        <v>550</v>
      </c>
      <c r="T720" s="3">
        <f t="shared" si="37"/>
        <v>0</v>
      </c>
      <c r="U720" s="3" t="s">
        <v>60</v>
      </c>
      <c r="V720" s="14" t="s">
        <v>6</v>
      </c>
      <c r="W720" s="14" t="s">
        <v>6898</v>
      </c>
      <c r="X720" s="14" t="s">
        <v>60</v>
      </c>
    </row>
    <row r="721" spans="1:24" ht="15" x14ac:dyDescent="0.3">
      <c r="A721" s="3">
        <v>19</v>
      </c>
      <c r="B721" s="3" t="s">
        <v>6899</v>
      </c>
      <c r="C721" s="14" t="s">
        <v>0</v>
      </c>
      <c r="D721" s="14" t="s">
        <v>1579</v>
      </c>
      <c r="E721" s="14" t="s">
        <v>4205</v>
      </c>
      <c r="F721" s="14" t="s">
        <v>1580</v>
      </c>
      <c r="G721" s="14" t="s">
        <v>3</v>
      </c>
      <c r="H721" s="14" t="s">
        <v>6900</v>
      </c>
      <c r="I721" s="14" t="s">
        <v>1581</v>
      </c>
      <c r="J721" s="14" t="s">
        <v>60</v>
      </c>
      <c r="K721" s="14" t="s">
        <v>60</v>
      </c>
      <c r="L721" s="14" t="s">
        <v>60</v>
      </c>
      <c r="M721" s="14" t="s">
        <v>1582</v>
      </c>
      <c r="N721" s="14" t="s">
        <v>60</v>
      </c>
      <c r="O721" s="14" t="s">
        <v>933</v>
      </c>
      <c r="P721" s="14" t="s">
        <v>6901</v>
      </c>
      <c r="Q721" s="14" t="s">
        <v>11</v>
      </c>
      <c r="R721" s="3">
        <v>0</v>
      </c>
      <c r="S721" s="3">
        <f t="shared" si="36"/>
        <v>550</v>
      </c>
      <c r="T721" s="3">
        <f t="shared" si="37"/>
        <v>0</v>
      </c>
      <c r="U721" s="3" t="s">
        <v>60</v>
      </c>
      <c r="V721" s="14" t="s">
        <v>6</v>
      </c>
      <c r="W721" s="14" t="s">
        <v>4985</v>
      </c>
      <c r="X721" s="14" t="s">
        <v>60</v>
      </c>
    </row>
    <row r="722" spans="1:24" ht="15" x14ac:dyDescent="0.3">
      <c r="A722" s="3">
        <v>20</v>
      </c>
      <c r="B722" s="3" t="s">
        <v>6902</v>
      </c>
      <c r="C722" s="14" t="s">
        <v>14</v>
      </c>
      <c r="D722" s="14" t="s">
        <v>1470</v>
      </c>
      <c r="E722" s="14" t="s">
        <v>5557</v>
      </c>
      <c r="F722" s="14" t="s">
        <v>1471</v>
      </c>
      <c r="G722" s="14" t="s">
        <v>3</v>
      </c>
      <c r="H722" s="14" t="s">
        <v>6903</v>
      </c>
      <c r="I722" s="14" t="s">
        <v>1472</v>
      </c>
      <c r="J722" s="14" t="s">
        <v>228</v>
      </c>
      <c r="K722" s="14" t="s">
        <v>1152</v>
      </c>
      <c r="L722" s="14" t="s">
        <v>60</v>
      </c>
      <c r="M722" s="14" t="s">
        <v>1473</v>
      </c>
      <c r="N722" s="14" t="s">
        <v>60</v>
      </c>
      <c r="O722" s="14" t="s">
        <v>193</v>
      </c>
      <c r="P722" s="14" t="s">
        <v>6904</v>
      </c>
      <c r="Q722" s="14" t="s">
        <v>11</v>
      </c>
      <c r="R722" s="3">
        <v>0</v>
      </c>
      <c r="S722" s="3">
        <f t="shared" si="36"/>
        <v>640</v>
      </c>
      <c r="T722" s="3">
        <f t="shared" si="37"/>
        <v>0</v>
      </c>
      <c r="U722" s="3" t="s">
        <v>6905</v>
      </c>
      <c r="V722" s="14" t="s">
        <v>6</v>
      </c>
      <c r="W722" s="14" t="s">
        <v>4287</v>
      </c>
      <c r="X722" s="14" t="s">
        <v>60</v>
      </c>
    </row>
    <row r="723" spans="1:24" ht="15" x14ac:dyDescent="0.3">
      <c r="A723" s="3">
        <v>21</v>
      </c>
      <c r="B723" s="3" t="s">
        <v>6906</v>
      </c>
      <c r="C723" s="14" t="s">
        <v>26</v>
      </c>
      <c r="D723" s="14" t="s">
        <v>1474</v>
      </c>
      <c r="E723" s="14" t="s">
        <v>6907</v>
      </c>
      <c r="F723" s="14" t="s">
        <v>1475</v>
      </c>
      <c r="G723" s="14" t="s">
        <v>3</v>
      </c>
      <c r="H723" s="14" t="s">
        <v>6908</v>
      </c>
      <c r="I723" s="14" t="s">
        <v>1476</v>
      </c>
      <c r="J723" s="14" t="s">
        <v>60</v>
      </c>
      <c r="K723" s="14" t="s">
        <v>60</v>
      </c>
      <c r="L723" s="14" t="s">
        <v>60</v>
      </c>
      <c r="M723" s="14" t="s">
        <v>1477</v>
      </c>
      <c r="N723" s="14" t="s">
        <v>60</v>
      </c>
      <c r="O723" s="14" t="s">
        <v>5052</v>
      </c>
      <c r="P723" s="14" t="s">
        <v>6909</v>
      </c>
      <c r="Q723" s="14" t="s">
        <v>185</v>
      </c>
      <c r="R723" s="3">
        <v>0</v>
      </c>
      <c r="S723" s="3">
        <f t="shared" si="36"/>
        <v>770</v>
      </c>
      <c r="T723" s="3">
        <f t="shared" si="37"/>
        <v>0</v>
      </c>
      <c r="U723" s="3" t="s">
        <v>60</v>
      </c>
      <c r="V723" s="14" t="s">
        <v>6</v>
      </c>
      <c r="W723" s="14" t="s">
        <v>4287</v>
      </c>
      <c r="X723" s="14" t="s">
        <v>60</v>
      </c>
    </row>
    <row r="724" spans="1:24" ht="15" x14ac:dyDescent="0.3">
      <c r="A724" s="3">
        <v>22</v>
      </c>
      <c r="B724" s="3" t="s">
        <v>6910</v>
      </c>
      <c r="C724" s="14" t="s">
        <v>14</v>
      </c>
      <c r="D724" s="14" t="s">
        <v>6911</v>
      </c>
      <c r="E724" s="14" t="s">
        <v>5828</v>
      </c>
      <c r="F724" s="14" t="s">
        <v>1478</v>
      </c>
      <c r="G724" s="14" t="s">
        <v>3</v>
      </c>
      <c r="H724" s="14" t="s">
        <v>6912</v>
      </c>
      <c r="I724" s="14" t="s">
        <v>1479</v>
      </c>
      <c r="J724" s="14" t="s">
        <v>60</v>
      </c>
      <c r="K724" s="14" t="s">
        <v>60</v>
      </c>
      <c r="L724" s="14" t="s">
        <v>60</v>
      </c>
      <c r="M724" s="14" t="s">
        <v>1480</v>
      </c>
      <c r="N724" s="14" t="s">
        <v>60</v>
      </c>
      <c r="O724" s="14" t="s">
        <v>184</v>
      </c>
      <c r="P724" s="14" t="s">
        <v>6913</v>
      </c>
      <c r="Q724" s="14" t="s">
        <v>185</v>
      </c>
      <c r="R724" s="3">
        <v>0</v>
      </c>
      <c r="S724" s="3">
        <f t="shared" si="36"/>
        <v>640</v>
      </c>
      <c r="T724" s="3">
        <f t="shared" si="37"/>
        <v>0</v>
      </c>
      <c r="U724" s="3" t="s">
        <v>60</v>
      </c>
      <c r="V724" s="14" t="s">
        <v>6</v>
      </c>
      <c r="W724" s="14" t="s">
        <v>4287</v>
      </c>
      <c r="X724" s="14" t="s">
        <v>60</v>
      </c>
    </row>
    <row r="725" spans="1:24" ht="15" x14ac:dyDescent="0.3">
      <c r="A725" s="3">
        <v>23</v>
      </c>
      <c r="B725" s="3" t="s">
        <v>6914</v>
      </c>
      <c r="C725" s="14" t="s">
        <v>26</v>
      </c>
      <c r="D725" s="14" t="s">
        <v>1481</v>
      </c>
      <c r="E725" s="14" t="s">
        <v>6915</v>
      </c>
      <c r="F725" s="14" t="s">
        <v>1482</v>
      </c>
      <c r="G725" s="14" t="s">
        <v>3</v>
      </c>
      <c r="H725" s="14" t="s">
        <v>6916</v>
      </c>
      <c r="I725" s="14" t="s">
        <v>1483</v>
      </c>
      <c r="J725" s="14" t="s">
        <v>60</v>
      </c>
      <c r="K725" s="14" t="s">
        <v>60</v>
      </c>
      <c r="L725" s="14" t="s">
        <v>60</v>
      </c>
      <c r="M725" s="14" t="s">
        <v>60</v>
      </c>
      <c r="N725" s="14" t="s">
        <v>60</v>
      </c>
      <c r="O725" s="14" t="s">
        <v>193</v>
      </c>
      <c r="P725" s="14" t="s">
        <v>6917</v>
      </c>
      <c r="Q725" s="14" t="s">
        <v>11</v>
      </c>
      <c r="R725" s="3">
        <v>0</v>
      </c>
      <c r="S725" s="3">
        <f t="shared" si="36"/>
        <v>770</v>
      </c>
      <c r="T725" s="3">
        <f t="shared" si="37"/>
        <v>0</v>
      </c>
      <c r="U725" s="3" t="s">
        <v>60</v>
      </c>
      <c r="V725" s="14" t="s">
        <v>6</v>
      </c>
      <c r="W725" s="14" t="s">
        <v>4287</v>
      </c>
      <c r="X725" s="14" t="s">
        <v>60</v>
      </c>
    </row>
    <row r="726" spans="1:24" ht="15" x14ac:dyDescent="0.3">
      <c r="A726" s="3">
        <v>24</v>
      </c>
      <c r="B726" s="3" t="s">
        <v>6918</v>
      </c>
      <c r="C726" s="14" t="s">
        <v>14</v>
      </c>
      <c r="D726" s="14" t="s">
        <v>1490</v>
      </c>
      <c r="E726" s="14" t="s">
        <v>6919</v>
      </c>
      <c r="F726" s="14" t="s">
        <v>1491</v>
      </c>
      <c r="G726" s="14" t="s">
        <v>3</v>
      </c>
      <c r="H726" s="14" t="s">
        <v>6920</v>
      </c>
      <c r="I726" s="14" t="s">
        <v>1492</v>
      </c>
      <c r="J726" s="14" t="s">
        <v>60</v>
      </c>
      <c r="K726" s="14" t="s">
        <v>60</v>
      </c>
      <c r="L726" s="14" t="s">
        <v>60</v>
      </c>
      <c r="M726" s="14" t="s">
        <v>1493</v>
      </c>
      <c r="N726" s="14" t="s">
        <v>60</v>
      </c>
      <c r="O726" s="14" t="s">
        <v>454</v>
      </c>
      <c r="P726" s="14" t="s">
        <v>6921</v>
      </c>
      <c r="Q726" s="14" t="s">
        <v>11</v>
      </c>
      <c r="R726" s="3">
        <v>0</v>
      </c>
      <c r="S726" s="3">
        <f t="shared" si="36"/>
        <v>640</v>
      </c>
      <c r="T726" s="3">
        <f t="shared" si="37"/>
        <v>0</v>
      </c>
      <c r="U726" s="3" t="s">
        <v>60</v>
      </c>
      <c r="V726" s="14" t="s">
        <v>6</v>
      </c>
      <c r="W726" s="14" t="s">
        <v>6789</v>
      </c>
      <c r="X726" s="14" t="s">
        <v>60</v>
      </c>
    </row>
    <row r="727" spans="1:24" ht="15" x14ac:dyDescent="0.3">
      <c r="A727" s="3">
        <v>25</v>
      </c>
      <c r="B727" s="3" t="s">
        <v>6922</v>
      </c>
      <c r="C727" s="14" t="s">
        <v>0</v>
      </c>
      <c r="D727" s="14" t="s">
        <v>828</v>
      </c>
      <c r="E727" s="14" t="s">
        <v>5037</v>
      </c>
      <c r="F727" s="14" t="s">
        <v>1620</v>
      </c>
      <c r="G727" s="14" t="s">
        <v>3</v>
      </c>
      <c r="H727" s="14" t="s">
        <v>6923</v>
      </c>
      <c r="I727" s="14" t="s">
        <v>1621</v>
      </c>
      <c r="J727" s="14" t="s">
        <v>60</v>
      </c>
      <c r="K727" s="14" t="s">
        <v>60</v>
      </c>
      <c r="L727" s="14" t="s">
        <v>60</v>
      </c>
      <c r="M727" s="14" t="s">
        <v>1622</v>
      </c>
      <c r="N727" s="14" t="s">
        <v>60</v>
      </c>
      <c r="O727" s="14" t="s">
        <v>388</v>
      </c>
      <c r="P727" s="14" t="s">
        <v>6924</v>
      </c>
      <c r="Q727" s="14" t="s">
        <v>11</v>
      </c>
      <c r="R727" s="3">
        <v>0</v>
      </c>
      <c r="S727" s="3">
        <f t="shared" si="36"/>
        <v>550</v>
      </c>
      <c r="T727" s="3">
        <f t="shared" si="37"/>
        <v>0</v>
      </c>
      <c r="U727" s="3" t="s">
        <v>60</v>
      </c>
      <c r="V727" s="14" t="s">
        <v>6</v>
      </c>
      <c r="W727" s="14" t="s">
        <v>6925</v>
      </c>
      <c r="X727" s="14" t="s">
        <v>60</v>
      </c>
    </row>
    <row r="728" spans="1:24" ht="15.6" x14ac:dyDescent="0.3">
      <c r="A728" s="3">
        <v>26</v>
      </c>
      <c r="B728" s="10">
        <v>8323</v>
      </c>
      <c r="C728" s="14" t="s">
        <v>0</v>
      </c>
      <c r="D728" s="15" t="s">
        <v>3297</v>
      </c>
      <c r="E728" s="12">
        <v>38353</v>
      </c>
      <c r="F728" s="5" t="s">
        <v>457</v>
      </c>
      <c r="G728" s="5" t="s">
        <v>3</v>
      </c>
      <c r="H728" s="5" t="s">
        <v>3347</v>
      </c>
      <c r="I728" s="7" t="s">
        <v>3348</v>
      </c>
      <c r="J728" s="5"/>
      <c r="K728" s="5"/>
      <c r="L728" s="5"/>
      <c r="M728" s="16" t="s">
        <v>3349</v>
      </c>
      <c r="N728" s="4"/>
      <c r="O728" s="17"/>
      <c r="P728" s="6">
        <v>97014406472</v>
      </c>
      <c r="Q728" s="7" t="s">
        <v>11</v>
      </c>
      <c r="R728" s="3">
        <v>0</v>
      </c>
      <c r="S728" s="3">
        <f t="shared" si="36"/>
        <v>550</v>
      </c>
      <c r="T728" s="3">
        <f t="shared" si="37"/>
        <v>0</v>
      </c>
      <c r="U728" s="3" t="s">
        <v>60</v>
      </c>
      <c r="V728" s="14" t="s">
        <v>6</v>
      </c>
      <c r="W728" s="11">
        <v>46170</v>
      </c>
      <c r="X728" s="14"/>
    </row>
    <row r="729" spans="1:24" ht="15" x14ac:dyDescent="0.3">
      <c r="A729" s="3">
        <v>27</v>
      </c>
      <c r="B729" s="3" t="s">
        <v>6926</v>
      </c>
      <c r="C729" s="14" t="s">
        <v>0</v>
      </c>
      <c r="D729" s="14" t="s">
        <v>2517</v>
      </c>
      <c r="E729" s="14" t="s">
        <v>4319</v>
      </c>
      <c r="F729" s="14" t="s">
        <v>457</v>
      </c>
      <c r="G729" s="14" t="s">
        <v>3</v>
      </c>
      <c r="H729" s="14" t="s">
        <v>6927</v>
      </c>
      <c r="I729" s="14" t="s">
        <v>3350</v>
      </c>
      <c r="J729" s="14" t="s">
        <v>60</v>
      </c>
      <c r="K729" s="14" t="s">
        <v>60</v>
      </c>
      <c r="L729" s="14" t="s">
        <v>60</v>
      </c>
      <c r="M729" s="14" t="s">
        <v>60</v>
      </c>
      <c r="N729" s="14" t="s">
        <v>60</v>
      </c>
      <c r="O729" s="14" t="s">
        <v>60</v>
      </c>
      <c r="P729" s="14" t="s">
        <v>6928</v>
      </c>
      <c r="Q729" s="14" t="s">
        <v>761</v>
      </c>
      <c r="R729" s="3">
        <v>0</v>
      </c>
      <c r="S729" s="3">
        <f t="shared" si="36"/>
        <v>550</v>
      </c>
      <c r="T729" s="3">
        <f t="shared" si="37"/>
        <v>0</v>
      </c>
      <c r="U729" s="3" t="s">
        <v>60</v>
      </c>
      <c r="V729" s="14" t="s">
        <v>6</v>
      </c>
      <c r="W729" s="14" t="s">
        <v>6929</v>
      </c>
      <c r="X729" s="14" t="s">
        <v>60</v>
      </c>
    </row>
    <row r="730" spans="1:24" ht="15" x14ac:dyDescent="0.3">
      <c r="A730" s="3">
        <v>28</v>
      </c>
      <c r="B730" s="3" t="s">
        <v>6930</v>
      </c>
      <c r="C730" s="14" t="s">
        <v>0</v>
      </c>
      <c r="D730" s="14" t="s">
        <v>3298</v>
      </c>
      <c r="E730" s="14" t="s">
        <v>6442</v>
      </c>
      <c r="F730" s="14" t="s">
        <v>3299</v>
      </c>
      <c r="G730" s="14" t="s">
        <v>3</v>
      </c>
      <c r="H730" s="14" t="s">
        <v>6931</v>
      </c>
      <c r="I730" s="14" t="s">
        <v>3351</v>
      </c>
      <c r="J730" s="14" t="s">
        <v>60</v>
      </c>
      <c r="K730" s="14" t="s">
        <v>60</v>
      </c>
      <c r="L730" s="14" t="s">
        <v>60</v>
      </c>
      <c r="M730" s="14" t="s">
        <v>3352</v>
      </c>
      <c r="N730" s="14" t="s">
        <v>60</v>
      </c>
      <c r="O730" s="14" t="s">
        <v>60</v>
      </c>
      <c r="P730" s="14" t="s">
        <v>6932</v>
      </c>
      <c r="Q730" s="14" t="s">
        <v>11</v>
      </c>
      <c r="R730" s="3">
        <v>0</v>
      </c>
      <c r="S730" s="3">
        <f t="shared" si="36"/>
        <v>550</v>
      </c>
      <c r="T730" s="3">
        <f t="shared" si="37"/>
        <v>0</v>
      </c>
      <c r="U730" s="3" t="s">
        <v>60</v>
      </c>
      <c r="V730" s="14" t="s">
        <v>6</v>
      </c>
      <c r="W730" s="14" t="s">
        <v>6929</v>
      </c>
      <c r="X730" s="14" t="s">
        <v>60</v>
      </c>
    </row>
    <row r="731" spans="1:24" ht="15" x14ac:dyDescent="0.3">
      <c r="A731" s="3">
        <v>29</v>
      </c>
      <c r="B731" s="3" t="s">
        <v>6933</v>
      </c>
      <c r="C731" s="14" t="s">
        <v>0</v>
      </c>
      <c r="D731" s="14" t="s">
        <v>3619</v>
      </c>
      <c r="E731" s="14" t="s">
        <v>6934</v>
      </c>
      <c r="F731" s="14" t="s">
        <v>3579</v>
      </c>
      <c r="G731" s="14" t="s">
        <v>3</v>
      </c>
      <c r="H731" s="14" t="s">
        <v>6935</v>
      </c>
      <c r="I731" s="14" t="s">
        <v>3821</v>
      </c>
      <c r="J731" s="14" t="s">
        <v>60</v>
      </c>
      <c r="K731" s="14" t="s">
        <v>60</v>
      </c>
      <c r="L731" s="14" t="s">
        <v>60</v>
      </c>
      <c r="M731" s="14" t="s">
        <v>3822</v>
      </c>
      <c r="N731" s="14" t="s">
        <v>60</v>
      </c>
      <c r="O731" s="14" t="s">
        <v>60</v>
      </c>
      <c r="P731" s="14" t="s">
        <v>6936</v>
      </c>
      <c r="Q731" s="14" t="s">
        <v>11</v>
      </c>
      <c r="R731" s="3">
        <v>0</v>
      </c>
      <c r="S731" s="3">
        <f t="shared" si="36"/>
        <v>550</v>
      </c>
      <c r="T731" s="3">
        <f t="shared" si="37"/>
        <v>0</v>
      </c>
      <c r="U731" s="3" t="s">
        <v>60</v>
      </c>
      <c r="V731" s="14" t="s">
        <v>6</v>
      </c>
      <c r="W731" s="14" t="s">
        <v>4444</v>
      </c>
      <c r="X731" s="14" t="s">
        <v>60</v>
      </c>
    </row>
    <row r="732" spans="1:24" ht="15" x14ac:dyDescent="0.3">
      <c r="A732" s="3">
        <v>30</v>
      </c>
      <c r="B732" s="3" t="s">
        <v>6937</v>
      </c>
      <c r="C732" s="14" t="s">
        <v>0</v>
      </c>
      <c r="D732" s="14" t="s">
        <v>3577</v>
      </c>
      <c r="E732" s="14" t="s">
        <v>6938</v>
      </c>
      <c r="F732" s="14" t="s">
        <v>3580</v>
      </c>
      <c r="G732" s="14" t="s">
        <v>3</v>
      </c>
      <c r="H732" s="14" t="s">
        <v>6939</v>
      </c>
      <c r="I732" s="14" t="s">
        <v>3823</v>
      </c>
      <c r="J732" s="14" t="s">
        <v>60</v>
      </c>
      <c r="K732" s="14" t="s">
        <v>60</v>
      </c>
      <c r="L732" s="14" t="s">
        <v>60</v>
      </c>
      <c r="M732" s="14" t="s">
        <v>3824</v>
      </c>
      <c r="N732" s="14" t="s">
        <v>60</v>
      </c>
      <c r="O732" s="14" t="s">
        <v>60</v>
      </c>
      <c r="P732" s="14" t="s">
        <v>6940</v>
      </c>
      <c r="Q732" s="14" t="s">
        <v>3825</v>
      </c>
      <c r="R732" s="3">
        <v>0</v>
      </c>
      <c r="S732" s="3">
        <f t="shared" si="36"/>
        <v>550</v>
      </c>
      <c r="T732" s="3">
        <f t="shared" si="37"/>
        <v>0</v>
      </c>
      <c r="U732" s="3" t="s">
        <v>60</v>
      </c>
      <c r="V732" s="14" t="s">
        <v>6</v>
      </c>
      <c r="W732" s="14" t="s">
        <v>4444</v>
      </c>
      <c r="X732" s="14" t="s">
        <v>60</v>
      </c>
    </row>
    <row r="733" spans="1:24" ht="15" x14ac:dyDescent="0.3">
      <c r="A733" s="3">
        <v>31</v>
      </c>
      <c r="B733" s="3" t="s">
        <v>6941</v>
      </c>
      <c r="C733" s="14" t="s">
        <v>0</v>
      </c>
      <c r="D733" s="14" t="s">
        <v>3578</v>
      </c>
      <c r="E733" s="14" t="s">
        <v>4308</v>
      </c>
      <c r="F733" s="14" t="s">
        <v>3581</v>
      </c>
      <c r="G733" s="14" t="s">
        <v>3</v>
      </c>
      <c r="H733" s="14" t="s">
        <v>3826</v>
      </c>
      <c r="I733" s="14" t="s">
        <v>3827</v>
      </c>
      <c r="J733" s="14" t="s">
        <v>60</v>
      </c>
      <c r="K733" s="14" t="s">
        <v>60</v>
      </c>
      <c r="L733" s="14" t="s">
        <v>60</v>
      </c>
      <c r="M733" s="14" t="s">
        <v>3828</v>
      </c>
      <c r="N733" s="14" t="s">
        <v>60</v>
      </c>
      <c r="O733" s="14" t="s">
        <v>60</v>
      </c>
      <c r="P733" s="14" t="s">
        <v>6942</v>
      </c>
      <c r="Q733" s="14" t="s">
        <v>11</v>
      </c>
      <c r="R733" s="3">
        <v>0</v>
      </c>
      <c r="S733" s="3">
        <f t="shared" si="36"/>
        <v>550</v>
      </c>
      <c r="T733" s="3">
        <f t="shared" si="37"/>
        <v>0</v>
      </c>
      <c r="U733" s="3" t="s">
        <v>60</v>
      </c>
      <c r="V733" s="14" t="s">
        <v>6</v>
      </c>
      <c r="W733" s="14" t="s">
        <v>4444</v>
      </c>
      <c r="X733" s="14" t="s">
        <v>6844</v>
      </c>
    </row>
    <row r="734" spans="1:24" ht="15" x14ac:dyDescent="0.3">
      <c r="A734" s="3">
        <v>32</v>
      </c>
      <c r="B734" s="3" t="s">
        <v>6943</v>
      </c>
      <c r="C734" s="14" t="s">
        <v>14</v>
      </c>
      <c r="D734" s="14" t="s">
        <v>1487</v>
      </c>
      <c r="E734" s="14" t="s">
        <v>6944</v>
      </c>
      <c r="F734" s="14" t="s">
        <v>256</v>
      </c>
      <c r="G734" s="14" t="s">
        <v>3</v>
      </c>
      <c r="H734" s="14" t="s">
        <v>6945</v>
      </c>
      <c r="I734" s="14" t="s">
        <v>1488</v>
      </c>
      <c r="J734" s="14" t="s">
        <v>60</v>
      </c>
      <c r="K734" s="14" t="s">
        <v>60</v>
      </c>
      <c r="L734" s="14" t="s">
        <v>60</v>
      </c>
      <c r="M734" s="14" t="s">
        <v>1489</v>
      </c>
      <c r="N734" s="14" t="s">
        <v>60</v>
      </c>
      <c r="O734" s="14" t="s">
        <v>257</v>
      </c>
      <c r="P734" s="14" t="s">
        <v>6946</v>
      </c>
      <c r="Q734" s="14" t="s">
        <v>11</v>
      </c>
      <c r="R734" s="3">
        <v>0</v>
      </c>
      <c r="S734" s="3">
        <f t="shared" si="36"/>
        <v>640</v>
      </c>
      <c r="T734" s="3">
        <f t="shared" si="37"/>
        <v>0</v>
      </c>
      <c r="U734" s="3" t="s">
        <v>60</v>
      </c>
      <c r="V734" s="14" t="s">
        <v>6</v>
      </c>
      <c r="W734" s="14" t="s">
        <v>6947</v>
      </c>
      <c r="X734" s="14" t="s">
        <v>60</v>
      </c>
    </row>
    <row r="735" spans="1:24" ht="15.6" x14ac:dyDescent="0.3">
      <c r="A735" s="3">
        <v>33</v>
      </c>
      <c r="B735" s="25" t="s">
        <v>6948</v>
      </c>
      <c r="C735" s="14" t="s">
        <v>0</v>
      </c>
      <c r="D735" s="14" t="s">
        <v>1651</v>
      </c>
      <c r="E735" s="14" t="s">
        <v>6949</v>
      </c>
      <c r="F735" s="14" t="s">
        <v>1652</v>
      </c>
      <c r="G735" s="14" t="s">
        <v>3</v>
      </c>
      <c r="H735" s="14" t="s">
        <v>6950</v>
      </c>
      <c r="I735" s="14" t="s">
        <v>6951</v>
      </c>
      <c r="J735" s="14" t="s">
        <v>60</v>
      </c>
      <c r="K735" s="14" t="s">
        <v>60</v>
      </c>
      <c r="L735" s="14" t="s">
        <v>60</v>
      </c>
      <c r="M735" s="14" t="s">
        <v>1653</v>
      </c>
      <c r="N735" s="14" t="s">
        <v>60</v>
      </c>
      <c r="O735" s="14" t="s">
        <v>60</v>
      </c>
      <c r="P735" s="14" t="s">
        <v>6952</v>
      </c>
      <c r="Q735" s="14" t="s">
        <v>11</v>
      </c>
      <c r="R735" s="3">
        <v>0</v>
      </c>
      <c r="S735" s="3">
        <f t="shared" si="36"/>
        <v>550</v>
      </c>
      <c r="T735" s="3">
        <f t="shared" si="37"/>
        <v>0</v>
      </c>
      <c r="U735" s="3" t="s">
        <v>60</v>
      </c>
      <c r="V735" s="14" t="s">
        <v>6</v>
      </c>
      <c r="W735" s="14" t="s">
        <v>6953</v>
      </c>
      <c r="X735" s="14" t="s">
        <v>60</v>
      </c>
    </row>
    <row r="736" spans="1:24" ht="15.6" x14ac:dyDescent="0.3">
      <c r="A736" s="3">
        <v>34</v>
      </c>
      <c r="B736" s="25" t="s">
        <v>6954</v>
      </c>
      <c r="C736" s="14" t="s">
        <v>0</v>
      </c>
      <c r="D736" s="14" t="s">
        <v>6955</v>
      </c>
      <c r="E736" s="14" t="s">
        <v>6956</v>
      </c>
      <c r="F736" s="14" t="s">
        <v>6957</v>
      </c>
      <c r="G736" s="14" t="s">
        <v>3</v>
      </c>
      <c r="H736" s="14" t="s">
        <v>6958</v>
      </c>
      <c r="I736" s="14" t="s">
        <v>1524</v>
      </c>
      <c r="J736" s="14" t="s">
        <v>60</v>
      </c>
      <c r="K736" s="14" t="s">
        <v>60</v>
      </c>
      <c r="L736" s="14" t="s">
        <v>60</v>
      </c>
      <c r="M736" s="14" t="s">
        <v>6959</v>
      </c>
      <c r="N736" s="14" t="s">
        <v>60</v>
      </c>
      <c r="O736" s="14" t="s">
        <v>60</v>
      </c>
      <c r="P736" s="14" t="s">
        <v>6960</v>
      </c>
      <c r="Q736" s="14" t="s">
        <v>2723</v>
      </c>
      <c r="R736" s="3">
        <v>0</v>
      </c>
      <c r="S736" s="3">
        <f t="shared" si="36"/>
        <v>550</v>
      </c>
      <c r="T736" s="3">
        <f t="shared" si="37"/>
        <v>0</v>
      </c>
      <c r="U736" s="3" t="s">
        <v>6961</v>
      </c>
      <c r="V736" s="14" t="s">
        <v>6</v>
      </c>
      <c r="W736" s="14" t="s">
        <v>6962</v>
      </c>
      <c r="X736" s="14" t="s">
        <v>60</v>
      </c>
    </row>
    <row r="737" spans="1:24" ht="15.6" x14ac:dyDescent="0.3">
      <c r="A737" s="26" t="s">
        <v>60</v>
      </c>
      <c r="B737" s="26" t="s">
        <v>60</v>
      </c>
      <c r="C737" s="27" t="s">
        <v>60</v>
      </c>
      <c r="D737" s="27" t="s">
        <v>60</v>
      </c>
      <c r="E737" s="27" t="s">
        <v>60</v>
      </c>
      <c r="F737" s="27" t="s">
        <v>60</v>
      </c>
      <c r="G737" s="27" t="s">
        <v>60</v>
      </c>
      <c r="H737" s="27" t="s">
        <v>60</v>
      </c>
      <c r="I737" s="27" t="s">
        <v>60</v>
      </c>
      <c r="J737" s="27" t="s">
        <v>60</v>
      </c>
      <c r="K737" s="27" t="s">
        <v>60</v>
      </c>
      <c r="L737" s="27" t="s">
        <v>60</v>
      </c>
      <c r="M737" s="27" t="s">
        <v>60</v>
      </c>
      <c r="N737" s="27" t="s">
        <v>60</v>
      </c>
      <c r="O737" s="27" t="s">
        <v>60</v>
      </c>
      <c r="P737" s="27" t="s">
        <v>60</v>
      </c>
      <c r="Q737" s="27" t="s">
        <v>60</v>
      </c>
      <c r="R737" s="35" t="s">
        <v>2009</v>
      </c>
      <c r="S737" s="35" t="s">
        <v>60</v>
      </c>
      <c r="T737" s="26">
        <f>SUM(T702:T736)</f>
        <v>0</v>
      </c>
      <c r="U737" s="26" t="s">
        <v>6963</v>
      </c>
      <c r="V737" s="27" t="s">
        <v>60</v>
      </c>
      <c r="W737" s="27" t="s">
        <v>60</v>
      </c>
      <c r="X737" s="27" t="s">
        <v>60</v>
      </c>
    </row>
    <row r="738" spans="1:24" ht="15.6" x14ac:dyDescent="0.3">
      <c r="A738" s="34" t="s">
        <v>6964</v>
      </c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 spans="1:24" ht="109.2" x14ac:dyDescent="0.3">
      <c r="A739" s="23" t="s">
        <v>42</v>
      </c>
      <c r="B739" s="23" t="s">
        <v>43</v>
      </c>
      <c r="C739" s="24" t="s">
        <v>44</v>
      </c>
      <c r="D739" s="24" t="s">
        <v>4154</v>
      </c>
      <c r="E739" s="24" t="s">
        <v>4155</v>
      </c>
      <c r="F739" s="24" t="s">
        <v>4156</v>
      </c>
      <c r="G739" s="24" t="s">
        <v>45</v>
      </c>
      <c r="H739" s="24" t="s">
        <v>4157</v>
      </c>
      <c r="I739" s="24" t="s">
        <v>46</v>
      </c>
      <c r="J739" s="24" t="s">
        <v>4158</v>
      </c>
      <c r="K739" s="24" t="s">
        <v>4159</v>
      </c>
      <c r="L739" s="24" t="s">
        <v>4160</v>
      </c>
      <c r="M739" s="24" t="s">
        <v>4161</v>
      </c>
      <c r="N739" s="24" t="s">
        <v>47</v>
      </c>
      <c r="O739" s="24" t="s">
        <v>48</v>
      </c>
      <c r="P739" s="24" t="s">
        <v>49</v>
      </c>
      <c r="Q739" s="24" t="s">
        <v>50</v>
      </c>
      <c r="R739" s="23" t="s">
        <v>4162</v>
      </c>
      <c r="S739" s="23" t="s">
        <v>4163</v>
      </c>
      <c r="T739" s="23" t="s">
        <v>4164</v>
      </c>
      <c r="U739" s="23" t="s">
        <v>4165</v>
      </c>
      <c r="V739" s="24" t="s">
        <v>51</v>
      </c>
      <c r="W739" s="24" t="s">
        <v>52</v>
      </c>
      <c r="X739" s="24" t="s">
        <v>53</v>
      </c>
    </row>
    <row r="740" spans="1:24" ht="15" x14ac:dyDescent="0.3">
      <c r="A740" s="3">
        <v>1</v>
      </c>
      <c r="B740" s="3" t="s">
        <v>1677</v>
      </c>
      <c r="C740" s="14" t="s">
        <v>0</v>
      </c>
      <c r="D740" s="14" t="s">
        <v>1678</v>
      </c>
      <c r="E740" s="14" t="s">
        <v>6965</v>
      </c>
      <c r="F740" s="14" t="s">
        <v>1679</v>
      </c>
      <c r="G740" s="14" t="s">
        <v>3</v>
      </c>
      <c r="H740" s="14" t="s">
        <v>6966</v>
      </c>
      <c r="I740" s="14" t="s">
        <v>1680</v>
      </c>
      <c r="J740" s="14" t="s">
        <v>60</v>
      </c>
      <c r="K740" s="14" t="s">
        <v>60</v>
      </c>
      <c r="L740" s="14" t="s">
        <v>60</v>
      </c>
      <c r="M740" s="14" t="s">
        <v>1681</v>
      </c>
      <c r="N740" s="14" t="s">
        <v>60</v>
      </c>
      <c r="O740" s="14" t="s">
        <v>193</v>
      </c>
      <c r="P740" s="14" t="s">
        <v>6967</v>
      </c>
      <c r="Q740" s="14" t="s">
        <v>1676</v>
      </c>
      <c r="R740" s="3">
        <v>0</v>
      </c>
      <c r="S740" s="3">
        <f t="shared" ref="S740:S803" si="38">IF(RIGHT(C740,3)="MAZ",550,IF(RIGHT(C740,4)="MATE",570,IF(RIGHT(C740,7)="SKD-III",640,IF(RIGHT(C740,6)="SKD-II",770,IF(RIGHT(C740,5)="SKD-I",900,IF(RIGHT(C740,5)="CPDVR",770,""))))))</f>
        <v>550</v>
      </c>
      <c r="T740" s="3">
        <f t="shared" ref="T740:T803" si="39">R740*S740</f>
        <v>0</v>
      </c>
      <c r="U740" s="3" t="s">
        <v>60</v>
      </c>
      <c r="V740" s="14" t="s">
        <v>6</v>
      </c>
      <c r="W740" s="14" t="s">
        <v>4287</v>
      </c>
      <c r="X740" s="14" t="s">
        <v>60</v>
      </c>
    </row>
    <row r="741" spans="1:24" ht="15" x14ac:dyDescent="0.3">
      <c r="A741" s="3">
        <v>2</v>
      </c>
      <c r="B741" s="3" t="s">
        <v>6968</v>
      </c>
      <c r="C741" s="14" t="s">
        <v>0</v>
      </c>
      <c r="D741" s="14" t="s">
        <v>1691</v>
      </c>
      <c r="E741" s="14" t="s">
        <v>6969</v>
      </c>
      <c r="F741" s="14" t="s">
        <v>1692</v>
      </c>
      <c r="G741" s="14" t="s">
        <v>3</v>
      </c>
      <c r="H741" s="14" t="s">
        <v>6970</v>
      </c>
      <c r="I741" s="14" t="s">
        <v>1693</v>
      </c>
      <c r="J741" s="14" t="s">
        <v>60</v>
      </c>
      <c r="K741" s="14" t="s">
        <v>60</v>
      </c>
      <c r="L741" s="14" t="s">
        <v>60</v>
      </c>
      <c r="M741" s="14" t="s">
        <v>1694</v>
      </c>
      <c r="N741" s="14" t="s">
        <v>60</v>
      </c>
      <c r="O741" s="14" t="s">
        <v>60</v>
      </c>
      <c r="P741" s="14" t="s">
        <v>6971</v>
      </c>
      <c r="Q741" s="14" t="s">
        <v>81</v>
      </c>
      <c r="R741" s="3">
        <v>0</v>
      </c>
      <c r="S741" s="3">
        <f t="shared" si="38"/>
        <v>550</v>
      </c>
      <c r="T741" s="3">
        <f t="shared" si="39"/>
        <v>0</v>
      </c>
      <c r="U741" s="3" t="s">
        <v>60</v>
      </c>
      <c r="V741" s="14" t="s">
        <v>6</v>
      </c>
      <c r="W741" s="14" t="s">
        <v>4287</v>
      </c>
      <c r="X741" s="14" t="s">
        <v>60</v>
      </c>
    </row>
    <row r="742" spans="1:24" ht="15" x14ac:dyDescent="0.3">
      <c r="A742" s="3">
        <v>3</v>
      </c>
      <c r="B742" s="3" t="s">
        <v>1705</v>
      </c>
      <c r="C742" s="14" t="s">
        <v>0</v>
      </c>
      <c r="D742" s="14" t="s">
        <v>1706</v>
      </c>
      <c r="E742" s="14" t="s">
        <v>6973</v>
      </c>
      <c r="F742" s="14" t="s">
        <v>1707</v>
      </c>
      <c r="G742" s="14" t="s">
        <v>3</v>
      </c>
      <c r="H742" s="14" t="s">
        <v>6974</v>
      </c>
      <c r="I742" s="14" t="s">
        <v>1708</v>
      </c>
      <c r="J742" s="14" t="s">
        <v>60</v>
      </c>
      <c r="K742" s="14" t="s">
        <v>60</v>
      </c>
      <c r="L742" s="14" t="s">
        <v>60</v>
      </c>
      <c r="M742" s="14" t="s">
        <v>1709</v>
      </c>
      <c r="N742" s="14" t="s">
        <v>60</v>
      </c>
      <c r="O742" s="14" t="s">
        <v>193</v>
      </c>
      <c r="P742" s="14" t="s">
        <v>6975</v>
      </c>
      <c r="Q742" s="14" t="s">
        <v>1676</v>
      </c>
      <c r="R742" s="3">
        <v>0</v>
      </c>
      <c r="S742" s="3">
        <f t="shared" si="38"/>
        <v>550</v>
      </c>
      <c r="T742" s="3">
        <f t="shared" si="39"/>
        <v>0</v>
      </c>
      <c r="U742" s="3" t="s">
        <v>60</v>
      </c>
      <c r="V742" s="14" t="s">
        <v>6</v>
      </c>
      <c r="W742" s="14" t="s">
        <v>4287</v>
      </c>
      <c r="X742" s="14" t="s">
        <v>60</v>
      </c>
    </row>
    <row r="743" spans="1:24" ht="15" x14ac:dyDescent="0.3">
      <c r="A743" s="3">
        <v>4</v>
      </c>
      <c r="B743" s="3" t="s">
        <v>6976</v>
      </c>
      <c r="C743" s="14" t="s">
        <v>0</v>
      </c>
      <c r="D743" s="14" t="s">
        <v>1714</v>
      </c>
      <c r="E743" s="14" t="s">
        <v>6977</v>
      </c>
      <c r="F743" s="14" t="s">
        <v>1715</v>
      </c>
      <c r="G743" s="14" t="s">
        <v>3</v>
      </c>
      <c r="H743" s="14" t="s">
        <v>6978</v>
      </c>
      <c r="I743" s="14" t="s">
        <v>1716</v>
      </c>
      <c r="J743" s="14" t="s">
        <v>60</v>
      </c>
      <c r="K743" s="14" t="s">
        <v>60</v>
      </c>
      <c r="L743" s="14" t="s">
        <v>60</v>
      </c>
      <c r="M743" s="14" t="s">
        <v>1717</v>
      </c>
      <c r="N743" s="14" t="s">
        <v>60</v>
      </c>
      <c r="O743" s="14" t="s">
        <v>261</v>
      </c>
      <c r="P743" s="14" t="s">
        <v>6979</v>
      </c>
      <c r="Q743" s="14" t="s">
        <v>11</v>
      </c>
      <c r="R743" s="3">
        <v>0</v>
      </c>
      <c r="S743" s="3">
        <f t="shared" si="38"/>
        <v>550</v>
      </c>
      <c r="T743" s="3">
        <f t="shared" si="39"/>
        <v>0</v>
      </c>
      <c r="U743" s="3" t="s">
        <v>60</v>
      </c>
      <c r="V743" s="14" t="s">
        <v>4301</v>
      </c>
      <c r="W743" s="14" t="s">
        <v>6980</v>
      </c>
      <c r="X743" s="14" t="s">
        <v>60</v>
      </c>
    </row>
    <row r="744" spans="1:24" ht="15" x14ac:dyDescent="0.3">
      <c r="A744" s="3">
        <v>5</v>
      </c>
      <c r="B744" s="3" t="s">
        <v>6981</v>
      </c>
      <c r="C744" s="14" t="s">
        <v>0</v>
      </c>
      <c r="D744" s="14" t="s">
        <v>1610</v>
      </c>
      <c r="E744" s="14" t="s">
        <v>4815</v>
      </c>
      <c r="F744" s="14" t="s">
        <v>1719</v>
      </c>
      <c r="G744" s="14" t="s">
        <v>3</v>
      </c>
      <c r="H744" s="14" t="s">
        <v>6982</v>
      </c>
      <c r="I744" s="14" t="s">
        <v>1720</v>
      </c>
      <c r="J744" s="14" t="s">
        <v>60</v>
      </c>
      <c r="K744" s="14" t="s">
        <v>60</v>
      </c>
      <c r="L744" s="14" t="s">
        <v>60</v>
      </c>
      <c r="M744" s="14" t="s">
        <v>1721</v>
      </c>
      <c r="N744" s="14" t="s">
        <v>60</v>
      </c>
      <c r="O744" s="14" t="s">
        <v>261</v>
      </c>
      <c r="P744" s="14" t="s">
        <v>6983</v>
      </c>
      <c r="Q744" s="14" t="s">
        <v>11</v>
      </c>
      <c r="R744" s="3">
        <v>0</v>
      </c>
      <c r="S744" s="3">
        <f t="shared" si="38"/>
        <v>550</v>
      </c>
      <c r="T744" s="3">
        <f t="shared" si="39"/>
        <v>0</v>
      </c>
      <c r="U744" s="3" t="s">
        <v>60</v>
      </c>
      <c r="V744" s="14" t="s">
        <v>4301</v>
      </c>
      <c r="W744" s="14" t="s">
        <v>6984</v>
      </c>
      <c r="X744" s="14" t="s">
        <v>60</v>
      </c>
    </row>
    <row r="745" spans="1:24" ht="15" x14ac:dyDescent="0.3">
      <c r="A745" s="3">
        <v>6</v>
      </c>
      <c r="B745" s="3" t="s">
        <v>6985</v>
      </c>
      <c r="C745" s="14" t="s">
        <v>0</v>
      </c>
      <c r="D745" s="14" t="s">
        <v>1722</v>
      </c>
      <c r="E745" s="14" t="s">
        <v>5073</v>
      </c>
      <c r="F745" s="14" t="s">
        <v>1723</v>
      </c>
      <c r="G745" s="14" t="s">
        <v>3</v>
      </c>
      <c r="H745" s="14" t="s">
        <v>6986</v>
      </c>
      <c r="I745" s="14" t="s">
        <v>1724</v>
      </c>
      <c r="J745" s="14" t="s">
        <v>60</v>
      </c>
      <c r="K745" s="14" t="s">
        <v>60</v>
      </c>
      <c r="L745" s="14" t="s">
        <v>60</v>
      </c>
      <c r="M745" s="14" t="s">
        <v>1725</v>
      </c>
      <c r="N745" s="14" t="s">
        <v>60</v>
      </c>
      <c r="O745" s="14" t="s">
        <v>261</v>
      </c>
      <c r="P745" s="14" t="s">
        <v>6987</v>
      </c>
      <c r="Q745" s="14" t="s">
        <v>11</v>
      </c>
      <c r="R745" s="3">
        <v>0</v>
      </c>
      <c r="S745" s="3">
        <f t="shared" si="38"/>
        <v>550</v>
      </c>
      <c r="T745" s="3">
        <f t="shared" si="39"/>
        <v>0</v>
      </c>
      <c r="U745" s="3" t="s">
        <v>60</v>
      </c>
      <c r="V745" s="14" t="s">
        <v>4301</v>
      </c>
      <c r="W745" s="14" t="s">
        <v>6984</v>
      </c>
      <c r="X745" s="14" t="s">
        <v>60</v>
      </c>
    </row>
    <row r="746" spans="1:24" ht="15" x14ac:dyDescent="0.3">
      <c r="A746" s="3">
        <v>7</v>
      </c>
      <c r="B746" s="3" t="s">
        <v>6988</v>
      </c>
      <c r="C746" s="14" t="s">
        <v>0</v>
      </c>
      <c r="D746" s="14" t="s">
        <v>3293</v>
      </c>
      <c r="E746" s="14" t="s">
        <v>6989</v>
      </c>
      <c r="F746" s="14" t="s">
        <v>3294</v>
      </c>
      <c r="G746" s="14" t="s">
        <v>3</v>
      </c>
      <c r="H746" s="14" t="s">
        <v>6990</v>
      </c>
      <c r="I746" s="14" t="s">
        <v>3412</v>
      </c>
      <c r="J746" s="14" t="s">
        <v>60</v>
      </c>
      <c r="K746" s="14" t="s">
        <v>60</v>
      </c>
      <c r="L746" s="14" t="s">
        <v>60</v>
      </c>
      <c r="M746" s="14" t="s">
        <v>60</v>
      </c>
      <c r="N746" s="14" t="s">
        <v>60</v>
      </c>
      <c r="O746" s="14" t="s">
        <v>60</v>
      </c>
      <c r="P746" s="14" t="s">
        <v>6991</v>
      </c>
      <c r="Q746" s="14" t="s">
        <v>11</v>
      </c>
      <c r="R746" s="3">
        <v>0</v>
      </c>
      <c r="S746" s="3">
        <f t="shared" si="38"/>
        <v>550</v>
      </c>
      <c r="T746" s="3">
        <f t="shared" si="39"/>
        <v>0</v>
      </c>
      <c r="U746" s="3" t="s">
        <v>60</v>
      </c>
      <c r="V746" s="14" t="s">
        <v>6</v>
      </c>
      <c r="W746" s="14" t="s">
        <v>4428</v>
      </c>
      <c r="X746" s="14" t="s">
        <v>60</v>
      </c>
    </row>
    <row r="747" spans="1:24" ht="15" x14ac:dyDescent="0.3">
      <c r="A747" s="3">
        <v>8</v>
      </c>
      <c r="B747" s="3" t="s">
        <v>6992</v>
      </c>
      <c r="C747" s="14" t="s">
        <v>0</v>
      </c>
      <c r="D747" s="14" t="s">
        <v>1974</v>
      </c>
      <c r="E747" s="14" t="s">
        <v>4778</v>
      </c>
      <c r="F747" s="14" t="s">
        <v>1975</v>
      </c>
      <c r="G747" s="14" t="s">
        <v>3</v>
      </c>
      <c r="H747" s="14" t="s">
        <v>6993</v>
      </c>
      <c r="I747" s="14" t="s">
        <v>6994</v>
      </c>
      <c r="J747" s="14" t="s">
        <v>60</v>
      </c>
      <c r="K747" s="14" t="s">
        <v>60</v>
      </c>
      <c r="L747" s="14" t="s">
        <v>60</v>
      </c>
      <c r="M747" s="14" t="s">
        <v>1976</v>
      </c>
      <c r="N747" s="14" t="s">
        <v>60</v>
      </c>
      <c r="O747" s="14" t="s">
        <v>1977</v>
      </c>
      <c r="P747" s="14" t="s">
        <v>6995</v>
      </c>
      <c r="Q747" s="14" t="s">
        <v>11</v>
      </c>
      <c r="R747" s="3">
        <v>0</v>
      </c>
      <c r="S747" s="3">
        <f t="shared" si="38"/>
        <v>550</v>
      </c>
      <c r="T747" s="3">
        <f t="shared" si="39"/>
        <v>0</v>
      </c>
      <c r="U747" s="3" t="s">
        <v>60</v>
      </c>
      <c r="V747" s="14" t="s">
        <v>6</v>
      </c>
      <c r="W747" s="14" t="s">
        <v>6265</v>
      </c>
      <c r="X747" s="14" t="s">
        <v>60</v>
      </c>
    </row>
    <row r="748" spans="1:24" ht="15" x14ac:dyDescent="0.3">
      <c r="A748" s="3">
        <v>9</v>
      </c>
      <c r="B748" s="3" t="s">
        <v>6996</v>
      </c>
      <c r="C748" s="14" t="s">
        <v>354</v>
      </c>
      <c r="D748" s="14" t="s">
        <v>1981</v>
      </c>
      <c r="E748" s="14" t="s">
        <v>4216</v>
      </c>
      <c r="F748" s="14" t="s">
        <v>1982</v>
      </c>
      <c r="G748" s="14" t="s">
        <v>3</v>
      </c>
      <c r="H748" s="14" t="s">
        <v>1983</v>
      </c>
      <c r="I748" s="14" t="s">
        <v>1984</v>
      </c>
      <c r="J748" s="14" t="s">
        <v>60</v>
      </c>
      <c r="K748" s="14" t="s">
        <v>60</v>
      </c>
      <c r="L748" s="14" t="s">
        <v>60</v>
      </c>
      <c r="M748" s="14" t="s">
        <v>1985</v>
      </c>
      <c r="N748" s="14" t="s">
        <v>60</v>
      </c>
      <c r="O748" s="14" t="s">
        <v>6997</v>
      </c>
      <c r="P748" s="14" t="s">
        <v>6998</v>
      </c>
      <c r="Q748" s="14" t="s">
        <v>11</v>
      </c>
      <c r="R748" s="3">
        <v>0</v>
      </c>
      <c r="S748" s="3">
        <f t="shared" si="38"/>
        <v>550</v>
      </c>
      <c r="T748" s="3">
        <f t="shared" si="39"/>
        <v>0</v>
      </c>
      <c r="U748" s="3" t="s">
        <v>60</v>
      </c>
      <c r="V748" s="14" t="s">
        <v>6</v>
      </c>
      <c r="W748" s="14" t="s">
        <v>4287</v>
      </c>
      <c r="X748" s="14" t="s">
        <v>60</v>
      </c>
    </row>
    <row r="749" spans="1:24" ht="15" x14ac:dyDescent="0.3">
      <c r="A749" s="3">
        <v>10</v>
      </c>
      <c r="B749" s="3" t="s">
        <v>1806</v>
      </c>
      <c r="C749" s="14" t="s">
        <v>0</v>
      </c>
      <c r="D749" s="14" t="s">
        <v>1807</v>
      </c>
      <c r="E749" s="14" t="s">
        <v>4895</v>
      </c>
      <c r="F749" s="14" t="s">
        <v>1808</v>
      </c>
      <c r="G749" s="14" t="s">
        <v>3</v>
      </c>
      <c r="H749" s="14" t="s">
        <v>6999</v>
      </c>
      <c r="I749" s="14" t="s">
        <v>7000</v>
      </c>
      <c r="J749" s="14" t="s">
        <v>60</v>
      </c>
      <c r="K749" s="14" t="s">
        <v>60</v>
      </c>
      <c r="L749" s="14" t="s">
        <v>60</v>
      </c>
      <c r="M749" s="14" t="s">
        <v>1809</v>
      </c>
      <c r="N749" s="14" t="s">
        <v>60</v>
      </c>
      <c r="O749" s="14" t="s">
        <v>7001</v>
      </c>
      <c r="P749" s="14" t="s">
        <v>7002</v>
      </c>
      <c r="Q749" s="14" t="s">
        <v>11</v>
      </c>
      <c r="R749" s="3">
        <v>0</v>
      </c>
      <c r="S749" s="3">
        <f t="shared" si="38"/>
        <v>550</v>
      </c>
      <c r="T749" s="3">
        <f t="shared" si="39"/>
        <v>0</v>
      </c>
      <c r="U749" s="3" t="s">
        <v>60</v>
      </c>
      <c r="V749" s="14" t="s">
        <v>6</v>
      </c>
      <c r="W749" s="14" t="s">
        <v>4287</v>
      </c>
      <c r="X749" s="14" t="s">
        <v>60</v>
      </c>
    </row>
    <row r="750" spans="1:24" ht="15" x14ac:dyDescent="0.3">
      <c r="A750" s="3">
        <v>11</v>
      </c>
      <c r="B750" s="3" t="s">
        <v>1810</v>
      </c>
      <c r="C750" s="14" t="s">
        <v>0</v>
      </c>
      <c r="D750" s="14" t="s">
        <v>1811</v>
      </c>
      <c r="E750" s="14" t="s">
        <v>4644</v>
      </c>
      <c r="F750" s="14" t="s">
        <v>1812</v>
      </c>
      <c r="G750" s="14" t="s">
        <v>3</v>
      </c>
      <c r="H750" s="14" t="s">
        <v>7003</v>
      </c>
      <c r="I750" s="14" t="s">
        <v>1813</v>
      </c>
      <c r="J750" s="14" t="s">
        <v>60</v>
      </c>
      <c r="K750" s="14" t="s">
        <v>60</v>
      </c>
      <c r="L750" s="14" t="s">
        <v>60</v>
      </c>
      <c r="M750" s="14" t="s">
        <v>7004</v>
      </c>
      <c r="N750" s="14" t="s">
        <v>60</v>
      </c>
      <c r="O750" s="14" t="s">
        <v>193</v>
      </c>
      <c r="P750" s="14" t="s">
        <v>7005</v>
      </c>
      <c r="Q750" s="14" t="s">
        <v>1676</v>
      </c>
      <c r="R750" s="3">
        <v>0</v>
      </c>
      <c r="S750" s="3">
        <f t="shared" si="38"/>
        <v>550</v>
      </c>
      <c r="T750" s="3">
        <f t="shared" si="39"/>
        <v>0</v>
      </c>
      <c r="U750" s="3" t="s">
        <v>60</v>
      </c>
      <c r="V750" s="14" t="s">
        <v>6</v>
      </c>
      <c r="W750" s="14" t="s">
        <v>4287</v>
      </c>
      <c r="X750" s="14" t="s">
        <v>60</v>
      </c>
    </row>
    <row r="751" spans="1:24" ht="15" x14ac:dyDescent="0.3">
      <c r="A751" s="3">
        <v>12</v>
      </c>
      <c r="B751" s="3" t="s">
        <v>1729</v>
      </c>
      <c r="C751" s="14" t="s">
        <v>0</v>
      </c>
      <c r="D751" s="14" t="s">
        <v>1730</v>
      </c>
      <c r="E751" s="14" t="s">
        <v>1731</v>
      </c>
      <c r="F751" s="14" t="s">
        <v>1732</v>
      </c>
      <c r="G751" s="14" t="s">
        <v>3</v>
      </c>
      <c r="H751" s="14" t="s">
        <v>1733</v>
      </c>
      <c r="I751" s="14" t="s">
        <v>1734</v>
      </c>
      <c r="J751" s="14" t="s">
        <v>60</v>
      </c>
      <c r="K751" s="14" t="s">
        <v>60</v>
      </c>
      <c r="L751" s="14" t="s">
        <v>60</v>
      </c>
      <c r="M751" s="14" t="s">
        <v>1735</v>
      </c>
      <c r="N751" s="14" t="s">
        <v>60</v>
      </c>
      <c r="O751" s="14" t="s">
        <v>193</v>
      </c>
      <c r="P751" s="14" t="s">
        <v>7006</v>
      </c>
      <c r="Q751" s="14" t="s">
        <v>11</v>
      </c>
      <c r="R751" s="3">
        <v>0</v>
      </c>
      <c r="S751" s="3">
        <f t="shared" si="38"/>
        <v>550</v>
      </c>
      <c r="T751" s="3">
        <f t="shared" si="39"/>
        <v>0</v>
      </c>
      <c r="U751" s="3" t="s">
        <v>60</v>
      </c>
      <c r="V751" s="14" t="s">
        <v>6</v>
      </c>
      <c r="W751" s="14" t="s">
        <v>4287</v>
      </c>
      <c r="X751" s="14" t="s">
        <v>60</v>
      </c>
    </row>
    <row r="752" spans="1:24" ht="15" x14ac:dyDescent="0.3">
      <c r="A752" s="3">
        <v>13</v>
      </c>
      <c r="B752" s="3" t="s">
        <v>1742</v>
      </c>
      <c r="C752" s="14" t="s">
        <v>3614</v>
      </c>
      <c r="D752" s="14" t="s">
        <v>1743</v>
      </c>
      <c r="E752" s="14" t="s">
        <v>6208</v>
      </c>
      <c r="F752" s="14" t="s">
        <v>1744</v>
      </c>
      <c r="G752" s="14" t="s">
        <v>3</v>
      </c>
      <c r="H752" s="14" t="s">
        <v>1745</v>
      </c>
      <c r="I752" s="14" t="s">
        <v>1746</v>
      </c>
      <c r="J752" s="14" t="s">
        <v>60</v>
      </c>
      <c r="K752" s="14" t="s">
        <v>60</v>
      </c>
      <c r="L752" s="14" t="s">
        <v>60</v>
      </c>
      <c r="M752" s="14" t="s">
        <v>1747</v>
      </c>
      <c r="N752" s="14" t="s">
        <v>60</v>
      </c>
      <c r="O752" s="14" t="s">
        <v>193</v>
      </c>
      <c r="P752" s="14" t="s">
        <v>7007</v>
      </c>
      <c r="Q752" s="14" t="s">
        <v>1676</v>
      </c>
      <c r="R752" s="3">
        <v>0</v>
      </c>
      <c r="S752" s="3">
        <f t="shared" si="38"/>
        <v>770</v>
      </c>
      <c r="T752" s="3">
        <f t="shared" si="39"/>
        <v>0</v>
      </c>
      <c r="U752" s="3" t="s">
        <v>60</v>
      </c>
      <c r="V752" s="14" t="s">
        <v>6</v>
      </c>
      <c r="W752" s="14" t="s">
        <v>4287</v>
      </c>
      <c r="X752" s="14" t="s">
        <v>60</v>
      </c>
    </row>
    <row r="753" spans="1:24" ht="15" x14ac:dyDescent="0.3">
      <c r="A753" s="3">
        <v>14</v>
      </c>
      <c r="B753" s="3" t="s">
        <v>1748</v>
      </c>
      <c r="C753" s="14" t="s">
        <v>7008</v>
      </c>
      <c r="D753" s="14" t="s">
        <v>1749</v>
      </c>
      <c r="E753" s="14" t="s">
        <v>7009</v>
      </c>
      <c r="F753" s="14" t="s">
        <v>1750</v>
      </c>
      <c r="G753" s="14" t="s">
        <v>3</v>
      </c>
      <c r="H753" s="14" t="s">
        <v>1751</v>
      </c>
      <c r="I753" s="14" t="s">
        <v>1752</v>
      </c>
      <c r="J753" s="14" t="s">
        <v>60</v>
      </c>
      <c r="K753" s="14" t="s">
        <v>60</v>
      </c>
      <c r="L753" s="14" t="s">
        <v>60</v>
      </c>
      <c r="M753" s="14" t="s">
        <v>1753</v>
      </c>
      <c r="N753" s="14" t="s">
        <v>60</v>
      </c>
      <c r="O753" s="14" t="s">
        <v>193</v>
      </c>
      <c r="P753" s="14" t="s">
        <v>7010</v>
      </c>
      <c r="Q753" s="14" t="s">
        <v>1676</v>
      </c>
      <c r="R753" s="3">
        <v>0</v>
      </c>
      <c r="S753" s="3">
        <f t="shared" si="38"/>
        <v>570</v>
      </c>
      <c r="T753" s="3">
        <f t="shared" si="39"/>
        <v>0</v>
      </c>
      <c r="U753" s="3" t="s">
        <v>60</v>
      </c>
      <c r="V753" s="14" t="s">
        <v>6</v>
      </c>
      <c r="W753" s="14" t="s">
        <v>4287</v>
      </c>
      <c r="X753" s="14" t="s">
        <v>60</v>
      </c>
    </row>
    <row r="754" spans="1:24" ht="15" x14ac:dyDescent="0.3">
      <c r="A754" s="3">
        <v>15</v>
      </c>
      <c r="B754" s="3" t="s">
        <v>7011</v>
      </c>
      <c r="C754" s="14" t="s">
        <v>146</v>
      </c>
      <c r="D754" s="14" t="s">
        <v>1946</v>
      </c>
      <c r="E754" s="14" t="s">
        <v>7012</v>
      </c>
      <c r="F754" s="14" t="s">
        <v>1947</v>
      </c>
      <c r="G754" s="14" t="s">
        <v>3</v>
      </c>
      <c r="H754" s="14" t="s">
        <v>1948</v>
      </c>
      <c r="I754" s="14" t="s">
        <v>1949</v>
      </c>
      <c r="J754" s="14" t="s">
        <v>60</v>
      </c>
      <c r="K754" s="14" t="s">
        <v>60</v>
      </c>
      <c r="L754" s="14" t="s">
        <v>60</v>
      </c>
      <c r="M754" s="14" t="s">
        <v>1950</v>
      </c>
      <c r="N754" s="14" t="s">
        <v>60</v>
      </c>
      <c r="O754" s="14" t="s">
        <v>193</v>
      </c>
      <c r="P754" s="14" t="s">
        <v>7013</v>
      </c>
      <c r="Q754" s="14" t="s">
        <v>1951</v>
      </c>
      <c r="R754" s="3">
        <v>0</v>
      </c>
      <c r="S754" s="3">
        <f t="shared" si="38"/>
        <v>570</v>
      </c>
      <c r="T754" s="3">
        <f t="shared" si="39"/>
        <v>0</v>
      </c>
      <c r="U754" s="3" t="s">
        <v>60</v>
      </c>
      <c r="V754" s="14" t="s">
        <v>6</v>
      </c>
      <c r="W754" s="14" t="s">
        <v>4287</v>
      </c>
      <c r="X754" s="14" t="s">
        <v>60</v>
      </c>
    </row>
    <row r="755" spans="1:24" ht="15" x14ac:dyDescent="0.3">
      <c r="A755" s="3">
        <v>16</v>
      </c>
      <c r="B755" s="3" t="s">
        <v>7014</v>
      </c>
      <c r="C755" s="14" t="s">
        <v>7015</v>
      </c>
      <c r="D755" s="14" t="s">
        <v>65</v>
      </c>
      <c r="E755" s="14" t="s">
        <v>4746</v>
      </c>
      <c r="F755" s="14" t="s">
        <v>1754</v>
      </c>
      <c r="G755" s="14" t="s">
        <v>3</v>
      </c>
      <c r="H755" s="14" t="s">
        <v>1755</v>
      </c>
      <c r="I755" s="14" t="s">
        <v>1756</v>
      </c>
      <c r="J755" s="14" t="s">
        <v>60</v>
      </c>
      <c r="K755" s="14" t="s">
        <v>60</v>
      </c>
      <c r="L755" s="14" t="s">
        <v>60</v>
      </c>
      <c r="M755" s="14" t="s">
        <v>7016</v>
      </c>
      <c r="N755" s="14" t="s">
        <v>60</v>
      </c>
      <c r="O755" s="14" t="s">
        <v>193</v>
      </c>
      <c r="P755" s="14" t="s">
        <v>7017</v>
      </c>
      <c r="Q755" s="14" t="s">
        <v>11</v>
      </c>
      <c r="R755" s="3">
        <v>0</v>
      </c>
      <c r="S755" s="3">
        <f t="shared" si="38"/>
        <v>770</v>
      </c>
      <c r="T755" s="3">
        <f t="shared" si="39"/>
        <v>0</v>
      </c>
      <c r="U755" s="3" t="s">
        <v>60</v>
      </c>
      <c r="V755" s="14" t="s">
        <v>6</v>
      </c>
      <c r="W755" s="14" t="s">
        <v>4287</v>
      </c>
      <c r="X755" s="14" t="s">
        <v>60</v>
      </c>
    </row>
    <row r="756" spans="1:24" ht="15" x14ac:dyDescent="0.3">
      <c r="A756" s="3">
        <v>17</v>
      </c>
      <c r="B756" s="3" t="s">
        <v>1757</v>
      </c>
      <c r="C756" s="14" t="s">
        <v>0</v>
      </c>
      <c r="D756" s="14" t="s">
        <v>1758</v>
      </c>
      <c r="E756" s="14" t="s">
        <v>7018</v>
      </c>
      <c r="F756" s="14" t="s">
        <v>1759</v>
      </c>
      <c r="G756" s="14" t="s">
        <v>3</v>
      </c>
      <c r="H756" s="14" t="s">
        <v>7019</v>
      </c>
      <c r="I756" s="14" t="s">
        <v>1760</v>
      </c>
      <c r="J756" s="14" t="s">
        <v>60</v>
      </c>
      <c r="K756" s="14" t="s">
        <v>60</v>
      </c>
      <c r="L756" s="14" t="s">
        <v>60</v>
      </c>
      <c r="M756" s="14" t="s">
        <v>7020</v>
      </c>
      <c r="N756" s="14" t="s">
        <v>60</v>
      </c>
      <c r="O756" s="14" t="s">
        <v>193</v>
      </c>
      <c r="P756" s="14" t="s">
        <v>7021</v>
      </c>
      <c r="Q756" s="14" t="s">
        <v>1761</v>
      </c>
      <c r="R756" s="3">
        <v>0</v>
      </c>
      <c r="S756" s="3">
        <f t="shared" si="38"/>
        <v>550</v>
      </c>
      <c r="T756" s="3">
        <f t="shared" si="39"/>
        <v>0</v>
      </c>
      <c r="U756" s="3" t="s">
        <v>60</v>
      </c>
      <c r="V756" s="14" t="s">
        <v>6</v>
      </c>
      <c r="W756" s="14" t="s">
        <v>4287</v>
      </c>
      <c r="X756" s="14" t="s">
        <v>60</v>
      </c>
    </row>
    <row r="757" spans="1:24" ht="15" x14ac:dyDescent="0.3">
      <c r="A757" s="3">
        <v>18</v>
      </c>
      <c r="B757" s="3" t="s">
        <v>7022</v>
      </c>
      <c r="C757" s="14" t="s">
        <v>0</v>
      </c>
      <c r="D757" s="14" t="s">
        <v>1762</v>
      </c>
      <c r="E757" s="14" t="s">
        <v>7023</v>
      </c>
      <c r="F757" s="14" t="s">
        <v>1754</v>
      </c>
      <c r="G757" s="14" t="s">
        <v>3</v>
      </c>
      <c r="H757" s="14" t="s">
        <v>7024</v>
      </c>
      <c r="I757" s="14" t="s">
        <v>1763</v>
      </c>
      <c r="J757" s="14" t="s">
        <v>60</v>
      </c>
      <c r="K757" s="14" t="s">
        <v>60</v>
      </c>
      <c r="L757" s="14" t="s">
        <v>60</v>
      </c>
      <c r="M757" s="14" t="s">
        <v>7025</v>
      </c>
      <c r="N757" s="14" t="s">
        <v>60</v>
      </c>
      <c r="O757" s="14" t="s">
        <v>193</v>
      </c>
      <c r="P757" s="14" t="s">
        <v>7026</v>
      </c>
      <c r="Q757" s="14" t="s">
        <v>11</v>
      </c>
      <c r="R757" s="3">
        <v>0</v>
      </c>
      <c r="S757" s="3">
        <f t="shared" si="38"/>
        <v>550</v>
      </c>
      <c r="T757" s="3">
        <f t="shared" si="39"/>
        <v>0</v>
      </c>
      <c r="U757" s="3" t="s">
        <v>60</v>
      </c>
      <c r="V757" s="14" t="s">
        <v>6</v>
      </c>
      <c r="W757" s="14" t="s">
        <v>4287</v>
      </c>
      <c r="X757" s="14" t="s">
        <v>60</v>
      </c>
    </row>
    <row r="758" spans="1:24" ht="15" x14ac:dyDescent="0.3">
      <c r="A758" s="3">
        <v>19</v>
      </c>
      <c r="B758" s="3" t="s">
        <v>7027</v>
      </c>
      <c r="C758" s="14" t="s">
        <v>0</v>
      </c>
      <c r="D758" s="14" t="s">
        <v>1764</v>
      </c>
      <c r="E758" s="14" t="s">
        <v>7028</v>
      </c>
      <c r="F758" s="14" t="s">
        <v>1765</v>
      </c>
      <c r="G758" s="14" t="s">
        <v>3</v>
      </c>
      <c r="H758" s="14" t="s">
        <v>7029</v>
      </c>
      <c r="I758" s="14" t="s">
        <v>1766</v>
      </c>
      <c r="J758" s="14" t="s">
        <v>60</v>
      </c>
      <c r="K758" s="14" t="s">
        <v>60</v>
      </c>
      <c r="L758" s="14" t="s">
        <v>60</v>
      </c>
      <c r="M758" s="14" t="s">
        <v>7030</v>
      </c>
      <c r="N758" s="14" t="s">
        <v>60</v>
      </c>
      <c r="O758" s="14" t="s">
        <v>193</v>
      </c>
      <c r="P758" s="14" t="s">
        <v>7031</v>
      </c>
      <c r="Q758" s="14" t="s">
        <v>11</v>
      </c>
      <c r="R758" s="3">
        <v>0</v>
      </c>
      <c r="S758" s="3">
        <f t="shared" si="38"/>
        <v>550</v>
      </c>
      <c r="T758" s="3">
        <f t="shared" si="39"/>
        <v>0</v>
      </c>
      <c r="U758" s="3" t="s">
        <v>60</v>
      </c>
      <c r="V758" s="14" t="s">
        <v>6</v>
      </c>
      <c r="W758" s="14" t="s">
        <v>4287</v>
      </c>
      <c r="X758" s="14" t="s">
        <v>60</v>
      </c>
    </row>
    <row r="759" spans="1:24" ht="15" x14ac:dyDescent="0.3">
      <c r="A759" s="3">
        <v>20</v>
      </c>
      <c r="B759" s="3" t="s">
        <v>7032</v>
      </c>
      <c r="C759" s="14" t="s">
        <v>0</v>
      </c>
      <c r="D759" s="14" t="s">
        <v>1767</v>
      </c>
      <c r="E759" s="14" t="s">
        <v>7033</v>
      </c>
      <c r="F759" s="14" t="s">
        <v>1768</v>
      </c>
      <c r="G759" s="14" t="s">
        <v>3</v>
      </c>
      <c r="H759" s="14" t="s">
        <v>7034</v>
      </c>
      <c r="I759" s="14" t="s">
        <v>1769</v>
      </c>
      <c r="J759" s="14" t="s">
        <v>60</v>
      </c>
      <c r="K759" s="14" t="s">
        <v>60</v>
      </c>
      <c r="L759" s="14" t="s">
        <v>60</v>
      </c>
      <c r="M759" s="14" t="s">
        <v>1770</v>
      </c>
      <c r="N759" s="14" t="s">
        <v>60</v>
      </c>
      <c r="O759" s="14" t="s">
        <v>86</v>
      </c>
      <c r="P759" s="14" t="s">
        <v>7035</v>
      </c>
      <c r="Q759" s="14" t="s">
        <v>11</v>
      </c>
      <c r="R759" s="3">
        <v>0</v>
      </c>
      <c r="S759" s="3">
        <f t="shared" si="38"/>
        <v>550</v>
      </c>
      <c r="T759" s="3">
        <f t="shared" si="39"/>
        <v>0</v>
      </c>
      <c r="U759" s="3" t="s">
        <v>60</v>
      </c>
      <c r="V759" s="14" t="s">
        <v>6</v>
      </c>
      <c r="W759" s="14" t="s">
        <v>7036</v>
      </c>
      <c r="X759" s="14" t="s">
        <v>60</v>
      </c>
    </row>
    <row r="760" spans="1:24" ht="15" x14ac:dyDescent="0.3">
      <c r="A760" s="3">
        <v>21</v>
      </c>
      <c r="B760" s="3" t="s">
        <v>7037</v>
      </c>
      <c r="C760" s="14" t="s">
        <v>0</v>
      </c>
      <c r="D760" s="14" t="s">
        <v>1434</v>
      </c>
      <c r="E760" s="14" t="s">
        <v>7038</v>
      </c>
      <c r="F760" s="14" t="s">
        <v>1771</v>
      </c>
      <c r="G760" s="14" t="s">
        <v>3</v>
      </c>
      <c r="H760" s="14" t="s">
        <v>1772</v>
      </c>
      <c r="I760" s="14" t="s">
        <v>1773</v>
      </c>
      <c r="J760" s="14" t="s">
        <v>60</v>
      </c>
      <c r="K760" s="14" t="s">
        <v>60</v>
      </c>
      <c r="L760" s="14" t="s">
        <v>60</v>
      </c>
      <c r="M760" s="14" t="s">
        <v>1774</v>
      </c>
      <c r="N760" s="14" t="s">
        <v>60</v>
      </c>
      <c r="O760" s="14" t="s">
        <v>193</v>
      </c>
      <c r="P760" s="14" t="s">
        <v>7039</v>
      </c>
      <c r="Q760" s="14" t="s">
        <v>11</v>
      </c>
      <c r="R760" s="3">
        <v>0</v>
      </c>
      <c r="S760" s="3">
        <f t="shared" si="38"/>
        <v>550</v>
      </c>
      <c r="T760" s="3">
        <f t="shared" si="39"/>
        <v>0</v>
      </c>
      <c r="U760" s="3" t="s">
        <v>7040</v>
      </c>
      <c r="V760" s="14" t="s">
        <v>6</v>
      </c>
      <c r="W760" s="14" t="s">
        <v>4287</v>
      </c>
      <c r="X760" s="14" t="s">
        <v>60</v>
      </c>
    </row>
    <row r="761" spans="1:24" ht="15" x14ac:dyDescent="0.3">
      <c r="A761" s="3">
        <v>22</v>
      </c>
      <c r="B761" s="3" t="s">
        <v>7041</v>
      </c>
      <c r="C761" s="14" t="s">
        <v>0</v>
      </c>
      <c r="D761" s="14" t="s">
        <v>1775</v>
      </c>
      <c r="E761" s="14" t="s">
        <v>7042</v>
      </c>
      <c r="F761" s="14" t="s">
        <v>1776</v>
      </c>
      <c r="G761" s="14" t="s">
        <v>3</v>
      </c>
      <c r="H761" s="14" t="s">
        <v>7043</v>
      </c>
      <c r="I761" s="14" t="s">
        <v>1777</v>
      </c>
      <c r="J761" s="14" t="s">
        <v>60</v>
      </c>
      <c r="K761" s="14" t="s">
        <v>60</v>
      </c>
      <c r="L761" s="14" t="s">
        <v>60</v>
      </c>
      <c r="M761" s="14" t="s">
        <v>1778</v>
      </c>
      <c r="N761" s="14" t="s">
        <v>60</v>
      </c>
      <c r="O761" s="14" t="s">
        <v>255</v>
      </c>
      <c r="P761" s="14" t="s">
        <v>7044</v>
      </c>
      <c r="Q761" s="14" t="s">
        <v>11</v>
      </c>
      <c r="R761" s="3">
        <v>0</v>
      </c>
      <c r="S761" s="3">
        <f t="shared" si="38"/>
        <v>550</v>
      </c>
      <c r="T761" s="3">
        <f t="shared" si="39"/>
        <v>0</v>
      </c>
      <c r="U761" s="3" t="s">
        <v>60</v>
      </c>
      <c r="V761" s="14" t="s">
        <v>4208</v>
      </c>
      <c r="W761" s="14" t="s">
        <v>7045</v>
      </c>
      <c r="X761" s="14" t="s">
        <v>60</v>
      </c>
    </row>
    <row r="762" spans="1:24" ht="15" x14ac:dyDescent="0.3">
      <c r="A762" s="3">
        <v>23</v>
      </c>
      <c r="B762" s="3" t="s">
        <v>7046</v>
      </c>
      <c r="C762" s="14" t="s">
        <v>0</v>
      </c>
      <c r="D762" s="14" t="s">
        <v>1779</v>
      </c>
      <c r="E762" s="14" t="s">
        <v>4319</v>
      </c>
      <c r="F762" s="14" t="s">
        <v>1780</v>
      </c>
      <c r="G762" s="14" t="s">
        <v>3</v>
      </c>
      <c r="H762" s="14" t="s">
        <v>7047</v>
      </c>
      <c r="I762" s="14" t="s">
        <v>1781</v>
      </c>
      <c r="J762" s="14" t="s">
        <v>60</v>
      </c>
      <c r="K762" s="14" t="s">
        <v>60</v>
      </c>
      <c r="L762" s="14" t="s">
        <v>60</v>
      </c>
      <c r="M762" s="14" t="s">
        <v>1782</v>
      </c>
      <c r="N762" s="14" t="s">
        <v>60</v>
      </c>
      <c r="O762" s="14" t="s">
        <v>255</v>
      </c>
      <c r="P762" s="14" t="s">
        <v>7048</v>
      </c>
      <c r="Q762" s="14" t="s">
        <v>11</v>
      </c>
      <c r="R762" s="3">
        <v>0</v>
      </c>
      <c r="S762" s="3">
        <f t="shared" si="38"/>
        <v>550</v>
      </c>
      <c r="T762" s="3">
        <f t="shared" si="39"/>
        <v>0</v>
      </c>
      <c r="U762" s="3" t="s">
        <v>60</v>
      </c>
      <c r="V762" s="14" t="s">
        <v>4208</v>
      </c>
      <c r="W762" s="14" t="s">
        <v>7045</v>
      </c>
      <c r="X762" s="14" t="s">
        <v>60</v>
      </c>
    </row>
    <row r="763" spans="1:24" ht="15" x14ac:dyDescent="0.3">
      <c r="A763" s="3">
        <v>24</v>
      </c>
      <c r="B763" s="3" t="s">
        <v>7049</v>
      </c>
      <c r="C763" s="14" t="s">
        <v>0</v>
      </c>
      <c r="D763" s="14" t="s">
        <v>1783</v>
      </c>
      <c r="E763" s="14" t="s">
        <v>4746</v>
      </c>
      <c r="F763" s="14" t="s">
        <v>1784</v>
      </c>
      <c r="G763" s="14" t="s">
        <v>3</v>
      </c>
      <c r="H763" s="14" t="s">
        <v>7050</v>
      </c>
      <c r="I763" s="14" t="s">
        <v>1785</v>
      </c>
      <c r="J763" s="14" t="s">
        <v>60</v>
      </c>
      <c r="K763" s="14" t="s">
        <v>60</v>
      </c>
      <c r="L763" s="14" t="s">
        <v>60</v>
      </c>
      <c r="M763" s="14" t="s">
        <v>1786</v>
      </c>
      <c r="N763" s="14" t="s">
        <v>60</v>
      </c>
      <c r="O763" s="14" t="s">
        <v>917</v>
      </c>
      <c r="P763" s="14" t="s">
        <v>7051</v>
      </c>
      <c r="Q763" s="14" t="s">
        <v>11</v>
      </c>
      <c r="R763" s="3">
        <v>0</v>
      </c>
      <c r="S763" s="3">
        <f t="shared" si="38"/>
        <v>550</v>
      </c>
      <c r="T763" s="3">
        <f t="shared" si="39"/>
        <v>0</v>
      </c>
      <c r="U763" s="3" t="s">
        <v>60</v>
      </c>
      <c r="V763" s="14" t="s">
        <v>6</v>
      </c>
      <c r="W763" s="14" t="s">
        <v>7052</v>
      </c>
      <c r="X763" s="14" t="s">
        <v>60</v>
      </c>
    </row>
    <row r="764" spans="1:24" ht="15" x14ac:dyDescent="0.3">
      <c r="A764" s="3">
        <v>25</v>
      </c>
      <c r="B764" s="3" t="s">
        <v>7053</v>
      </c>
      <c r="C764" s="14" t="s">
        <v>0</v>
      </c>
      <c r="D764" s="14" t="s">
        <v>1787</v>
      </c>
      <c r="E764" s="14" t="s">
        <v>7054</v>
      </c>
      <c r="F764" s="14" t="s">
        <v>1788</v>
      </c>
      <c r="G764" s="14" t="s">
        <v>3</v>
      </c>
      <c r="H764" s="14" t="s">
        <v>7055</v>
      </c>
      <c r="I764" s="14" t="s">
        <v>1789</v>
      </c>
      <c r="J764" s="14" t="s">
        <v>60</v>
      </c>
      <c r="K764" s="14" t="s">
        <v>60</v>
      </c>
      <c r="L764" s="14" t="s">
        <v>60</v>
      </c>
      <c r="M764" s="14" t="s">
        <v>1790</v>
      </c>
      <c r="N764" s="14" t="s">
        <v>60</v>
      </c>
      <c r="O764" s="14" t="s">
        <v>261</v>
      </c>
      <c r="P764" s="14" t="s">
        <v>7056</v>
      </c>
      <c r="Q764" s="14" t="s">
        <v>11</v>
      </c>
      <c r="R764" s="3">
        <v>0</v>
      </c>
      <c r="S764" s="3">
        <f t="shared" si="38"/>
        <v>550</v>
      </c>
      <c r="T764" s="3">
        <f t="shared" si="39"/>
        <v>0</v>
      </c>
      <c r="U764" s="3" t="s">
        <v>60</v>
      </c>
      <c r="V764" s="14" t="s">
        <v>4301</v>
      </c>
      <c r="W764" s="14" t="s">
        <v>4202</v>
      </c>
      <c r="X764" s="14" t="s">
        <v>60</v>
      </c>
    </row>
    <row r="765" spans="1:24" ht="15" x14ac:dyDescent="0.3">
      <c r="A765" s="3">
        <v>26</v>
      </c>
      <c r="B765" s="3" t="s">
        <v>7057</v>
      </c>
      <c r="C765" s="14" t="s">
        <v>0</v>
      </c>
      <c r="D765" s="14" t="s">
        <v>1791</v>
      </c>
      <c r="E765" s="14" t="s">
        <v>7058</v>
      </c>
      <c r="F765" s="14" t="s">
        <v>1792</v>
      </c>
      <c r="G765" s="14" t="s">
        <v>3</v>
      </c>
      <c r="H765" s="14" t="s">
        <v>7059</v>
      </c>
      <c r="I765" s="14" t="s">
        <v>1793</v>
      </c>
      <c r="J765" s="14" t="s">
        <v>60</v>
      </c>
      <c r="K765" s="14" t="s">
        <v>60</v>
      </c>
      <c r="L765" s="14" t="s">
        <v>60</v>
      </c>
      <c r="M765" s="14" t="s">
        <v>1794</v>
      </c>
      <c r="N765" s="14" t="s">
        <v>60</v>
      </c>
      <c r="O765" s="14" t="s">
        <v>261</v>
      </c>
      <c r="P765" s="14" t="s">
        <v>7060</v>
      </c>
      <c r="Q765" s="14" t="s">
        <v>11</v>
      </c>
      <c r="R765" s="3">
        <v>0</v>
      </c>
      <c r="S765" s="3">
        <f t="shared" si="38"/>
        <v>550</v>
      </c>
      <c r="T765" s="3">
        <f t="shared" si="39"/>
        <v>0</v>
      </c>
      <c r="U765" s="3" t="s">
        <v>60</v>
      </c>
      <c r="V765" s="14" t="s">
        <v>4301</v>
      </c>
      <c r="W765" s="14" t="s">
        <v>4202</v>
      </c>
      <c r="X765" s="14" t="s">
        <v>60</v>
      </c>
    </row>
    <row r="766" spans="1:24" ht="15" x14ac:dyDescent="0.3">
      <c r="A766" s="3">
        <v>27</v>
      </c>
      <c r="B766" s="3" t="s">
        <v>7061</v>
      </c>
      <c r="C766" s="14" t="s">
        <v>0</v>
      </c>
      <c r="D766" s="14" t="s">
        <v>1958</v>
      </c>
      <c r="E766" s="14" t="s">
        <v>1959</v>
      </c>
      <c r="F766" s="14" t="s">
        <v>1960</v>
      </c>
      <c r="G766" s="14" t="s">
        <v>121</v>
      </c>
      <c r="H766" s="14" t="s">
        <v>7062</v>
      </c>
      <c r="I766" s="14" t="s">
        <v>1961</v>
      </c>
      <c r="J766" s="14" t="s">
        <v>60</v>
      </c>
      <c r="K766" s="14" t="s">
        <v>60</v>
      </c>
      <c r="L766" s="14" t="s">
        <v>60</v>
      </c>
      <c r="M766" s="14" t="s">
        <v>1962</v>
      </c>
      <c r="N766" s="14" t="s">
        <v>60</v>
      </c>
      <c r="O766" s="14" t="s">
        <v>193</v>
      </c>
      <c r="P766" s="14" t="s">
        <v>7063</v>
      </c>
      <c r="Q766" s="14" t="s">
        <v>11</v>
      </c>
      <c r="R766" s="3">
        <v>0</v>
      </c>
      <c r="S766" s="3">
        <f t="shared" si="38"/>
        <v>550</v>
      </c>
      <c r="T766" s="3">
        <f t="shared" si="39"/>
        <v>0</v>
      </c>
      <c r="U766" s="3" t="s">
        <v>60</v>
      </c>
      <c r="V766" s="14" t="s">
        <v>6</v>
      </c>
      <c r="W766" s="14" t="s">
        <v>4287</v>
      </c>
      <c r="X766" s="14" t="s">
        <v>60</v>
      </c>
    </row>
    <row r="767" spans="1:24" ht="15" x14ac:dyDescent="0.3">
      <c r="A767" s="3">
        <v>28</v>
      </c>
      <c r="B767" s="3" t="s">
        <v>7064</v>
      </c>
      <c r="C767" s="14" t="s">
        <v>91</v>
      </c>
      <c r="D767" s="14" t="s">
        <v>1659</v>
      </c>
      <c r="E767" s="14" t="s">
        <v>7065</v>
      </c>
      <c r="F767" s="14" t="s">
        <v>1660</v>
      </c>
      <c r="G767" s="14" t="s">
        <v>3</v>
      </c>
      <c r="H767" s="14" t="s">
        <v>7066</v>
      </c>
      <c r="I767" s="14" t="s">
        <v>7067</v>
      </c>
      <c r="J767" s="14" t="s">
        <v>60</v>
      </c>
      <c r="K767" s="14" t="s">
        <v>60</v>
      </c>
      <c r="L767" s="14" t="s">
        <v>60</v>
      </c>
      <c r="M767" s="14" t="s">
        <v>1661</v>
      </c>
      <c r="N767" s="14" t="s">
        <v>60</v>
      </c>
      <c r="O767" s="14" t="s">
        <v>193</v>
      </c>
      <c r="P767" s="14" t="s">
        <v>7068</v>
      </c>
      <c r="Q767" s="14" t="s">
        <v>11</v>
      </c>
      <c r="R767" s="3">
        <v>0</v>
      </c>
      <c r="S767" s="3">
        <f t="shared" si="38"/>
        <v>770</v>
      </c>
      <c r="T767" s="3">
        <f t="shared" si="39"/>
        <v>0</v>
      </c>
      <c r="U767" s="3" t="s">
        <v>60</v>
      </c>
      <c r="V767" s="14" t="s">
        <v>6</v>
      </c>
      <c r="W767" s="14" t="s">
        <v>4287</v>
      </c>
      <c r="X767" s="14" t="s">
        <v>60</v>
      </c>
    </row>
    <row r="768" spans="1:24" ht="15" x14ac:dyDescent="0.3">
      <c r="A768" s="3">
        <v>29</v>
      </c>
      <c r="B768" s="3" t="s">
        <v>7069</v>
      </c>
      <c r="C768" s="14" t="s">
        <v>91</v>
      </c>
      <c r="D768" s="14" t="s">
        <v>7070</v>
      </c>
      <c r="E768" s="14" t="s">
        <v>1799</v>
      </c>
      <c r="F768" s="14" t="s">
        <v>1660</v>
      </c>
      <c r="G768" s="14" t="s">
        <v>3</v>
      </c>
      <c r="H768" s="14" t="s">
        <v>7071</v>
      </c>
      <c r="I768" s="14" t="s">
        <v>1800</v>
      </c>
      <c r="J768" s="14" t="s">
        <v>60</v>
      </c>
      <c r="K768" s="14" t="s">
        <v>60</v>
      </c>
      <c r="L768" s="14" t="s">
        <v>60</v>
      </c>
      <c r="M768" s="14" t="s">
        <v>1801</v>
      </c>
      <c r="N768" s="14" t="s">
        <v>60</v>
      </c>
      <c r="O768" s="14" t="s">
        <v>193</v>
      </c>
      <c r="P768" s="14" t="s">
        <v>7072</v>
      </c>
      <c r="Q768" s="14" t="s">
        <v>11</v>
      </c>
      <c r="R768" s="3">
        <v>0</v>
      </c>
      <c r="S768" s="3">
        <f t="shared" si="38"/>
        <v>770</v>
      </c>
      <c r="T768" s="3">
        <f t="shared" si="39"/>
        <v>0</v>
      </c>
      <c r="U768" s="3" t="s">
        <v>60</v>
      </c>
      <c r="V768" s="14" t="s">
        <v>6</v>
      </c>
      <c r="W768" s="14" t="s">
        <v>4287</v>
      </c>
      <c r="X768" s="14" t="s">
        <v>60</v>
      </c>
    </row>
    <row r="769" spans="1:24" ht="15" x14ac:dyDescent="0.3">
      <c r="A769" s="3">
        <v>30</v>
      </c>
      <c r="B769" s="3" t="s">
        <v>7073</v>
      </c>
      <c r="C769" s="14" t="s">
        <v>3966</v>
      </c>
      <c r="D769" s="14" t="s">
        <v>1788</v>
      </c>
      <c r="E769" s="14" t="s">
        <v>7074</v>
      </c>
      <c r="F769" s="14" t="s">
        <v>1802</v>
      </c>
      <c r="G769" s="14" t="s">
        <v>3</v>
      </c>
      <c r="H769" s="14" t="s">
        <v>1803</v>
      </c>
      <c r="I769" s="14" t="s">
        <v>1804</v>
      </c>
      <c r="J769" s="14" t="s">
        <v>60</v>
      </c>
      <c r="K769" s="14" t="s">
        <v>60</v>
      </c>
      <c r="L769" s="14" t="s">
        <v>60</v>
      </c>
      <c r="M769" s="14" t="s">
        <v>1805</v>
      </c>
      <c r="N769" s="14" t="s">
        <v>60</v>
      </c>
      <c r="O769" s="14" t="s">
        <v>193</v>
      </c>
      <c r="P769" s="14" t="s">
        <v>7075</v>
      </c>
      <c r="Q769" s="14" t="s">
        <v>11</v>
      </c>
      <c r="R769" s="3">
        <v>0</v>
      </c>
      <c r="S769" s="3">
        <f t="shared" si="38"/>
        <v>640</v>
      </c>
      <c r="T769" s="3">
        <f t="shared" si="39"/>
        <v>0</v>
      </c>
      <c r="U769" s="3" t="s">
        <v>60</v>
      </c>
      <c r="V769" s="14" t="s">
        <v>6</v>
      </c>
      <c r="W769" s="14" t="s">
        <v>4287</v>
      </c>
      <c r="X769" s="14" t="s">
        <v>60</v>
      </c>
    </row>
    <row r="770" spans="1:24" ht="15" x14ac:dyDescent="0.3">
      <c r="A770" s="3">
        <v>31</v>
      </c>
      <c r="B770" s="3" t="s">
        <v>7076</v>
      </c>
      <c r="C770" s="14" t="s">
        <v>0</v>
      </c>
      <c r="D770" s="14" t="s">
        <v>1736</v>
      </c>
      <c r="E770" s="14" t="s">
        <v>1737</v>
      </c>
      <c r="F770" s="14" t="s">
        <v>1738</v>
      </c>
      <c r="G770" s="14" t="s">
        <v>3</v>
      </c>
      <c r="H770" s="14" t="s">
        <v>1739</v>
      </c>
      <c r="I770" s="14" t="s">
        <v>1740</v>
      </c>
      <c r="J770" s="14" t="s">
        <v>60</v>
      </c>
      <c r="K770" s="14" t="s">
        <v>60</v>
      </c>
      <c r="L770" s="14" t="s">
        <v>60</v>
      </c>
      <c r="M770" s="14" t="s">
        <v>60</v>
      </c>
      <c r="N770" s="14" t="s">
        <v>60</v>
      </c>
      <c r="O770" s="14" t="s">
        <v>1741</v>
      </c>
      <c r="P770" s="14" t="s">
        <v>7077</v>
      </c>
      <c r="Q770" s="14" t="s">
        <v>11</v>
      </c>
      <c r="R770" s="3">
        <v>0</v>
      </c>
      <c r="S770" s="3">
        <f t="shared" si="38"/>
        <v>550</v>
      </c>
      <c r="T770" s="3">
        <f t="shared" si="39"/>
        <v>0</v>
      </c>
      <c r="U770" s="3" t="s">
        <v>60</v>
      </c>
      <c r="V770" s="14" t="s">
        <v>6</v>
      </c>
      <c r="W770" s="14" t="s">
        <v>7078</v>
      </c>
      <c r="X770" s="14" t="s">
        <v>60</v>
      </c>
    </row>
    <row r="771" spans="1:24" ht="15" x14ac:dyDescent="0.3">
      <c r="A771" s="3">
        <v>32</v>
      </c>
      <c r="B771" s="3" t="s">
        <v>1814</v>
      </c>
      <c r="C771" s="14" t="s">
        <v>0</v>
      </c>
      <c r="D771" s="14" t="s">
        <v>1815</v>
      </c>
      <c r="E771" s="14" t="s">
        <v>4853</v>
      </c>
      <c r="F771" s="14" t="s">
        <v>1816</v>
      </c>
      <c r="G771" s="14" t="s">
        <v>3</v>
      </c>
      <c r="H771" s="14" t="s">
        <v>7079</v>
      </c>
      <c r="I771" s="14" t="s">
        <v>1817</v>
      </c>
      <c r="J771" s="14" t="s">
        <v>60</v>
      </c>
      <c r="K771" s="14" t="s">
        <v>60</v>
      </c>
      <c r="L771" s="14" t="s">
        <v>60</v>
      </c>
      <c r="M771" s="14" t="s">
        <v>1818</v>
      </c>
      <c r="N771" s="14" t="s">
        <v>60</v>
      </c>
      <c r="O771" s="14" t="s">
        <v>193</v>
      </c>
      <c r="P771" s="14" t="s">
        <v>7080</v>
      </c>
      <c r="Q771" s="14" t="s">
        <v>1676</v>
      </c>
      <c r="R771" s="3">
        <v>0</v>
      </c>
      <c r="S771" s="3">
        <f t="shared" si="38"/>
        <v>550</v>
      </c>
      <c r="T771" s="3">
        <f t="shared" si="39"/>
        <v>0</v>
      </c>
      <c r="U771" s="3" t="s">
        <v>60</v>
      </c>
      <c r="V771" s="14" t="s">
        <v>6</v>
      </c>
      <c r="W771" s="14" t="s">
        <v>4287</v>
      </c>
      <c r="X771" s="14" t="s">
        <v>60</v>
      </c>
    </row>
    <row r="772" spans="1:24" ht="15" x14ac:dyDescent="0.3">
      <c r="A772" s="3">
        <v>33</v>
      </c>
      <c r="B772" s="3" t="s">
        <v>7081</v>
      </c>
      <c r="C772" s="14" t="s">
        <v>0</v>
      </c>
      <c r="D772" s="14" t="s">
        <v>1819</v>
      </c>
      <c r="E772" s="14" t="s">
        <v>7082</v>
      </c>
      <c r="F772" s="14" t="s">
        <v>1820</v>
      </c>
      <c r="G772" s="14" t="s">
        <v>3</v>
      </c>
      <c r="H772" s="14" t="s">
        <v>7083</v>
      </c>
      <c r="I772" s="14" t="s">
        <v>1821</v>
      </c>
      <c r="J772" s="14" t="s">
        <v>60</v>
      </c>
      <c r="K772" s="14" t="s">
        <v>60</v>
      </c>
      <c r="L772" s="14" t="s">
        <v>60</v>
      </c>
      <c r="M772" s="14" t="s">
        <v>1822</v>
      </c>
      <c r="N772" s="14" t="s">
        <v>60</v>
      </c>
      <c r="O772" s="14" t="s">
        <v>193</v>
      </c>
      <c r="P772" s="14" t="s">
        <v>7084</v>
      </c>
      <c r="Q772" s="14" t="s">
        <v>1676</v>
      </c>
      <c r="R772" s="3">
        <v>0</v>
      </c>
      <c r="S772" s="3">
        <f t="shared" si="38"/>
        <v>550</v>
      </c>
      <c r="T772" s="3">
        <f t="shared" si="39"/>
        <v>0</v>
      </c>
      <c r="U772" s="3" t="s">
        <v>60</v>
      </c>
      <c r="V772" s="14" t="s">
        <v>6</v>
      </c>
      <c r="W772" s="14" t="s">
        <v>4287</v>
      </c>
      <c r="X772" s="14" t="s">
        <v>60</v>
      </c>
    </row>
    <row r="773" spans="1:24" ht="15" x14ac:dyDescent="0.3">
      <c r="A773" s="3">
        <v>34</v>
      </c>
      <c r="B773" s="3" t="s">
        <v>1823</v>
      </c>
      <c r="C773" s="14" t="s">
        <v>0</v>
      </c>
      <c r="D773" s="14" t="s">
        <v>1824</v>
      </c>
      <c r="E773" s="14" t="s">
        <v>7085</v>
      </c>
      <c r="F773" s="14" t="s">
        <v>1825</v>
      </c>
      <c r="G773" s="14" t="s">
        <v>3</v>
      </c>
      <c r="H773" s="14" t="s">
        <v>7086</v>
      </c>
      <c r="I773" s="14" t="s">
        <v>1826</v>
      </c>
      <c r="J773" s="14" t="s">
        <v>60</v>
      </c>
      <c r="K773" s="14" t="s">
        <v>60</v>
      </c>
      <c r="L773" s="14" t="s">
        <v>60</v>
      </c>
      <c r="M773" s="14" t="s">
        <v>1827</v>
      </c>
      <c r="N773" s="14" t="s">
        <v>60</v>
      </c>
      <c r="O773" s="14" t="s">
        <v>193</v>
      </c>
      <c r="P773" s="14" t="s">
        <v>7087</v>
      </c>
      <c r="Q773" s="14" t="s">
        <v>1676</v>
      </c>
      <c r="R773" s="3">
        <v>0</v>
      </c>
      <c r="S773" s="3">
        <f t="shared" si="38"/>
        <v>550</v>
      </c>
      <c r="T773" s="3">
        <f t="shared" si="39"/>
        <v>0</v>
      </c>
      <c r="U773" s="3" t="s">
        <v>60</v>
      </c>
      <c r="V773" s="14" t="s">
        <v>6</v>
      </c>
      <c r="W773" s="14" t="s">
        <v>4287</v>
      </c>
      <c r="X773" s="14" t="s">
        <v>60</v>
      </c>
    </row>
    <row r="774" spans="1:24" ht="15" x14ac:dyDescent="0.3">
      <c r="A774" s="3">
        <v>35</v>
      </c>
      <c r="B774" s="3" t="s">
        <v>1828</v>
      </c>
      <c r="C774" s="14" t="s">
        <v>0</v>
      </c>
      <c r="D774" s="14" t="s">
        <v>1829</v>
      </c>
      <c r="E774" s="14" t="s">
        <v>7088</v>
      </c>
      <c r="F774" s="14" t="s">
        <v>1830</v>
      </c>
      <c r="G774" s="14" t="s">
        <v>3</v>
      </c>
      <c r="H774" s="14" t="s">
        <v>7089</v>
      </c>
      <c r="I774" s="14" t="s">
        <v>7090</v>
      </c>
      <c r="J774" s="14" t="s">
        <v>60</v>
      </c>
      <c r="K774" s="14" t="s">
        <v>60</v>
      </c>
      <c r="L774" s="14" t="s">
        <v>60</v>
      </c>
      <c r="M774" s="14" t="s">
        <v>1831</v>
      </c>
      <c r="N774" s="14" t="s">
        <v>60</v>
      </c>
      <c r="O774" s="14" t="s">
        <v>193</v>
      </c>
      <c r="P774" s="14" t="s">
        <v>7091</v>
      </c>
      <c r="Q774" s="14" t="s">
        <v>1676</v>
      </c>
      <c r="R774" s="3">
        <v>0</v>
      </c>
      <c r="S774" s="3">
        <f t="shared" si="38"/>
        <v>550</v>
      </c>
      <c r="T774" s="3">
        <f t="shared" si="39"/>
        <v>0</v>
      </c>
      <c r="U774" s="3" t="s">
        <v>60</v>
      </c>
      <c r="V774" s="14" t="s">
        <v>6</v>
      </c>
      <c r="W774" s="14" t="s">
        <v>4287</v>
      </c>
      <c r="X774" s="14" t="s">
        <v>60</v>
      </c>
    </row>
    <row r="775" spans="1:24" ht="15" x14ac:dyDescent="0.3">
      <c r="A775" s="3">
        <v>36</v>
      </c>
      <c r="B775" s="3" t="s">
        <v>7092</v>
      </c>
      <c r="C775" s="14" t="s">
        <v>0</v>
      </c>
      <c r="D775" s="14" t="s">
        <v>1832</v>
      </c>
      <c r="E775" s="14" t="s">
        <v>7093</v>
      </c>
      <c r="F775" s="14" t="s">
        <v>1833</v>
      </c>
      <c r="G775" s="14" t="s">
        <v>3</v>
      </c>
      <c r="H775" s="14" t="s">
        <v>7094</v>
      </c>
      <c r="I775" s="14" t="s">
        <v>1834</v>
      </c>
      <c r="J775" s="14" t="s">
        <v>60</v>
      </c>
      <c r="K775" s="14" t="s">
        <v>60</v>
      </c>
      <c r="L775" s="14" t="s">
        <v>60</v>
      </c>
      <c r="M775" s="14" t="s">
        <v>60</v>
      </c>
      <c r="N775" s="14" t="s">
        <v>60</v>
      </c>
      <c r="O775" s="14" t="s">
        <v>193</v>
      </c>
      <c r="P775" s="14" t="s">
        <v>7095</v>
      </c>
      <c r="Q775" s="14" t="s">
        <v>11</v>
      </c>
      <c r="R775" s="3">
        <v>0</v>
      </c>
      <c r="S775" s="3">
        <f t="shared" si="38"/>
        <v>550</v>
      </c>
      <c r="T775" s="3">
        <f t="shared" si="39"/>
        <v>0</v>
      </c>
      <c r="U775" s="3" t="s">
        <v>60</v>
      </c>
      <c r="V775" s="14" t="s">
        <v>6</v>
      </c>
      <c r="W775" s="14" t="s">
        <v>4287</v>
      </c>
      <c r="X775" s="14" t="s">
        <v>60</v>
      </c>
    </row>
    <row r="776" spans="1:24" ht="15" x14ac:dyDescent="0.3">
      <c r="A776" s="3">
        <v>37</v>
      </c>
      <c r="B776" s="3" t="s">
        <v>7096</v>
      </c>
      <c r="C776" s="14" t="s">
        <v>0</v>
      </c>
      <c r="D776" s="14" t="s">
        <v>1835</v>
      </c>
      <c r="E776" s="14" t="s">
        <v>5154</v>
      </c>
      <c r="F776" s="14" t="s">
        <v>1836</v>
      </c>
      <c r="G776" s="14" t="s">
        <v>3</v>
      </c>
      <c r="H776" s="14" t="s">
        <v>7097</v>
      </c>
      <c r="I776" s="14" t="s">
        <v>1837</v>
      </c>
      <c r="J776" s="14" t="s">
        <v>60</v>
      </c>
      <c r="K776" s="14" t="s">
        <v>60</v>
      </c>
      <c r="L776" s="14" t="s">
        <v>60</v>
      </c>
      <c r="M776" s="14" t="s">
        <v>1838</v>
      </c>
      <c r="N776" s="14" t="s">
        <v>60</v>
      </c>
      <c r="O776" s="14" t="s">
        <v>255</v>
      </c>
      <c r="P776" s="14" t="s">
        <v>7098</v>
      </c>
      <c r="Q776" s="14" t="s">
        <v>11</v>
      </c>
      <c r="R776" s="3">
        <v>0</v>
      </c>
      <c r="S776" s="3">
        <f t="shared" si="38"/>
        <v>550</v>
      </c>
      <c r="T776" s="3">
        <f t="shared" si="39"/>
        <v>0</v>
      </c>
      <c r="U776" s="3" t="s">
        <v>60</v>
      </c>
      <c r="V776" s="14" t="s">
        <v>4208</v>
      </c>
      <c r="W776" s="14" t="s">
        <v>7099</v>
      </c>
      <c r="X776" s="14" t="s">
        <v>60</v>
      </c>
    </row>
    <row r="777" spans="1:24" ht="15" x14ac:dyDescent="0.3">
      <c r="A777" s="3">
        <v>38</v>
      </c>
      <c r="B777" s="3" t="s">
        <v>7100</v>
      </c>
      <c r="C777" s="14" t="s">
        <v>0</v>
      </c>
      <c r="D777" s="14" t="s">
        <v>1839</v>
      </c>
      <c r="E777" s="14" t="s">
        <v>7101</v>
      </c>
      <c r="F777" s="14" t="s">
        <v>1840</v>
      </c>
      <c r="G777" s="14" t="s">
        <v>3</v>
      </c>
      <c r="H777" s="14" t="s">
        <v>7102</v>
      </c>
      <c r="I777" s="14" t="s">
        <v>1841</v>
      </c>
      <c r="J777" s="14" t="s">
        <v>60</v>
      </c>
      <c r="K777" s="14" t="s">
        <v>60</v>
      </c>
      <c r="L777" s="14" t="s">
        <v>60</v>
      </c>
      <c r="M777" s="14" t="s">
        <v>1842</v>
      </c>
      <c r="N777" s="14" t="s">
        <v>60</v>
      </c>
      <c r="O777" s="14" t="s">
        <v>261</v>
      </c>
      <c r="P777" s="14" t="s">
        <v>7103</v>
      </c>
      <c r="Q777" s="14" t="s">
        <v>1843</v>
      </c>
      <c r="R777" s="3">
        <v>0</v>
      </c>
      <c r="S777" s="3">
        <f t="shared" si="38"/>
        <v>550</v>
      </c>
      <c r="T777" s="3">
        <f t="shared" si="39"/>
        <v>0</v>
      </c>
      <c r="U777" s="3" t="s">
        <v>60</v>
      </c>
      <c r="V777" s="14" t="s">
        <v>4301</v>
      </c>
      <c r="W777" s="14" t="s">
        <v>4202</v>
      </c>
      <c r="X777" s="14" t="s">
        <v>60</v>
      </c>
    </row>
    <row r="778" spans="1:24" ht="15" x14ac:dyDescent="0.3">
      <c r="A778" s="3">
        <v>39</v>
      </c>
      <c r="B778" s="3" t="s">
        <v>7104</v>
      </c>
      <c r="C778" s="14" t="s">
        <v>0</v>
      </c>
      <c r="D778" s="14" t="s">
        <v>1844</v>
      </c>
      <c r="E778" s="14" t="s">
        <v>7105</v>
      </c>
      <c r="F778" s="14" t="s">
        <v>1845</v>
      </c>
      <c r="G778" s="14" t="s">
        <v>3</v>
      </c>
      <c r="H778" s="14" t="s">
        <v>7106</v>
      </c>
      <c r="I778" s="14" t="s">
        <v>1846</v>
      </c>
      <c r="J778" s="14" t="s">
        <v>60</v>
      </c>
      <c r="K778" s="14" t="s">
        <v>60</v>
      </c>
      <c r="L778" s="14" t="s">
        <v>60</v>
      </c>
      <c r="M778" s="14" t="s">
        <v>1847</v>
      </c>
      <c r="N778" s="14" t="s">
        <v>60</v>
      </c>
      <c r="O778" s="14" t="s">
        <v>261</v>
      </c>
      <c r="P778" s="14" t="s">
        <v>7107</v>
      </c>
      <c r="Q778" s="14" t="s">
        <v>11</v>
      </c>
      <c r="R778" s="3">
        <v>0</v>
      </c>
      <c r="S778" s="3">
        <f t="shared" si="38"/>
        <v>550</v>
      </c>
      <c r="T778" s="3">
        <f t="shared" si="39"/>
        <v>0</v>
      </c>
      <c r="U778" s="3" t="s">
        <v>60</v>
      </c>
      <c r="V778" s="14" t="s">
        <v>4301</v>
      </c>
      <c r="W778" s="14" t="s">
        <v>4202</v>
      </c>
      <c r="X778" s="14" t="s">
        <v>60</v>
      </c>
    </row>
    <row r="779" spans="1:24" ht="15" x14ac:dyDescent="0.3">
      <c r="A779" s="3">
        <v>40</v>
      </c>
      <c r="B779" s="3" t="s">
        <v>7108</v>
      </c>
      <c r="C779" s="14" t="s">
        <v>0</v>
      </c>
      <c r="D779" s="14" t="s">
        <v>1848</v>
      </c>
      <c r="E779" s="14" t="s">
        <v>1849</v>
      </c>
      <c r="F779" s="14" t="s">
        <v>1850</v>
      </c>
      <c r="G779" s="14" t="s">
        <v>3</v>
      </c>
      <c r="H779" s="14" t="s">
        <v>7109</v>
      </c>
      <c r="I779" s="14" t="s">
        <v>1851</v>
      </c>
      <c r="J779" s="14" t="s">
        <v>60</v>
      </c>
      <c r="K779" s="14" t="s">
        <v>60</v>
      </c>
      <c r="L779" s="14" t="s">
        <v>60</v>
      </c>
      <c r="M779" s="14" t="s">
        <v>7110</v>
      </c>
      <c r="N779" s="14" t="s">
        <v>60</v>
      </c>
      <c r="O779" s="14" t="s">
        <v>193</v>
      </c>
      <c r="P779" s="14" t="s">
        <v>7111</v>
      </c>
      <c r="Q779" s="14" t="s">
        <v>11</v>
      </c>
      <c r="R779" s="3">
        <v>0</v>
      </c>
      <c r="S779" s="3">
        <f t="shared" si="38"/>
        <v>550</v>
      </c>
      <c r="T779" s="3">
        <f t="shared" si="39"/>
        <v>0</v>
      </c>
      <c r="U779" s="3" t="s">
        <v>60</v>
      </c>
      <c r="V779" s="14" t="s">
        <v>6</v>
      </c>
      <c r="W779" s="14" t="s">
        <v>4287</v>
      </c>
      <c r="X779" s="14" t="s">
        <v>60</v>
      </c>
    </row>
    <row r="780" spans="1:24" ht="15" x14ac:dyDescent="0.3">
      <c r="A780" s="3">
        <v>41</v>
      </c>
      <c r="B780" s="3" t="s">
        <v>7112</v>
      </c>
      <c r="C780" s="14" t="s">
        <v>0</v>
      </c>
      <c r="D780" s="14" t="s">
        <v>1148</v>
      </c>
      <c r="E780" s="14" t="s">
        <v>7113</v>
      </c>
      <c r="F780" s="14" t="s">
        <v>1852</v>
      </c>
      <c r="G780" s="14" t="s">
        <v>3</v>
      </c>
      <c r="H780" s="14" t="s">
        <v>7114</v>
      </c>
      <c r="I780" s="14" t="s">
        <v>1853</v>
      </c>
      <c r="J780" s="14" t="s">
        <v>60</v>
      </c>
      <c r="K780" s="14" t="s">
        <v>60</v>
      </c>
      <c r="L780" s="14" t="s">
        <v>60</v>
      </c>
      <c r="M780" s="14" t="s">
        <v>7115</v>
      </c>
      <c r="N780" s="14" t="s">
        <v>60</v>
      </c>
      <c r="O780" s="14" t="s">
        <v>193</v>
      </c>
      <c r="P780" s="14" t="s">
        <v>7116</v>
      </c>
      <c r="Q780" s="14" t="s">
        <v>11</v>
      </c>
      <c r="R780" s="3">
        <v>0</v>
      </c>
      <c r="S780" s="3">
        <f t="shared" si="38"/>
        <v>550</v>
      </c>
      <c r="T780" s="3">
        <f t="shared" si="39"/>
        <v>0</v>
      </c>
      <c r="U780" s="3" t="s">
        <v>60</v>
      </c>
      <c r="V780" s="14" t="s">
        <v>6</v>
      </c>
      <c r="W780" s="14" t="s">
        <v>4287</v>
      </c>
      <c r="X780" s="14" t="s">
        <v>60</v>
      </c>
    </row>
    <row r="781" spans="1:24" ht="15" x14ac:dyDescent="0.3">
      <c r="A781" s="3">
        <v>42</v>
      </c>
      <c r="B781" s="3" t="s">
        <v>7117</v>
      </c>
      <c r="C781" s="14" t="s">
        <v>0</v>
      </c>
      <c r="D781" s="14" t="s">
        <v>1854</v>
      </c>
      <c r="E781" s="14" t="s">
        <v>7118</v>
      </c>
      <c r="F781" s="14" t="s">
        <v>1601</v>
      </c>
      <c r="G781" s="14" t="s">
        <v>3</v>
      </c>
      <c r="H781" s="14" t="s">
        <v>1855</v>
      </c>
      <c r="I781" s="14" t="s">
        <v>1856</v>
      </c>
      <c r="J781" s="14" t="s">
        <v>60</v>
      </c>
      <c r="K781" s="14" t="s">
        <v>60</v>
      </c>
      <c r="L781" s="14" t="s">
        <v>60</v>
      </c>
      <c r="M781" s="14" t="s">
        <v>1857</v>
      </c>
      <c r="N781" s="14" t="s">
        <v>60</v>
      </c>
      <c r="O781" s="14" t="s">
        <v>261</v>
      </c>
      <c r="P781" s="14" t="s">
        <v>7119</v>
      </c>
      <c r="Q781" s="14" t="s">
        <v>11</v>
      </c>
      <c r="R781" s="3">
        <v>0</v>
      </c>
      <c r="S781" s="3">
        <f t="shared" si="38"/>
        <v>550</v>
      </c>
      <c r="T781" s="3">
        <f t="shared" si="39"/>
        <v>0</v>
      </c>
      <c r="U781" s="3" t="s">
        <v>7120</v>
      </c>
      <c r="V781" s="14" t="s">
        <v>5111</v>
      </c>
      <c r="W781" s="14" t="s">
        <v>4202</v>
      </c>
      <c r="X781" s="14" t="s">
        <v>60</v>
      </c>
    </row>
    <row r="782" spans="1:24" ht="15" x14ac:dyDescent="0.3">
      <c r="A782" s="3">
        <v>43</v>
      </c>
      <c r="B782" s="3" t="s">
        <v>7121</v>
      </c>
      <c r="C782" s="14" t="s">
        <v>0</v>
      </c>
      <c r="D782" s="14" t="s">
        <v>1858</v>
      </c>
      <c r="E782" s="14" t="s">
        <v>7122</v>
      </c>
      <c r="F782" s="14" t="s">
        <v>1859</v>
      </c>
      <c r="G782" s="14" t="s">
        <v>3</v>
      </c>
      <c r="H782" s="14" t="s">
        <v>7123</v>
      </c>
      <c r="I782" s="14" t="s">
        <v>1860</v>
      </c>
      <c r="J782" s="14" t="s">
        <v>60</v>
      </c>
      <c r="K782" s="14" t="s">
        <v>60</v>
      </c>
      <c r="L782" s="14" t="s">
        <v>60</v>
      </c>
      <c r="M782" s="14" t="s">
        <v>1861</v>
      </c>
      <c r="N782" s="14" t="s">
        <v>60</v>
      </c>
      <c r="O782" s="14" t="s">
        <v>261</v>
      </c>
      <c r="P782" s="14" t="s">
        <v>7124</v>
      </c>
      <c r="Q782" s="14" t="s">
        <v>11</v>
      </c>
      <c r="R782" s="3">
        <v>0</v>
      </c>
      <c r="S782" s="3">
        <f t="shared" si="38"/>
        <v>550</v>
      </c>
      <c r="T782" s="3">
        <f t="shared" si="39"/>
        <v>0</v>
      </c>
      <c r="U782" s="3" t="s">
        <v>60</v>
      </c>
      <c r="V782" s="14" t="s">
        <v>4301</v>
      </c>
      <c r="W782" s="14" t="s">
        <v>4202</v>
      </c>
      <c r="X782" s="14" t="s">
        <v>60</v>
      </c>
    </row>
    <row r="783" spans="1:24" ht="15" x14ac:dyDescent="0.3">
      <c r="A783" s="3">
        <v>44</v>
      </c>
      <c r="B783" s="3" t="s">
        <v>7125</v>
      </c>
      <c r="C783" s="14" t="s">
        <v>0</v>
      </c>
      <c r="D783" s="14" t="s">
        <v>1862</v>
      </c>
      <c r="E783" s="14" t="s">
        <v>7126</v>
      </c>
      <c r="F783" s="14" t="s">
        <v>1863</v>
      </c>
      <c r="G783" s="14" t="s">
        <v>3</v>
      </c>
      <c r="H783" s="14" t="s">
        <v>7127</v>
      </c>
      <c r="I783" s="14" t="s">
        <v>7128</v>
      </c>
      <c r="J783" s="14" t="s">
        <v>60</v>
      </c>
      <c r="K783" s="14" t="s">
        <v>60</v>
      </c>
      <c r="L783" s="14" t="s">
        <v>60</v>
      </c>
      <c r="M783" s="14" t="s">
        <v>7129</v>
      </c>
      <c r="N783" s="14" t="s">
        <v>60</v>
      </c>
      <c r="O783" s="14" t="s">
        <v>193</v>
      </c>
      <c r="P783" s="14" t="s">
        <v>7130</v>
      </c>
      <c r="Q783" s="14" t="s">
        <v>11</v>
      </c>
      <c r="R783" s="3">
        <v>0</v>
      </c>
      <c r="S783" s="3">
        <f t="shared" si="38"/>
        <v>550</v>
      </c>
      <c r="T783" s="3">
        <f t="shared" si="39"/>
        <v>0</v>
      </c>
      <c r="U783" s="3" t="s">
        <v>60</v>
      </c>
      <c r="V783" s="14" t="s">
        <v>6</v>
      </c>
      <c r="W783" s="14" t="s">
        <v>4287</v>
      </c>
      <c r="X783" s="14" t="s">
        <v>60</v>
      </c>
    </row>
    <row r="784" spans="1:24" ht="15" x14ac:dyDescent="0.3">
      <c r="A784" s="3">
        <v>45</v>
      </c>
      <c r="B784" s="3" t="s">
        <v>7131</v>
      </c>
      <c r="C784" s="14" t="s">
        <v>0</v>
      </c>
      <c r="D784" s="14" t="s">
        <v>1864</v>
      </c>
      <c r="E784" s="14" t="s">
        <v>7132</v>
      </c>
      <c r="F784" s="14" t="s">
        <v>1865</v>
      </c>
      <c r="G784" s="14" t="s">
        <v>121</v>
      </c>
      <c r="H784" s="14" t="s">
        <v>7133</v>
      </c>
      <c r="I784" s="14" t="s">
        <v>1866</v>
      </c>
      <c r="J784" s="14" t="s">
        <v>60</v>
      </c>
      <c r="K784" s="14" t="s">
        <v>60</v>
      </c>
      <c r="L784" s="14" t="s">
        <v>60</v>
      </c>
      <c r="M784" s="14" t="s">
        <v>1867</v>
      </c>
      <c r="N784" s="14" t="s">
        <v>60</v>
      </c>
      <c r="O784" s="14" t="s">
        <v>193</v>
      </c>
      <c r="P784" s="14" t="s">
        <v>7134</v>
      </c>
      <c r="Q784" s="14" t="s">
        <v>11</v>
      </c>
      <c r="R784" s="3">
        <v>0</v>
      </c>
      <c r="S784" s="3">
        <f t="shared" si="38"/>
        <v>550</v>
      </c>
      <c r="T784" s="3">
        <f t="shared" si="39"/>
        <v>0</v>
      </c>
      <c r="U784" s="3" t="s">
        <v>60</v>
      </c>
      <c r="V784" s="14" t="s">
        <v>6</v>
      </c>
      <c r="W784" s="14" t="s">
        <v>4287</v>
      </c>
      <c r="X784" s="14" t="s">
        <v>60</v>
      </c>
    </row>
    <row r="785" spans="1:24" ht="15" x14ac:dyDescent="0.3">
      <c r="A785" s="3">
        <v>46</v>
      </c>
      <c r="B785" s="3" t="s">
        <v>7135</v>
      </c>
      <c r="C785" s="14" t="s">
        <v>0</v>
      </c>
      <c r="D785" s="14" t="s">
        <v>2005</v>
      </c>
      <c r="E785" s="14" t="s">
        <v>7136</v>
      </c>
      <c r="F785" s="14" t="s">
        <v>2006</v>
      </c>
      <c r="G785" s="14" t="s">
        <v>3</v>
      </c>
      <c r="H785" s="14" t="s">
        <v>7137</v>
      </c>
      <c r="I785" s="14" t="s">
        <v>2007</v>
      </c>
      <c r="J785" s="14" t="s">
        <v>60</v>
      </c>
      <c r="K785" s="14" t="s">
        <v>60</v>
      </c>
      <c r="L785" s="14" t="s">
        <v>60</v>
      </c>
      <c r="M785" s="14" t="s">
        <v>2008</v>
      </c>
      <c r="N785" s="14" t="s">
        <v>60</v>
      </c>
      <c r="O785" s="14" t="s">
        <v>60</v>
      </c>
      <c r="P785" s="14" t="s">
        <v>7138</v>
      </c>
      <c r="Q785" s="14" t="s">
        <v>11</v>
      </c>
      <c r="R785" s="3">
        <v>0</v>
      </c>
      <c r="S785" s="3">
        <f t="shared" si="38"/>
        <v>550</v>
      </c>
      <c r="T785" s="3">
        <f t="shared" si="39"/>
        <v>0</v>
      </c>
      <c r="U785" s="3" t="s">
        <v>60</v>
      </c>
      <c r="V785" s="14" t="s">
        <v>6</v>
      </c>
      <c r="W785" s="14" t="s">
        <v>7139</v>
      </c>
      <c r="X785" s="14" t="s">
        <v>60</v>
      </c>
    </row>
    <row r="786" spans="1:24" ht="15" x14ac:dyDescent="0.3">
      <c r="A786" s="3">
        <v>47</v>
      </c>
      <c r="B786" s="3" t="s">
        <v>7140</v>
      </c>
      <c r="C786" s="14" t="s">
        <v>0</v>
      </c>
      <c r="D786" s="14" t="s">
        <v>1888</v>
      </c>
      <c r="E786" s="14" t="s">
        <v>7141</v>
      </c>
      <c r="F786" s="14" t="s">
        <v>1889</v>
      </c>
      <c r="G786" s="14" t="s">
        <v>3</v>
      </c>
      <c r="H786" s="14" t="s">
        <v>7142</v>
      </c>
      <c r="I786" s="14" t="s">
        <v>1890</v>
      </c>
      <c r="J786" s="14" t="s">
        <v>60</v>
      </c>
      <c r="K786" s="14" t="s">
        <v>60</v>
      </c>
      <c r="L786" s="14" t="s">
        <v>60</v>
      </c>
      <c r="M786" s="14" t="s">
        <v>60</v>
      </c>
      <c r="N786" s="14" t="s">
        <v>60</v>
      </c>
      <c r="O786" s="14" t="s">
        <v>7143</v>
      </c>
      <c r="P786" s="14" t="s">
        <v>7144</v>
      </c>
      <c r="Q786" s="14" t="s">
        <v>213</v>
      </c>
      <c r="R786" s="3">
        <v>0</v>
      </c>
      <c r="S786" s="3">
        <f t="shared" si="38"/>
        <v>550</v>
      </c>
      <c r="T786" s="3">
        <f t="shared" si="39"/>
        <v>0</v>
      </c>
      <c r="U786" s="3" t="s">
        <v>60</v>
      </c>
      <c r="V786" s="14" t="s">
        <v>6</v>
      </c>
      <c r="W786" s="14" t="s">
        <v>4287</v>
      </c>
      <c r="X786" s="14" t="s">
        <v>60</v>
      </c>
    </row>
    <row r="787" spans="1:24" ht="15" x14ac:dyDescent="0.3">
      <c r="A787" s="3">
        <v>48</v>
      </c>
      <c r="B787" s="3" t="s">
        <v>1868</v>
      </c>
      <c r="C787" s="14" t="s">
        <v>0</v>
      </c>
      <c r="D787" s="14" t="s">
        <v>1869</v>
      </c>
      <c r="E787" s="14" t="s">
        <v>1870</v>
      </c>
      <c r="F787" s="14" t="s">
        <v>1871</v>
      </c>
      <c r="G787" s="14" t="s">
        <v>3</v>
      </c>
      <c r="H787" s="14" t="s">
        <v>7145</v>
      </c>
      <c r="I787" s="14" t="s">
        <v>7146</v>
      </c>
      <c r="J787" s="14" t="s">
        <v>60</v>
      </c>
      <c r="K787" s="14" t="s">
        <v>60</v>
      </c>
      <c r="L787" s="14" t="s">
        <v>60</v>
      </c>
      <c r="M787" s="14" t="s">
        <v>1872</v>
      </c>
      <c r="N787" s="14" t="s">
        <v>60</v>
      </c>
      <c r="O787" s="14" t="s">
        <v>193</v>
      </c>
      <c r="P787" s="14" t="s">
        <v>7147</v>
      </c>
      <c r="Q787" s="14" t="s">
        <v>185</v>
      </c>
      <c r="R787" s="3">
        <v>0</v>
      </c>
      <c r="S787" s="3">
        <f t="shared" si="38"/>
        <v>550</v>
      </c>
      <c r="T787" s="3">
        <f t="shared" si="39"/>
        <v>0</v>
      </c>
      <c r="U787" s="3" t="s">
        <v>60</v>
      </c>
      <c r="V787" s="14" t="s">
        <v>6</v>
      </c>
      <c r="W787" s="14" t="s">
        <v>4287</v>
      </c>
      <c r="X787" s="14" t="s">
        <v>60</v>
      </c>
    </row>
    <row r="788" spans="1:24" ht="15" x14ac:dyDescent="0.3">
      <c r="A788" s="3">
        <v>49</v>
      </c>
      <c r="B788" s="3" t="s">
        <v>7148</v>
      </c>
      <c r="C788" s="14" t="s">
        <v>0</v>
      </c>
      <c r="D788" s="14" t="s">
        <v>1873</v>
      </c>
      <c r="E788" s="14" t="s">
        <v>4644</v>
      </c>
      <c r="F788" s="14" t="s">
        <v>1874</v>
      </c>
      <c r="G788" s="14" t="s">
        <v>3</v>
      </c>
      <c r="H788" s="14" t="s">
        <v>7149</v>
      </c>
      <c r="I788" s="14" t="s">
        <v>7150</v>
      </c>
      <c r="J788" s="14" t="s">
        <v>60</v>
      </c>
      <c r="K788" s="14" t="s">
        <v>60</v>
      </c>
      <c r="L788" s="14" t="s">
        <v>60</v>
      </c>
      <c r="M788" s="14" t="s">
        <v>1875</v>
      </c>
      <c r="N788" s="14" t="s">
        <v>60</v>
      </c>
      <c r="O788" s="14" t="s">
        <v>193</v>
      </c>
      <c r="P788" s="14" t="s">
        <v>7151</v>
      </c>
      <c r="Q788" s="14" t="s">
        <v>11</v>
      </c>
      <c r="R788" s="3">
        <v>0</v>
      </c>
      <c r="S788" s="3">
        <f t="shared" si="38"/>
        <v>550</v>
      </c>
      <c r="T788" s="3">
        <f t="shared" si="39"/>
        <v>0</v>
      </c>
      <c r="U788" s="3" t="s">
        <v>60</v>
      </c>
      <c r="V788" s="14" t="s">
        <v>6</v>
      </c>
      <c r="W788" s="14" t="s">
        <v>4287</v>
      </c>
      <c r="X788" s="14" t="s">
        <v>60</v>
      </c>
    </row>
    <row r="789" spans="1:24" ht="15" x14ac:dyDescent="0.3">
      <c r="A789" s="3">
        <v>50</v>
      </c>
      <c r="B789" s="3" t="s">
        <v>7152</v>
      </c>
      <c r="C789" s="14" t="s">
        <v>3966</v>
      </c>
      <c r="D789" s="14" t="s">
        <v>2358</v>
      </c>
      <c r="E789" s="14" t="s">
        <v>2359</v>
      </c>
      <c r="F789" s="14" t="s">
        <v>2360</v>
      </c>
      <c r="G789" s="14" t="s">
        <v>3</v>
      </c>
      <c r="H789" s="14" t="s">
        <v>2361</v>
      </c>
      <c r="I789" s="14" t="s">
        <v>2362</v>
      </c>
      <c r="J789" s="14" t="s">
        <v>60</v>
      </c>
      <c r="K789" s="14" t="s">
        <v>60</v>
      </c>
      <c r="L789" s="14" t="s">
        <v>60</v>
      </c>
      <c r="M789" s="14" t="s">
        <v>2363</v>
      </c>
      <c r="N789" s="14" t="s">
        <v>60</v>
      </c>
      <c r="O789" s="14" t="s">
        <v>558</v>
      </c>
      <c r="P789" s="14" t="s">
        <v>7153</v>
      </c>
      <c r="Q789" s="14" t="s">
        <v>185</v>
      </c>
      <c r="R789" s="3">
        <v>0</v>
      </c>
      <c r="S789" s="3">
        <f t="shared" si="38"/>
        <v>640</v>
      </c>
      <c r="T789" s="3">
        <f t="shared" si="39"/>
        <v>0</v>
      </c>
      <c r="U789" s="3" t="s">
        <v>60</v>
      </c>
      <c r="V789" s="14" t="s">
        <v>6</v>
      </c>
      <c r="W789" s="14" t="s">
        <v>4287</v>
      </c>
      <c r="X789" s="14" t="s">
        <v>60</v>
      </c>
    </row>
    <row r="790" spans="1:24" ht="15" x14ac:dyDescent="0.3">
      <c r="A790" s="3">
        <v>51</v>
      </c>
      <c r="B790" s="3" t="s">
        <v>1881</v>
      </c>
      <c r="C790" s="14" t="s">
        <v>0</v>
      </c>
      <c r="D790" s="14" t="s">
        <v>1576</v>
      </c>
      <c r="E790" s="14" t="s">
        <v>5081</v>
      </c>
      <c r="F790" s="14" t="s">
        <v>1882</v>
      </c>
      <c r="G790" s="14" t="s">
        <v>3</v>
      </c>
      <c r="H790" s="14" t="s">
        <v>7154</v>
      </c>
      <c r="I790" s="14" t="s">
        <v>7155</v>
      </c>
      <c r="J790" s="14" t="s">
        <v>60</v>
      </c>
      <c r="K790" s="14" t="s">
        <v>60</v>
      </c>
      <c r="L790" s="14" t="s">
        <v>60</v>
      </c>
      <c r="M790" s="14" t="s">
        <v>1883</v>
      </c>
      <c r="N790" s="14" t="s">
        <v>60</v>
      </c>
      <c r="O790" s="14" t="s">
        <v>193</v>
      </c>
      <c r="P790" s="14" t="s">
        <v>7156</v>
      </c>
      <c r="Q790" s="14" t="s">
        <v>11</v>
      </c>
      <c r="R790" s="3">
        <v>0</v>
      </c>
      <c r="S790" s="3">
        <f t="shared" si="38"/>
        <v>550</v>
      </c>
      <c r="T790" s="3">
        <f t="shared" si="39"/>
        <v>0</v>
      </c>
      <c r="U790" s="3" t="s">
        <v>60</v>
      </c>
      <c r="V790" s="14" t="s">
        <v>6</v>
      </c>
      <c r="W790" s="14" t="s">
        <v>4287</v>
      </c>
      <c r="X790" s="14" t="s">
        <v>60</v>
      </c>
    </row>
    <row r="791" spans="1:24" ht="15" x14ac:dyDescent="0.3">
      <c r="A791" s="3">
        <v>52</v>
      </c>
      <c r="B791" s="3" t="s">
        <v>1884</v>
      </c>
      <c r="C791" s="14" t="s">
        <v>0</v>
      </c>
      <c r="D791" s="14" t="s">
        <v>1885</v>
      </c>
      <c r="E791" s="14" t="s">
        <v>7157</v>
      </c>
      <c r="F791" s="14" t="s">
        <v>1886</v>
      </c>
      <c r="G791" s="14" t="s">
        <v>3</v>
      </c>
      <c r="H791" s="14" t="s">
        <v>7158</v>
      </c>
      <c r="I791" s="14" t="s">
        <v>7159</v>
      </c>
      <c r="J791" s="14" t="s">
        <v>60</v>
      </c>
      <c r="K791" s="14" t="s">
        <v>60</v>
      </c>
      <c r="L791" s="14" t="s">
        <v>60</v>
      </c>
      <c r="M791" s="14" t="s">
        <v>1887</v>
      </c>
      <c r="N791" s="14" t="s">
        <v>60</v>
      </c>
      <c r="O791" s="14" t="s">
        <v>193</v>
      </c>
      <c r="P791" s="14" t="s">
        <v>7160</v>
      </c>
      <c r="Q791" s="14" t="s">
        <v>213</v>
      </c>
      <c r="R791" s="3">
        <v>0</v>
      </c>
      <c r="S791" s="3">
        <f t="shared" si="38"/>
        <v>550</v>
      </c>
      <c r="T791" s="3">
        <f t="shared" si="39"/>
        <v>0</v>
      </c>
      <c r="U791" s="3" t="s">
        <v>60</v>
      </c>
      <c r="V791" s="14" t="s">
        <v>6</v>
      </c>
      <c r="W791" s="14" t="s">
        <v>4287</v>
      </c>
      <c r="X791" s="14" t="s">
        <v>60</v>
      </c>
    </row>
    <row r="792" spans="1:24" ht="15" x14ac:dyDescent="0.3">
      <c r="A792" s="3">
        <v>53</v>
      </c>
      <c r="B792" s="3" t="s">
        <v>7161</v>
      </c>
      <c r="C792" s="14" t="s">
        <v>0</v>
      </c>
      <c r="D792" s="14" t="s">
        <v>1788</v>
      </c>
      <c r="E792" s="14" t="s">
        <v>5684</v>
      </c>
      <c r="F792" s="14" t="s">
        <v>1601</v>
      </c>
      <c r="G792" s="14" t="s">
        <v>3</v>
      </c>
      <c r="H792" s="14" t="s">
        <v>7162</v>
      </c>
      <c r="I792" s="14" t="s">
        <v>3829</v>
      </c>
      <c r="J792" s="14" t="s">
        <v>60</v>
      </c>
      <c r="K792" s="14" t="s">
        <v>60</v>
      </c>
      <c r="L792" s="14" t="s">
        <v>60</v>
      </c>
      <c r="M792" s="14" t="s">
        <v>3830</v>
      </c>
      <c r="N792" s="14" t="s">
        <v>60</v>
      </c>
      <c r="O792" s="14" t="s">
        <v>60</v>
      </c>
      <c r="P792" s="14" t="s">
        <v>7163</v>
      </c>
      <c r="Q792" s="14" t="s">
        <v>11</v>
      </c>
      <c r="R792" s="3">
        <v>0</v>
      </c>
      <c r="S792" s="3">
        <f t="shared" si="38"/>
        <v>550</v>
      </c>
      <c r="T792" s="3">
        <f t="shared" si="39"/>
        <v>0</v>
      </c>
      <c r="U792" s="3" t="s">
        <v>60</v>
      </c>
      <c r="V792" s="14" t="s">
        <v>6</v>
      </c>
      <c r="W792" s="14" t="s">
        <v>4444</v>
      </c>
      <c r="X792" s="14" t="s">
        <v>60</v>
      </c>
    </row>
    <row r="793" spans="1:24" ht="15" x14ac:dyDescent="0.3">
      <c r="A793" s="3">
        <v>54</v>
      </c>
      <c r="B793" s="3" t="s">
        <v>7164</v>
      </c>
      <c r="C793" s="14" t="s">
        <v>0</v>
      </c>
      <c r="D793" s="14" t="s">
        <v>3604</v>
      </c>
      <c r="E793" s="14" t="s">
        <v>4205</v>
      </c>
      <c r="F793" s="14" t="s">
        <v>1754</v>
      </c>
      <c r="G793" s="14" t="s">
        <v>3</v>
      </c>
      <c r="H793" s="14" t="s">
        <v>7165</v>
      </c>
      <c r="I793" s="14" t="s">
        <v>3831</v>
      </c>
      <c r="J793" s="14" t="s">
        <v>60</v>
      </c>
      <c r="K793" s="14" t="s">
        <v>60</v>
      </c>
      <c r="L793" s="14" t="s">
        <v>60</v>
      </c>
      <c r="M793" s="14" t="s">
        <v>3832</v>
      </c>
      <c r="N793" s="14" t="s">
        <v>60</v>
      </c>
      <c r="O793" s="14" t="s">
        <v>60</v>
      </c>
      <c r="P793" s="14" t="s">
        <v>7166</v>
      </c>
      <c r="Q793" s="14" t="s">
        <v>11</v>
      </c>
      <c r="R793" s="3">
        <v>0</v>
      </c>
      <c r="S793" s="3">
        <f t="shared" si="38"/>
        <v>550</v>
      </c>
      <c r="T793" s="3">
        <f t="shared" si="39"/>
        <v>0</v>
      </c>
      <c r="U793" s="3" t="s">
        <v>60</v>
      </c>
      <c r="V793" s="14" t="s">
        <v>6</v>
      </c>
      <c r="W793" s="14" t="s">
        <v>4444</v>
      </c>
      <c r="X793" s="14" t="s">
        <v>60</v>
      </c>
    </row>
    <row r="794" spans="1:24" ht="15" x14ac:dyDescent="0.3">
      <c r="A794" s="3">
        <v>55</v>
      </c>
      <c r="B794" s="3" t="s">
        <v>7167</v>
      </c>
      <c r="C794" s="14" t="s">
        <v>0</v>
      </c>
      <c r="D794" s="14" t="s">
        <v>3605</v>
      </c>
      <c r="E794" s="14" t="s">
        <v>7168</v>
      </c>
      <c r="F794" s="14" t="s">
        <v>3612</v>
      </c>
      <c r="G794" s="14" t="s">
        <v>3</v>
      </c>
      <c r="H794" s="14" t="s">
        <v>7169</v>
      </c>
      <c r="I794" s="14" t="s">
        <v>3833</v>
      </c>
      <c r="J794" s="14" t="s">
        <v>60</v>
      </c>
      <c r="K794" s="14" t="s">
        <v>60</v>
      </c>
      <c r="L794" s="14" t="s">
        <v>60</v>
      </c>
      <c r="M794" s="14" t="s">
        <v>60</v>
      </c>
      <c r="N794" s="14" t="s">
        <v>60</v>
      </c>
      <c r="O794" s="14" t="s">
        <v>60</v>
      </c>
      <c r="P794" s="14" t="s">
        <v>7170</v>
      </c>
      <c r="Q794" s="14" t="s">
        <v>11</v>
      </c>
      <c r="R794" s="3">
        <v>0</v>
      </c>
      <c r="S794" s="3">
        <f t="shared" si="38"/>
        <v>550</v>
      </c>
      <c r="T794" s="3">
        <f t="shared" si="39"/>
        <v>0</v>
      </c>
      <c r="U794" s="3" t="s">
        <v>60</v>
      </c>
      <c r="V794" s="14" t="s">
        <v>6</v>
      </c>
      <c r="W794" s="14" t="s">
        <v>4444</v>
      </c>
      <c r="X794" s="14" t="s">
        <v>60</v>
      </c>
    </row>
    <row r="795" spans="1:24" ht="15" x14ac:dyDescent="0.3">
      <c r="A795" s="3">
        <v>56</v>
      </c>
      <c r="B795" s="3" t="s">
        <v>7171</v>
      </c>
      <c r="C795" s="14" t="s">
        <v>0</v>
      </c>
      <c r="D795" s="14" t="s">
        <v>3606</v>
      </c>
      <c r="E795" s="14" t="s">
        <v>7172</v>
      </c>
      <c r="F795" s="14" t="s">
        <v>3613</v>
      </c>
      <c r="G795" s="14" t="s">
        <v>121</v>
      </c>
      <c r="H795" s="14" t="s">
        <v>7173</v>
      </c>
      <c r="I795" s="14" t="s">
        <v>3834</v>
      </c>
      <c r="J795" s="14" t="s">
        <v>60</v>
      </c>
      <c r="K795" s="14" t="s">
        <v>60</v>
      </c>
      <c r="L795" s="14" t="s">
        <v>60</v>
      </c>
      <c r="M795" s="14" t="s">
        <v>60</v>
      </c>
      <c r="N795" s="14" t="s">
        <v>60</v>
      </c>
      <c r="O795" s="14" t="s">
        <v>60</v>
      </c>
      <c r="P795" s="14" t="s">
        <v>7174</v>
      </c>
      <c r="Q795" s="14" t="s">
        <v>11</v>
      </c>
      <c r="R795" s="3">
        <v>0</v>
      </c>
      <c r="S795" s="3">
        <f t="shared" si="38"/>
        <v>550</v>
      </c>
      <c r="T795" s="3">
        <f t="shared" si="39"/>
        <v>0</v>
      </c>
      <c r="U795" s="3" t="s">
        <v>60</v>
      </c>
      <c r="V795" s="14" t="s">
        <v>6</v>
      </c>
      <c r="W795" s="14" t="s">
        <v>4444</v>
      </c>
      <c r="X795" s="14" t="s">
        <v>60</v>
      </c>
    </row>
    <row r="796" spans="1:24" ht="15" x14ac:dyDescent="0.3">
      <c r="A796" s="3">
        <v>57</v>
      </c>
      <c r="B796" s="3" t="s">
        <v>7175</v>
      </c>
      <c r="C796" s="14" t="s">
        <v>0</v>
      </c>
      <c r="D796" s="14" t="s">
        <v>3607</v>
      </c>
      <c r="E796" s="14" t="s">
        <v>4746</v>
      </c>
      <c r="F796" s="14" t="s">
        <v>65</v>
      </c>
      <c r="G796" s="14" t="s">
        <v>121</v>
      </c>
      <c r="H796" s="14" t="s">
        <v>7176</v>
      </c>
      <c r="I796" s="14" t="s">
        <v>3835</v>
      </c>
      <c r="J796" s="14" t="s">
        <v>60</v>
      </c>
      <c r="K796" s="14" t="s">
        <v>60</v>
      </c>
      <c r="L796" s="14" t="s">
        <v>60</v>
      </c>
      <c r="M796" s="14" t="s">
        <v>3836</v>
      </c>
      <c r="N796" s="14" t="s">
        <v>60</v>
      </c>
      <c r="O796" s="14" t="s">
        <v>60</v>
      </c>
      <c r="P796" s="14" t="s">
        <v>7177</v>
      </c>
      <c r="Q796" s="14" t="s">
        <v>11</v>
      </c>
      <c r="R796" s="3">
        <v>0</v>
      </c>
      <c r="S796" s="3">
        <f t="shared" si="38"/>
        <v>550</v>
      </c>
      <c r="T796" s="3">
        <f t="shared" si="39"/>
        <v>0</v>
      </c>
      <c r="U796" s="3" t="s">
        <v>60</v>
      </c>
      <c r="V796" s="14" t="s">
        <v>6</v>
      </c>
      <c r="W796" s="14" t="s">
        <v>4444</v>
      </c>
      <c r="X796" s="14" t="s">
        <v>60</v>
      </c>
    </row>
    <row r="797" spans="1:24" ht="15" x14ac:dyDescent="0.3">
      <c r="A797" s="3">
        <v>58</v>
      </c>
      <c r="B797" s="3" t="s">
        <v>7178</v>
      </c>
      <c r="C797" s="14" t="s">
        <v>0</v>
      </c>
      <c r="D797" s="14" t="s">
        <v>3608</v>
      </c>
      <c r="E797" s="14" t="s">
        <v>6538</v>
      </c>
      <c r="F797" s="14" t="s">
        <v>3610</v>
      </c>
      <c r="G797" s="14" t="s">
        <v>121</v>
      </c>
      <c r="H797" s="14" t="s">
        <v>7179</v>
      </c>
      <c r="I797" s="14" t="s">
        <v>3837</v>
      </c>
      <c r="J797" s="14" t="s">
        <v>60</v>
      </c>
      <c r="K797" s="14" t="s">
        <v>60</v>
      </c>
      <c r="L797" s="14" t="s">
        <v>60</v>
      </c>
      <c r="M797" s="14" t="s">
        <v>3838</v>
      </c>
      <c r="N797" s="14" t="s">
        <v>60</v>
      </c>
      <c r="O797" s="14" t="s">
        <v>60</v>
      </c>
      <c r="P797" s="14" t="s">
        <v>7180</v>
      </c>
      <c r="Q797" s="14" t="s">
        <v>11</v>
      </c>
      <c r="R797" s="3">
        <v>0</v>
      </c>
      <c r="S797" s="3">
        <f t="shared" si="38"/>
        <v>550</v>
      </c>
      <c r="T797" s="3">
        <f t="shared" si="39"/>
        <v>0</v>
      </c>
      <c r="U797" s="3" t="s">
        <v>60</v>
      </c>
      <c r="V797" s="14" t="s">
        <v>6</v>
      </c>
      <c r="W797" s="14" t="s">
        <v>4444</v>
      </c>
      <c r="X797" s="14" t="s">
        <v>60</v>
      </c>
    </row>
    <row r="798" spans="1:24" ht="15" x14ac:dyDescent="0.3">
      <c r="A798" s="3">
        <v>59</v>
      </c>
      <c r="B798" s="3" t="s">
        <v>7181</v>
      </c>
      <c r="C798" s="14" t="s">
        <v>0</v>
      </c>
      <c r="D798" s="14" t="s">
        <v>3609</v>
      </c>
      <c r="E798" s="14" t="s">
        <v>7182</v>
      </c>
      <c r="F798" s="14" t="s">
        <v>1762</v>
      </c>
      <c r="G798" s="14" t="s">
        <v>121</v>
      </c>
      <c r="H798" s="14" t="s">
        <v>7183</v>
      </c>
      <c r="I798" s="14" t="s">
        <v>3839</v>
      </c>
      <c r="J798" s="14" t="s">
        <v>60</v>
      </c>
      <c r="K798" s="14" t="s">
        <v>60</v>
      </c>
      <c r="L798" s="14" t="s">
        <v>60</v>
      </c>
      <c r="M798" s="14" t="s">
        <v>3840</v>
      </c>
      <c r="N798" s="14" t="s">
        <v>60</v>
      </c>
      <c r="O798" s="14" t="s">
        <v>60</v>
      </c>
      <c r="P798" s="14" t="s">
        <v>7184</v>
      </c>
      <c r="Q798" s="14" t="s">
        <v>11</v>
      </c>
      <c r="R798" s="3">
        <v>0</v>
      </c>
      <c r="S798" s="3">
        <f t="shared" si="38"/>
        <v>550</v>
      </c>
      <c r="T798" s="3">
        <f t="shared" si="39"/>
        <v>0</v>
      </c>
      <c r="U798" s="3" t="s">
        <v>60</v>
      </c>
      <c r="V798" s="14" t="s">
        <v>6</v>
      </c>
      <c r="W798" s="14" t="s">
        <v>4444</v>
      </c>
      <c r="X798" s="14" t="s">
        <v>60</v>
      </c>
    </row>
    <row r="799" spans="1:24" ht="15" x14ac:dyDescent="0.3">
      <c r="A799" s="3">
        <v>60</v>
      </c>
      <c r="B799" s="3" t="s">
        <v>7185</v>
      </c>
      <c r="C799" s="14" t="s">
        <v>0</v>
      </c>
      <c r="D799" s="14" t="s">
        <v>3610</v>
      </c>
      <c r="E799" s="14" t="s">
        <v>7186</v>
      </c>
      <c r="F799" s="14" t="s">
        <v>1771</v>
      </c>
      <c r="G799" s="14" t="s">
        <v>3</v>
      </c>
      <c r="H799" s="14" t="s">
        <v>7187</v>
      </c>
      <c r="I799" s="14" t="s">
        <v>3841</v>
      </c>
      <c r="J799" s="14" t="s">
        <v>60</v>
      </c>
      <c r="K799" s="14" t="s">
        <v>60</v>
      </c>
      <c r="L799" s="14" t="s">
        <v>60</v>
      </c>
      <c r="M799" s="14" t="s">
        <v>3842</v>
      </c>
      <c r="N799" s="14" t="s">
        <v>60</v>
      </c>
      <c r="O799" s="14" t="s">
        <v>60</v>
      </c>
      <c r="P799" s="14" t="s">
        <v>7188</v>
      </c>
      <c r="Q799" s="14" t="s">
        <v>11</v>
      </c>
      <c r="R799" s="3">
        <v>0</v>
      </c>
      <c r="S799" s="3">
        <f t="shared" si="38"/>
        <v>550</v>
      </c>
      <c r="T799" s="3">
        <f t="shared" si="39"/>
        <v>0</v>
      </c>
      <c r="U799" s="3" t="s">
        <v>60</v>
      </c>
      <c r="V799" s="14" t="s">
        <v>6</v>
      </c>
      <c r="W799" s="14" t="s">
        <v>4444</v>
      </c>
      <c r="X799" s="14" t="s">
        <v>60</v>
      </c>
    </row>
    <row r="800" spans="1:24" ht="15" x14ac:dyDescent="0.3">
      <c r="A800" s="3">
        <v>61</v>
      </c>
      <c r="B800" s="3" t="s">
        <v>7189</v>
      </c>
      <c r="C800" s="14" t="s">
        <v>0</v>
      </c>
      <c r="D800" s="14" t="s">
        <v>1891</v>
      </c>
      <c r="E800" s="14" t="s">
        <v>4367</v>
      </c>
      <c r="F800" s="14" t="s">
        <v>1892</v>
      </c>
      <c r="G800" s="14" t="s">
        <v>3</v>
      </c>
      <c r="H800" s="14" t="s">
        <v>7190</v>
      </c>
      <c r="I800" s="14" t="s">
        <v>1893</v>
      </c>
      <c r="J800" s="14" t="s">
        <v>60</v>
      </c>
      <c r="K800" s="14" t="s">
        <v>60</v>
      </c>
      <c r="L800" s="14" t="s">
        <v>60</v>
      </c>
      <c r="M800" s="14" t="s">
        <v>1894</v>
      </c>
      <c r="N800" s="14" t="s">
        <v>60</v>
      </c>
      <c r="O800" s="14" t="s">
        <v>193</v>
      </c>
      <c r="P800" s="14" t="s">
        <v>7191</v>
      </c>
      <c r="Q800" s="14" t="s">
        <v>11</v>
      </c>
      <c r="R800" s="3">
        <v>0</v>
      </c>
      <c r="S800" s="3">
        <f t="shared" si="38"/>
        <v>550</v>
      </c>
      <c r="T800" s="3">
        <f t="shared" si="39"/>
        <v>0</v>
      </c>
      <c r="U800" s="3" t="s">
        <v>60</v>
      </c>
      <c r="V800" s="14" t="s">
        <v>6</v>
      </c>
      <c r="W800" s="14" t="s">
        <v>4287</v>
      </c>
      <c r="X800" s="14" t="s">
        <v>60</v>
      </c>
    </row>
    <row r="801" spans="1:24" ht="15" x14ac:dyDescent="0.3">
      <c r="A801" s="3">
        <v>62</v>
      </c>
      <c r="B801" s="3" t="s">
        <v>7192</v>
      </c>
      <c r="C801" s="14" t="s">
        <v>0</v>
      </c>
      <c r="D801" s="14" t="s">
        <v>1899</v>
      </c>
      <c r="E801" s="14" t="s">
        <v>7193</v>
      </c>
      <c r="F801" s="14" t="s">
        <v>1900</v>
      </c>
      <c r="G801" s="14" t="s">
        <v>3</v>
      </c>
      <c r="H801" s="14" t="s">
        <v>1901</v>
      </c>
      <c r="I801" s="14" t="s">
        <v>1902</v>
      </c>
      <c r="J801" s="14" t="s">
        <v>60</v>
      </c>
      <c r="K801" s="14" t="s">
        <v>60</v>
      </c>
      <c r="L801" s="14" t="s">
        <v>60</v>
      </c>
      <c r="M801" s="14" t="s">
        <v>7194</v>
      </c>
      <c r="N801" s="14" t="s">
        <v>60</v>
      </c>
      <c r="O801" s="14" t="s">
        <v>193</v>
      </c>
      <c r="P801" s="14" t="s">
        <v>7195</v>
      </c>
      <c r="Q801" s="14" t="s">
        <v>11</v>
      </c>
      <c r="R801" s="3">
        <v>0</v>
      </c>
      <c r="S801" s="3">
        <f t="shared" si="38"/>
        <v>550</v>
      </c>
      <c r="T801" s="3">
        <f t="shared" si="39"/>
        <v>0</v>
      </c>
      <c r="U801" s="3" t="s">
        <v>7196</v>
      </c>
      <c r="V801" s="14" t="s">
        <v>6</v>
      </c>
      <c r="W801" s="14" t="s">
        <v>4287</v>
      </c>
      <c r="X801" s="14" t="s">
        <v>60</v>
      </c>
    </row>
    <row r="802" spans="1:24" ht="15" x14ac:dyDescent="0.3">
      <c r="A802" s="3">
        <v>63</v>
      </c>
      <c r="B802" s="3" t="s">
        <v>7197</v>
      </c>
      <c r="C802" s="14" t="s">
        <v>0</v>
      </c>
      <c r="D802" s="14" t="s">
        <v>1903</v>
      </c>
      <c r="E802" s="14" t="s">
        <v>7198</v>
      </c>
      <c r="F802" s="14" t="s">
        <v>1904</v>
      </c>
      <c r="G802" s="14" t="s">
        <v>3</v>
      </c>
      <c r="H802" s="14" t="s">
        <v>7199</v>
      </c>
      <c r="I802" s="14" t="s">
        <v>1905</v>
      </c>
      <c r="J802" s="14" t="s">
        <v>60</v>
      </c>
      <c r="K802" s="14" t="s">
        <v>60</v>
      </c>
      <c r="L802" s="14" t="s">
        <v>60</v>
      </c>
      <c r="M802" s="14" t="s">
        <v>7200</v>
      </c>
      <c r="N802" s="14" t="s">
        <v>60</v>
      </c>
      <c r="O802" s="14" t="s">
        <v>193</v>
      </c>
      <c r="P802" s="14" t="s">
        <v>7201</v>
      </c>
      <c r="Q802" s="14" t="s">
        <v>11</v>
      </c>
      <c r="R802" s="3">
        <v>0</v>
      </c>
      <c r="S802" s="3">
        <f t="shared" si="38"/>
        <v>550</v>
      </c>
      <c r="T802" s="3">
        <f t="shared" si="39"/>
        <v>0</v>
      </c>
      <c r="U802" s="3" t="s">
        <v>60</v>
      </c>
      <c r="V802" s="14" t="s">
        <v>6</v>
      </c>
      <c r="W802" s="14" t="s">
        <v>4287</v>
      </c>
      <c r="X802" s="14" t="s">
        <v>60</v>
      </c>
    </row>
    <row r="803" spans="1:24" ht="15" x14ac:dyDescent="0.3">
      <c r="A803" s="3">
        <v>64</v>
      </c>
      <c r="B803" s="3" t="s">
        <v>7202</v>
      </c>
      <c r="C803" s="14" t="s">
        <v>0</v>
      </c>
      <c r="D803" s="14" t="s">
        <v>1912</v>
      </c>
      <c r="E803" s="14" t="s">
        <v>7203</v>
      </c>
      <c r="F803" s="14" t="s">
        <v>1913</v>
      </c>
      <c r="G803" s="14" t="s">
        <v>3</v>
      </c>
      <c r="H803" s="14" t="s">
        <v>7204</v>
      </c>
      <c r="I803" s="14" t="s">
        <v>1914</v>
      </c>
      <c r="J803" s="14" t="s">
        <v>60</v>
      </c>
      <c r="K803" s="14" t="s">
        <v>60</v>
      </c>
      <c r="L803" s="14" t="s">
        <v>60</v>
      </c>
      <c r="M803" s="14" t="s">
        <v>60</v>
      </c>
      <c r="N803" s="14" t="s">
        <v>60</v>
      </c>
      <c r="O803" s="14" t="s">
        <v>255</v>
      </c>
      <c r="P803" s="14" t="s">
        <v>7205</v>
      </c>
      <c r="Q803" s="14" t="s">
        <v>11</v>
      </c>
      <c r="R803" s="3">
        <v>0</v>
      </c>
      <c r="S803" s="3">
        <f t="shared" si="38"/>
        <v>550</v>
      </c>
      <c r="T803" s="3">
        <f t="shared" si="39"/>
        <v>0</v>
      </c>
      <c r="U803" s="3" t="s">
        <v>60</v>
      </c>
      <c r="V803" s="14" t="s">
        <v>4208</v>
      </c>
      <c r="W803" s="14" t="s">
        <v>7206</v>
      </c>
      <c r="X803" s="14" t="s">
        <v>60</v>
      </c>
    </row>
    <row r="804" spans="1:24" ht="15" x14ac:dyDescent="0.3">
      <c r="A804" s="3">
        <v>65</v>
      </c>
      <c r="B804" s="3" t="s">
        <v>1915</v>
      </c>
      <c r="C804" s="14" t="s">
        <v>0</v>
      </c>
      <c r="D804" s="14" t="s">
        <v>1916</v>
      </c>
      <c r="E804" s="14" t="s">
        <v>1917</v>
      </c>
      <c r="F804" s="14" t="s">
        <v>1918</v>
      </c>
      <c r="G804" s="14" t="s">
        <v>3</v>
      </c>
      <c r="H804" s="14" t="s">
        <v>7207</v>
      </c>
      <c r="I804" s="14" t="s">
        <v>7208</v>
      </c>
      <c r="J804" s="14" t="s">
        <v>60</v>
      </c>
      <c r="K804" s="14" t="s">
        <v>60</v>
      </c>
      <c r="L804" s="14" t="s">
        <v>60</v>
      </c>
      <c r="M804" s="14" t="s">
        <v>7209</v>
      </c>
      <c r="N804" s="14" t="s">
        <v>60</v>
      </c>
      <c r="O804" s="14" t="s">
        <v>193</v>
      </c>
      <c r="P804" s="14" t="s">
        <v>7210</v>
      </c>
      <c r="Q804" s="14" t="s">
        <v>1676</v>
      </c>
      <c r="R804" s="3">
        <v>0</v>
      </c>
      <c r="S804" s="3">
        <f t="shared" ref="S804:S833" si="40">IF(RIGHT(C804,3)="MAZ",550,IF(RIGHT(C804,4)="MATE",570,IF(RIGHT(C804,7)="SKD-III",640,IF(RIGHT(C804,6)="SKD-II",770,IF(RIGHT(C804,5)="SKD-I",900,IF(RIGHT(C804,5)="CPDVR",770,""))))))</f>
        <v>550</v>
      </c>
      <c r="T804" s="3">
        <f t="shared" ref="T804:T833" si="41">R804*S804</f>
        <v>0</v>
      </c>
      <c r="U804" s="3" t="s">
        <v>60</v>
      </c>
      <c r="V804" s="14" t="s">
        <v>6</v>
      </c>
      <c r="W804" s="14" t="s">
        <v>4287</v>
      </c>
      <c r="X804" s="14" t="s">
        <v>60</v>
      </c>
    </row>
    <row r="805" spans="1:24" ht="15" x14ac:dyDescent="0.3">
      <c r="A805" s="3">
        <v>66</v>
      </c>
      <c r="B805" s="3" t="s">
        <v>7211</v>
      </c>
      <c r="C805" s="14" t="s">
        <v>0</v>
      </c>
      <c r="D805" s="14" t="s">
        <v>1919</v>
      </c>
      <c r="E805" s="14" t="s">
        <v>4895</v>
      </c>
      <c r="F805" s="14" t="s">
        <v>1920</v>
      </c>
      <c r="G805" s="14" t="s">
        <v>3</v>
      </c>
      <c r="H805" s="14" t="s">
        <v>7212</v>
      </c>
      <c r="I805" s="14" t="s">
        <v>7213</v>
      </c>
      <c r="J805" s="14" t="s">
        <v>60</v>
      </c>
      <c r="K805" s="14" t="s">
        <v>60</v>
      </c>
      <c r="L805" s="14" t="s">
        <v>60</v>
      </c>
      <c r="M805" s="14" t="s">
        <v>7214</v>
      </c>
      <c r="N805" s="14" t="s">
        <v>60</v>
      </c>
      <c r="O805" s="14" t="s">
        <v>193</v>
      </c>
      <c r="P805" s="14" t="s">
        <v>7215</v>
      </c>
      <c r="Q805" s="14" t="s">
        <v>1921</v>
      </c>
      <c r="R805" s="3">
        <v>0</v>
      </c>
      <c r="S805" s="3">
        <f t="shared" si="40"/>
        <v>550</v>
      </c>
      <c r="T805" s="3">
        <f t="shared" si="41"/>
        <v>0</v>
      </c>
      <c r="U805" s="3" t="s">
        <v>60</v>
      </c>
      <c r="V805" s="14" t="s">
        <v>6</v>
      </c>
      <c r="W805" s="14" t="s">
        <v>4287</v>
      </c>
      <c r="X805" s="14" t="s">
        <v>60</v>
      </c>
    </row>
    <row r="806" spans="1:24" ht="15" x14ac:dyDescent="0.3">
      <c r="A806" s="3">
        <v>67</v>
      </c>
      <c r="B806" s="3" t="s">
        <v>7216</v>
      </c>
      <c r="C806" s="14" t="s">
        <v>0</v>
      </c>
      <c r="D806" s="14" t="s">
        <v>3611</v>
      </c>
      <c r="E806" s="14" t="s">
        <v>7217</v>
      </c>
      <c r="F806" s="14" t="s">
        <v>1659</v>
      </c>
      <c r="G806" s="14" t="s">
        <v>121</v>
      </c>
      <c r="H806" s="14" t="s">
        <v>7218</v>
      </c>
      <c r="I806" s="14" t="s">
        <v>3841</v>
      </c>
      <c r="J806" s="14" t="s">
        <v>60</v>
      </c>
      <c r="K806" s="14" t="s">
        <v>60</v>
      </c>
      <c r="L806" s="14" t="s">
        <v>60</v>
      </c>
      <c r="M806" s="14" t="s">
        <v>3842</v>
      </c>
      <c r="N806" s="14" t="s">
        <v>60</v>
      </c>
      <c r="O806" s="14" t="s">
        <v>60</v>
      </c>
      <c r="P806" s="14" t="s">
        <v>7219</v>
      </c>
      <c r="Q806" s="14" t="s">
        <v>11</v>
      </c>
      <c r="R806" s="3">
        <v>0</v>
      </c>
      <c r="S806" s="3">
        <f t="shared" si="40"/>
        <v>550</v>
      </c>
      <c r="T806" s="3">
        <f t="shared" si="41"/>
        <v>0</v>
      </c>
      <c r="U806" s="3" t="s">
        <v>60</v>
      </c>
      <c r="V806" s="14" t="s">
        <v>6</v>
      </c>
      <c r="W806" s="14" t="s">
        <v>4454</v>
      </c>
      <c r="X806" s="14" t="s">
        <v>60</v>
      </c>
    </row>
    <row r="807" spans="1:24" ht="15" x14ac:dyDescent="0.3">
      <c r="A807" s="3">
        <v>68</v>
      </c>
      <c r="B807" s="3" t="s">
        <v>7220</v>
      </c>
      <c r="C807" s="14" t="s">
        <v>0</v>
      </c>
      <c r="D807" s="14" t="s">
        <v>1929</v>
      </c>
      <c r="E807" s="14" t="s">
        <v>7221</v>
      </c>
      <c r="F807" s="14" t="s">
        <v>1930</v>
      </c>
      <c r="G807" s="14" t="s">
        <v>3</v>
      </c>
      <c r="H807" s="14" t="s">
        <v>7222</v>
      </c>
      <c r="I807" s="14" t="s">
        <v>1931</v>
      </c>
      <c r="J807" s="14" t="s">
        <v>60</v>
      </c>
      <c r="K807" s="14" t="s">
        <v>60</v>
      </c>
      <c r="L807" s="14" t="s">
        <v>60</v>
      </c>
      <c r="M807" s="14" t="s">
        <v>1932</v>
      </c>
      <c r="N807" s="14" t="s">
        <v>60</v>
      </c>
      <c r="O807" s="14" t="s">
        <v>261</v>
      </c>
      <c r="P807" s="14" t="s">
        <v>7223</v>
      </c>
      <c r="Q807" s="14" t="s">
        <v>11</v>
      </c>
      <c r="R807" s="3">
        <v>0</v>
      </c>
      <c r="S807" s="3">
        <f t="shared" si="40"/>
        <v>550</v>
      </c>
      <c r="T807" s="3">
        <f t="shared" si="41"/>
        <v>0</v>
      </c>
      <c r="U807" s="3" t="s">
        <v>60</v>
      </c>
      <c r="V807" s="14" t="s">
        <v>4301</v>
      </c>
      <c r="W807" s="14" t="s">
        <v>4202</v>
      </c>
      <c r="X807" s="14" t="s">
        <v>60</v>
      </c>
    </row>
    <row r="808" spans="1:24" ht="15" x14ac:dyDescent="0.3">
      <c r="A808" s="3">
        <v>69</v>
      </c>
      <c r="B808" s="3" t="s">
        <v>7224</v>
      </c>
      <c r="C808" s="14" t="s">
        <v>0</v>
      </c>
      <c r="D808" s="14" t="s">
        <v>1045</v>
      </c>
      <c r="E808" s="14" t="s">
        <v>4864</v>
      </c>
      <c r="F808" s="14" t="s">
        <v>1926</v>
      </c>
      <c r="G808" s="14" t="s">
        <v>3</v>
      </c>
      <c r="H808" s="14" t="s">
        <v>7225</v>
      </c>
      <c r="I808" s="14" t="s">
        <v>1927</v>
      </c>
      <c r="J808" s="14" t="s">
        <v>60</v>
      </c>
      <c r="K808" s="14" t="s">
        <v>60</v>
      </c>
      <c r="L808" s="14" t="s">
        <v>60</v>
      </c>
      <c r="M808" s="14" t="s">
        <v>1928</v>
      </c>
      <c r="N808" s="14" t="s">
        <v>60</v>
      </c>
      <c r="O808" s="14" t="s">
        <v>487</v>
      </c>
      <c r="P808" s="14" t="s">
        <v>7226</v>
      </c>
      <c r="Q808" s="14" t="s">
        <v>11</v>
      </c>
      <c r="R808" s="3">
        <v>0</v>
      </c>
      <c r="S808" s="3">
        <f t="shared" si="40"/>
        <v>550</v>
      </c>
      <c r="T808" s="3">
        <f t="shared" si="41"/>
        <v>0</v>
      </c>
      <c r="U808" s="3" t="s">
        <v>60</v>
      </c>
      <c r="V808" s="14" t="s">
        <v>6</v>
      </c>
      <c r="W808" s="14" t="s">
        <v>7227</v>
      </c>
      <c r="X808" s="14" t="s">
        <v>60</v>
      </c>
    </row>
    <row r="809" spans="1:24" ht="15" x14ac:dyDescent="0.3">
      <c r="A809" s="3">
        <v>70</v>
      </c>
      <c r="B809" s="3" t="s">
        <v>7228</v>
      </c>
      <c r="C809" s="14" t="s">
        <v>0</v>
      </c>
      <c r="D809" s="14" t="s">
        <v>1795</v>
      </c>
      <c r="E809" s="14" t="s">
        <v>7229</v>
      </c>
      <c r="F809" s="14" t="s">
        <v>1796</v>
      </c>
      <c r="G809" s="14" t="s">
        <v>3</v>
      </c>
      <c r="H809" s="14" t="s">
        <v>7230</v>
      </c>
      <c r="I809" s="14" t="s">
        <v>1797</v>
      </c>
      <c r="J809" s="14" t="s">
        <v>60</v>
      </c>
      <c r="K809" s="14" t="s">
        <v>60</v>
      </c>
      <c r="L809" s="14" t="s">
        <v>60</v>
      </c>
      <c r="M809" s="14" t="s">
        <v>1798</v>
      </c>
      <c r="N809" s="14" t="s">
        <v>60</v>
      </c>
      <c r="O809" s="14" t="s">
        <v>261</v>
      </c>
      <c r="P809" s="14" t="s">
        <v>7231</v>
      </c>
      <c r="Q809" s="14" t="s">
        <v>11</v>
      </c>
      <c r="R809" s="3">
        <v>0</v>
      </c>
      <c r="S809" s="3">
        <f t="shared" si="40"/>
        <v>550</v>
      </c>
      <c r="T809" s="3">
        <f t="shared" si="41"/>
        <v>0</v>
      </c>
      <c r="U809" s="3" t="s">
        <v>60</v>
      </c>
      <c r="V809" s="14" t="s">
        <v>4301</v>
      </c>
      <c r="W809" s="14" t="s">
        <v>4202</v>
      </c>
      <c r="X809" s="14" t="s">
        <v>60</v>
      </c>
    </row>
    <row r="810" spans="1:24" ht="15" x14ac:dyDescent="0.3">
      <c r="A810" s="3">
        <v>71</v>
      </c>
      <c r="B810" s="3" t="s">
        <v>7232</v>
      </c>
      <c r="C810" s="14" t="s">
        <v>146</v>
      </c>
      <c r="D810" s="14" t="s">
        <v>420</v>
      </c>
      <c r="E810" s="14" t="s">
        <v>1986</v>
      </c>
      <c r="F810" s="14" t="s">
        <v>1228</v>
      </c>
      <c r="G810" s="14" t="s">
        <v>3</v>
      </c>
      <c r="H810" s="14" t="s">
        <v>1987</v>
      </c>
      <c r="I810" s="14" t="s">
        <v>1988</v>
      </c>
      <c r="J810" s="14" t="s">
        <v>60</v>
      </c>
      <c r="K810" s="14" t="s">
        <v>60</v>
      </c>
      <c r="L810" s="14" t="s">
        <v>60</v>
      </c>
      <c r="M810" s="14" t="s">
        <v>1989</v>
      </c>
      <c r="N810" s="14" t="s">
        <v>60</v>
      </c>
      <c r="O810" s="14" t="s">
        <v>246</v>
      </c>
      <c r="P810" s="14" t="s">
        <v>7233</v>
      </c>
      <c r="Q810" s="14" t="s">
        <v>11</v>
      </c>
      <c r="R810" s="3">
        <v>0</v>
      </c>
      <c r="S810" s="3">
        <f t="shared" si="40"/>
        <v>570</v>
      </c>
      <c r="T810" s="3">
        <f t="shared" si="41"/>
        <v>0</v>
      </c>
      <c r="U810" s="3" t="s">
        <v>60</v>
      </c>
      <c r="V810" s="14" t="s">
        <v>6</v>
      </c>
      <c r="W810" s="14" t="s">
        <v>7234</v>
      </c>
      <c r="X810" s="14" t="s">
        <v>60</v>
      </c>
    </row>
    <row r="811" spans="1:24" ht="15" x14ac:dyDescent="0.3">
      <c r="A811" s="3">
        <v>72</v>
      </c>
      <c r="B811" s="3" t="s">
        <v>1963</v>
      </c>
      <c r="C811" s="14" t="s">
        <v>0</v>
      </c>
      <c r="D811" s="14" t="s">
        <v>236</v>
      </c>
      <c r="E811" s="14" t="s">
        <v>5037</v>
      </c>
      <c r="F811" s="14" t="s">
        <v>1964</v>
      </c>
      <c r="G811" s="14" t="s">
        <v>3</v>
      </c>
      <c r="H811" s="14" t="s">
        <v>7235</v>
      </c>
      <c r="I811" s="14" t="s">
        <v>7236</v>
      </c>
      <c r="J811" s="14" t="s">
        <v>60</v>
      </c>
      <c r="K811" s="14" t="s">
        <v>60</v>
      </c>
      <c r="L811" s="14" t="s">
        <v>60</v>
      </c>
      <c r="M811" s="14" t="s">
        <v>1965</v>
      </c>
      <c r="N811" s="14" t="s">
        <v>60</v>
      </c>
      <c r="O811" s="14" t="s">
        <v>193</v>
      </c>
      <c r="P811" s="14" t="s">
        <v>7237</v>
      </c>
      <c r="Q811" s="14" t="s">
        <v>11</v>
      </c>
      <c r="R811" s="3">
        <v>0</v>
      </c>
      <c r="S811" s="3">
        <f t="shared" si="40"/>
        <v>550</v>
      </c>
      <c r="T811" s="3">
        <f t="shared" si="41"/>
        <v>0</v>
      </c>
      <c r="U811" s="3" t="s">
        <v>60</v>
      </c>
      <c r="V811" s="14" t="s">
        <v>6</v>
      </c>
      <c r="W811" s="14" t="s">
        <v>4287</v>
      </c>
      <c r="X811" s="14" t="s">
        <v>60</v>
      </c>
    </row>
    <row r="812" spans="1:24" ht="15" x14ac:dyDescent="0.3">
      <c r="A812" s="3">
        <v>73</v>
      </c>
      <c r="B812" s="3" t="s">
        <v>1966</v>
      </c>
      <c r="C812" s="14" t="s">
        <v>0</v>
      </c>
      <c r="D812" s="14" t="s">
        <v>1967</v>
      </c>
      <c r="E812" s="14" t="s">
        <v>1968</v>
      </c>
      <c r="F812" s="14" t="s">
        <v>1969</v>
      </c>
      <c r="G812" s="14" t="s">
        <v>3</v>
      </c>
      <c r="H812" s="14" t="s">
        <v>7238</v>
      </c>
      <c r="I812" s="14" t="s">
        <v>7239</v>
      </c>
      <c r="J812" s="14" t="s">
        <v>60</v>
      </c>
      <c r="K812" s="14" t="s">
        <v>60</v>
      </c>
      <c r="L812" s="14" t="s">
        <v>60</v>
      </c>
      <c r="M812" s="14" t="s">
        <v>7240</v>
      </c>
      <c r="N812" s="14" t="s">
        <v>60</v>
      </c>
      <c r="O812" s="14" t="s">
        <v>193</v>
      </c>
      <c r="P812" s="14" t="s">
        <v>7241</v>
      </c>
      <c r="Q812" s="14" t="s">
        <v>1676</v>
      </c>
      <c r="R812" s="3">
        <v>0</v>
      </c>
      <c r="S812" s="3">
        <f t="shared" si="40"/>
        <v>550</v>
      </c>
      <c r="T812" s="3">
        <f t="shared" si="41"/>
        <v>0</v>
      </c>
      <c r="U812" s="3" t="s">
        <v>60</v>
      </c>
      <c r="V812" s="14" t="s">
        <v>6</v>
      </c>
      <c r="W812" s="14" t="s">
        <v>4287</v>
      </c>
      <c r="X812" s="14" t="s">
        <v>60</v>
      </c>
    </row>
    <row r="813" spans="1:24" ht="15" x14ac:dyDescent="0.3">
      <c r="A813" s="3">
        <v>74</v>
      </c>
      <c r="B813" s="3" t="s">
        <v>7242</v>
      </c>
      <c r="C813" s="14" t="s">
        <v>0</v>
      </c>
      <c r="D813" s="14" t="s">
        <v>1933</v>
      </c>
      <c r="E813" s="14" t="s">
        <v>7243</v>
      </c>
      <c r="F813" s="14" t="s">
        <v>1934</v>
      </c>
      <c r="G813" s="14" t="s">
        <v>3</v>
      </c>
      <c r="H813" s="14" t="s">
        <v>7244</v>
      </c>
      <c r="I813" s="14" t="s">
        <v>1935</v>
      </c>
      <c r="J813" s="14" t="s">
        <v>60</v>
      </c>
      <c r="K813" s="14" t="s">
        <v>60</v>
      </c>
      <c r="L813" s="14" t="s">
        <v>60</v>
      </c>
      <c r="M813" s="14" t="s">
        <v>7245</v>
      </c>
      <c r="N813" s="14" t="s">
        <v>60</v>
      </c>
      <c r="O813" s="14" t="s">
        <v>193</v>
      </c>
      <c r="P813" s="14" t="s">
        <v>7246</v>
      </c>
      <c r="Q813" s="14" t="s">
        <v>11</v>
      </c>
      <c r="R813" s="3">
        <v>0</v>
      </c>
      <c r="S813" s="3">
        <f t="shared" si="40"/>
        <v>550</v>
      </c>
      <c r="T813" s="3">
        <f t="shared" si="41"/>
        <v>0</v>
      </c>
      <c r="U813" s="3" t="s">
        <v>60</v>
      </c>
      <c r="V813" s="14" t="s">
        <v>6</v>
      </c>
      <c r="W813" s="14" t="s">
        <v>4287</v>
      </c>
      <c r="X813" s="14" t="s">
        <v>60</v>
      </c>
    </row>
    <row r="814" spans="1:24" ht="15" x14ac:dyDescent="0.3">
      <c r="A814" s="3">
        <v>75</v>
      </c>
      <c r="B814" s="3" t="s">
        <v>7247</v>
      </c>
      <c r="C814" s="14" t="s">
        <v>0</v>
      </c>
      <c r="D814" s="14" t="s">
        <v>1936</v>
      </c>
      <c r="E814" s="14" t="s">
        <v>7248</v>
      </c>
      <c r="F814" s="14" t="s">
        <v>1937</v>
      </c>
      <c r="G814" s="14" t="s">
        <v>3</v>
      </c>
      <c r="H814" s="14" t="s">
        <v>7249</v>
      </c>
      <c r="I814" s="14" t="s">
        <v>1938</v>
      </c>
      <c r="J814" s="14" t="s">
        <v>60</v>
      </c>
      <c r="K814" s="14" t="s">
        <v>60</v>
      </c>
      <c r="L814" s="14" t="s">
        <v>60</v>
      </c>
      <c r="M814" s="14" t="s">
        <v>7250</v>
      </c>
      <c r="N814" s="14" t="s">
        <v>60</v>
      </c>
      <c r="O814" s="14" t="s">
        <v>193</v>
      </c>
      <c r="P814" s="14" t="s">
        <v>7251</v>
      </c>
      <c r="Q814" s="14" t="s">
        <v>11</v>
      </c>
      <c r="R814" s="3">
        <v>0</v>
      </c>
      <c r="S814" s="3">
        <f t="shared" si="40"/>
        <v>550</v>
      </c>
      <c r="T814" s="3">
        <f t="shared" si="41"/>
        <v>0</v>
      </c>
      <c r="U814" s="3" t="s">
        <v>60</v>
      </c>
      <c r="V814" s="14" t="s">
        <v>6</v>
      </c>
      <c r="W814" s="14" t="s">
        <v>4287</v>
      </c>
      <c r="X814" s="14" t="s">
        <v>60</v>
      </c>
    </row>
    <row r="815" spans="1:24" ht="15" x14ac:dyDescent="0.3">
      <c r="A815" s="3">
        <v>76</v>
      </c>
      <c r="B815" s="3" t="s">
        <v>7252</v>
      </c>
      <c r="C815" s="14" t="s">
        <v>0</v>
      </c>
      <c r="D815" s="14" t="s">
        <v>1939</v>
      </c>
      <c r="E815" s="14" t="s">
        <v>7253</v>
      </c>
      <c r="F815" s="14" t="s">
        <v>1940</v>
      </c>
      <c r="G815" s="14" t="s">
        <v>3</v>
      </c>
      <c r="H815" s="14" t="s">
        <v>7254</v>
      </c>
      <c r="I815" s="14" t="s">
        <v>1941</v>
      </c>
      <c r="J815" s="14" t="s">
        <v>60</v>
      </c>
      <c r="K815" s="14" t="s">
        <v>60</v>
      </c>
      <c r="L815" s="14" t="s">
        <v>60</v>
      </c>
      <c r="M815" s="14" t="s">
        <v>60</v>
      </c>
      <c r="N815" s="14" t="s">
        <v>60</v>
      </c>
      <c r="O815" s="14" t="s">
        <v>485</v>
      </c>
      <c r="P815" s="14" t="s">
        <v>7255</v>
      </c>
      <c r="Q815" s="14" t="s">
        <v>1676</v>
      </c>
      <c r="R815" s="3">
        <v>0</v>
      </c>
      <c r="S815" s="3">
        <f t="shared" si="40"/>
        <v>550</v>
      </c>
      <c r="T815" s="3">
        <f t="shared" si="41"/>
        <v>0</v>
      </c>
      <c r="U815" s="3" t="s">
        <v>60</v>
      </c>
      <c r="V815" s="14" t="s">
        <v>6</v>
      </c>
      <c r="W815" s="14" t="s">
        <v>6271</v>
      </c>
      <c r="X815" s="14" t="s">
        <v>60</v>
      </c>
    </row>
    <row r="816" spans="1:24" ht="15" x14ac:dyDescent="0.3">
      <c r="A816" s="3">
        <v>77</v>
      </c>
      <c r="B816" s="3" t="s">
        <v>1942</v>
      </c>
      <c r="C816" s="14" t="s">
        <v>0</v>
      </c>
      <c r="D816" s="14" t="s">
        <v>1943</v>
      </c>
      <c r="E816" s="14" t="s">
        <v>7256</v>
      </c>
      <c r="F816" s="14" t="s">
        <v>1944</v>
      </c>
      <c r="G816" s="14" t="s">
        <v>3</v>
      </c>
      <c r="H816" s="14" t="s">
        <v>7257</v>
      </c>
      <c r="I816" s="14" t="s">
        <v>1945</v>
      </c>
      <c r="J816" s="14" t="s">
        <v>60</v>
      </c>
      <c r="K816" s="14" t="s">
        <v>60</v>
      </c>
      <c r="L816" s="14" t="s">
        <v>60</v>
      </c>
      <c r="M816" s="14" t="s">
        <v>7258</v>
      </c>
      <c r="N816" s="14" t="s">
        <v>60</v>
      </c>
      <c r="O816" s="14" t="s">
        <v>193</v>
      </c>
      <c r="P816" s="14" t="s">
        <v>7259</v>
      </c>
      <c r="Q816" s="14" t="s">
        <v>11</v>
      </c>
      <c r="R816" s="3">
        <v>0</v>
      </c>
      <c r="S816" s="3">
        <f t="shared" si="40"/>
        <v>550</v>
      </c>
      <c r="T816" s="3">
        <f t="shared" si="41"/>
        <v>0</v>
      </c>
      <c r="U816" s="3" t="s">
        <v>60</v>
      </c>
      <c r="V816" s="14" t="s">
        <v>6</v>
      </c>
      <c r="W816" s="14" t="s">
        <v>4287</v>
      </c>
      <c r="X816" s="14" t="s">
        <v>60</v>
      </c>
    </row>
    <row r="817" spans="1:24" ht="15" x14ac:dyDescent="0.3">
      <c r="A817" s="3">
        <v>78</v>
      </c>
      <c r="B817" s="3" t="s">
        <v>1993</v>
      </c>
      <c r="C817" s="14" t="s">
        <v>0</v>
      </c>
      <c r="D817" s="14" t="s">
        <v>1994</v>
      </c>
      <c r="E817" s="14" t="s">
        <v>7260</v>
      </c>
      <c r="F817" s="14" t="s">
        <v>1995</v>
      </c>
      <c r="G817" s="14" t="s">
        <v>3</v>
      </c>
      <c r="H817" s="14" t="s">
        <v>7261</v>
      </c>
      <c r="I817" s="14" t="s">
        <v>7262</v>
      </c>
      <c r="J817" s="14" t="s">
        <v>60</v>
      </c>
      <c r="K817" s="14" t="s">
        <v>60</v>
      </c>
      <c r="L817" s="14" t="s">
        <v>60</v>
      </c>
      <c r="M817" s="14" t="s">
        <v>60</v>
      </c>
      <c r="N817" s="14" t="s">
        <v>60</v>
      </c>
      <c r="O817" s="14" t="s">
        <v>60</v>
      </c>
      <c r="P817" s="14" t="s">
        <v>7263</v>
      </c>
      <c r="Q817" s="14" t="s">
        <v>1996</v>
      </c>
      <c r="R817" s="3">
        <v>0</v>
      </c>
      <c r="S817" s="3">
        <f t="shared" si="40"/>
        <v>550</v>
      </c>
      <c r="T817" s="3">
        <f t="shared" si="41"/>
        <v>0</v>
      </c>
      <c r="U817" s="3" t="s">
        <v>60</v>
      </c>
      <c r="V817" s="14" t="s">
        <v>6</v>
      </c>
      <c r="W817" s="14" t="s">
        <v>4287</v>
      </c>
      <c r="X817" s="14" t="s">
        <v>60</v>
      </c>
    </row>
    <row r="818" spans="1:24" ht="15" x14ac:dyDescent="0.3">
      <c r="A818" s="3">
        <v>79</v>
      </c>
      <c r="B818" s="3" t="s">
        <v>7264</v>
      </c>
      <c r="C818" s="14" t="s">
        <v>0</v>
      </c>
      <c r="D818" s="14" t="s">
        <v>1997</v>
      </c>
      <c r="E818" s="14" t="s">
        <v>1998</v>
      </c>
      <c r="F818" s="14" t="s">
        <v>1999</v>
      </c>
      <c r="G818" s="14" t="s">
        <v>3</v>
      </c>
      <c r="H818" s="14" t="s">
        <v>7265</v>
      </c>
      <c r="I818" s="14" t="s">
        <v>7266</v>
      </c>
      <c r="J818" s="14" t="s">
        <v>60</v>
      </c>
      <c r="K818" s="14" t="s">
        <v>60</v>
      </c>
      <c r="L818" s="14" t="s">
        <v>60</v>
      </c>
      <c r="M818" s="14" t="s">
        <v>60</v>
      </c>
      <c r="N818" s="14" t="s">
        <v>60</v>
      </c>
      <c r="O818" s="14" t="s">
        <v>60</v>
      </c>
      <c r="P818" s="14" t="s">
        <v>7267</v>
      </c>
      <c r="Q818" s="14" t="s">
        <v>588</v>
      </c>
      <c r="R818" s="3">
        <v>0</v>
      </c>
      <c r="S818" s="3">
        <f t="shared" si="40"/>
        <v>550</v>
      </c>
      <c r="T818" s="3">
        <f t="shared" si="41"/>
        <v>0</v>
      </c>
      <c r="U818" s="3" t="s">
        <v>60</v>
      </c>
      <c r="V818" s="14" t="s">
        <v>6</v>
      </c>
      <c r="W818" s="14" t="s">
        <v>4287</v>
      </c>
      <c r="X818" s="14" t="s">
        <v>60</v>
      </c>
    </row>
    <row r="819" spans="1:24" ht="15" x14ac:dyDescent="0.3">
      <c r="A819" s="3">
        <v>80</v>
      </c>
      <c r="B819" s="3" t="s">
        <v>7268</v>
      </c>
      <c r="C819" s="14" t="s">
        <v>0</v>
      </c>
      <c r="D819" s="14" t="s">
        <v>1952</v>
      </c>
      <c r="E819" s="14" t="s">
        <v>4293</v>
      </c>
      <c r="F819" s="14" t="s">
        <v>1953</v>
      </c>
      <c r="G819" s="14" t="s">
        <v>3</v>
      </c>
      <c r="H819" s="14" t="s">
        <v>7269</v>
      </c>
      <c r="I819" s="14" t="s">
        <v>1954</v>
      </c>
      <c r="J819" s="14" t="s">
        <v>60</v>
      </c>
      <c r="K819" s="14" t="s">
        <v>60</v>
      </c>
      <c r="L819" s="14" t="s">
        <v>60</v>
      </c>
      <c r="M819" s="14" t="s">
        <v>1955</v>
      </c>
      <c r="N819" s="14" t="s">
        <v>60</v>
      </c>
      <c r="O819" s="14" t="s">
        <v>255</v>
      </c>
      <c r="P819" s="14" t="s">
        <v>7270</v>
      </c>
      <c r="Q819" s="14" t="s">
        <v>11</v>
      </c>
      <c r="R819" s="3">
        <v>0</v>
      </c>
      <c r="S819" s="3">
        <f t="shared" si="40"/>
        <v>550</v>
      </c>
      <c r="T819" s="3">
        <f t="shared" si="41"/>
        <v>0</v>
      </c>
      <c r="U819" s="3" t="s">
        <v>60</v>
      </c>
      <c r="V819" s="14" t="s">
        <v>4208</v>
      </c>
      <c r="W819" s="14" t="s">
        <v>5223</v>
      </c>
      <c r="X819" s="14" t="s">
        <v>60</v>
      </c>
    </row>
    <row r="820" spans="1:24" ht="15" x14ac:dyDescent="0.3">
      <c r="A820" s="3">
        <v>81</v>
      </c>
      <c r="B820" s="3" t="s">
        <v>7271</v>
      </c>
      <c r="C820" s="14" t="s">
        <v>0</v>
      </c>
      <c r="D820" s="14" t="s">
        <v>1956</v>
      </c>
      <c r="E820" s="14" t="s">
        <v>7272</v>
      </c>
      <c r="F820" s="14" t="s">
        <v>1916</v>
      </c>
      <c r="G820" s="14" t="s">
        <v>3</v>
      </c>
      <c r="H820" s="14" t="s">
        <v>7273</v>
      </c>
      <c r="I820" s="14" t="s">
        <v>1957</v>
      </c>
      <c r="J820" s="14" t="s">
        <v>60</v>
      </c>
      <c r="K820" s="14" t="s">
        <v>60</v>
      </c>
      <c r="L820" s="14" t="s">
        <v>60</v>
      </c>
      <c r="M820" s="14" t="s">
        <v>7274</v>
      </c>
      <c r="N820" s="14" t="s">
        <v>60</v>
      </c>
      <c r="O820" s="14" t="s">
        <v>193</v>
      </c>
      <c r="P820" s="14" t="s">
        <v>7275</v>
      </c>
      <c r="Q820" s="14" t="s">
        <v>11</v>
      </c>
      <c r="R820" s="3">
        <v>0</v>
      </c>
      <c r="S820" s="3">
        <f t="shared" si="40"/>
        <v>550</v>
      </c>
      <c r="T820" s="3">
        <f t="shared" si="41"/>
        <v>0</v>
      </c>
      <c r="U820" s="3" t="s">
        <v>60</v>
      </c>
      <c r="V820" s="14" t="s">
        <v>6</v>
      </c>
      <c r="W820" s="14" t="s">
        <v>4287</v>
      </c>
      <c r="X820" s="14" t="s">
        <v>60</v>
      </c>
    </row>
    <row r="821" spans="1:24" ht="15" x14ac:dyDescent="0.3">
      <c r="A821" s="3">
        <v>82</v>
      </c>
      <c r="B821" s="3" t="s">
        <v>7276</v>
      </c>
      <c r="C821" s="14" t="s">
        <v>2079</v>
      </c>
      <c r="D821" s="14" t="s">
        <v>1970</v>
      </c>
      <c r="E821" s="14" t="s">
        <v>4216</v>
      </c>
      <c r="F821" s="14" t="s">
        <v>1971</v>
      </c>
      <c r="G821" s="14" t="s">
        <v>3</v>
      </c>
      <c r="H821" s="14" t="s">
        <v>1972</v>
      </c>
      <c r="I821" s="14" t="s">
        <v>1973</v>
      </c>
      <c r="J821" s="14" t="s">
        <v>60</v>
      </c>
      <c r="K821" s="14" t="s">
        <v>60</v>
      </c>
      <c r="L821" s="14" t="s">
        <v>60</v>
      </c>
      <c r="M821" s="14" t="s">
        <v>7277</v>
      </c>
      <c r="N821" s="14" t="s">
        <v>60</v>
      </c>
      <c r="O821" s="14" t="s">
        <v>193</v>
      </c>
      <c r="P821" s="14" t="s">
        <v>7278</v>
      </c>
      <c r="Q821" s="14" t="s">
        <v>11</v>
      </c>
      <c r="R821" s="3">
        <v>0</v>
      </c>
      <c r="S821" s="3">
        <f t="shared" si="40"/>
        <v>640</v>
      </c>
      <c r="T821" s="3">
        <f t="shared" si="41"/>
        <v>0</v>
      </c>
      <c r="U821" s="3" t="s">
        <v>7279</v>
      </c>
      <c r="V821" s="14" t="s">
        <v>6</v>
      </c>
      <c r="W821" s="14" t="s">
        <v>4287</v>
      </c>
      <c r="X821" s="14" t="s">
        <v>60</v>
      </c>
    </row>
    <row r="822" spans="1:24" ht="15" x14ac:dyDescent="0.3">
      <c r="A822" s="3">
        <v>83</v>
      </c>
      <c r="B822" s="3" t="s">
        <v>7280</v>
      </c>
      <c r="C822" s="14" t="s">
        <v>26</v>
      </c>
      <c r="D822" s="14" t="s">
        <v>1990</v>
      </c>
      <c r="E822" s="14" t="s">
        <v>7281</v>
      </c>
      <c r="F822" s="14" t="s">
        <v>1991</v>
      </c>
      <c r="G822" s="14" t="s">
        <v>3</v>
      </c>
      <c r="H822" s="14" t="s">
        <v>7282</v>
      </c>
      <c r="I822" s="14" t="s">
        <v>1992</v>
      </c>
      <c r="J822" s="14" t="s">
        <v>60</v>
      </c>
      <c r="K822" s="14" t="s">
        <v>60</v>
      </c>
      <c r="L822" s="14" t="s">
        <v>60</v>
      </c>
      <c r="M822" s="14" t="s">
        <v>60</v>
      </c>
      <c r="N822" s="14" t="s">
        <v>60</v>
      </c>
      <c r="O822" s="14" t="s">
        <v>1980</v>
      </c>
      <c r="P822" s="14" t="s">
        <v>7283</v>
      </c>
      <c r="Q822" s="14" t="s">
        <v>11</v>
      </c>
      <c r="R822" s="3">
        <v>0</v>
      </c>
      <c r="S822" s="3">
        <f t="shared" si="40"/>
        <v>770</v>
      </c>
      <c r="T822" s="3">
        <f t="shared" si="41"/>
        <v>0</v>
      </c>
      <c r="U822" s="3" t="s">
        <v>60</v>
      </c>
      <c r="V822" s="14" t="s">
        <v>6</v>
      </c>
      <c r="W822" s="14" t="s">
        <v>4557</v>
      </c>
      <c r="X822" s="14" t="s">
        <v>60</v>
      </c>
    </row>
    <row r="823" spans="1:24" ht="15" x14ac:dyDescent="0.3">
      <c r="A823" s="3">
        <v>84</v>
      </c>
      <c r="B823" s="3" t="s">
        <v>7284</v>
      </c>
      <c r="C823" s="14" t="s">
        <v>0</v>
      </c>
      <c r="D823" s="14" t="s">
        <v>1978</v>
      </c>
      <c r="E823" s="14" t="s">
        <v>7285</v>
      </c>
      <c r="F823" s="14" t="s">
        <v>7286</v>
      </c>
      <c r="G823" s="14" t="s">
        <v>121</v>
      </c>
      <c r="H823" s="14" t="s">
        <v>7287</v>
      </c>
      <c r="I823" s="14" t="s">
        <v>1979</v>
      </c>
      <c r="J823" s="14" t="s">
        <v>60</v>
      </c>
      <c r="K823" s="14" t="s">
        <v>60</v>
      </c>
      <c r="L823" s="14" t="s">
        <v>60</v>
      </c>
      <c r="M823" s="14" t="s">
        <v>60</v>
      </c>
      <c r="N823" s="14" t="s">
        <v>60</v>
      </c>
      <c r="O823" s="14" t="s">
        <v>1980</v>
      </c>
      <c r="P823" s="14" t="s">
        <v>7288</v>
      </c>
      <c r="Q823" s="14" t="s">
        <v>11</v>
      </c>
      <c r="R823" s="3">
        <v>0</v>
      </c>
      <c r="S823" s="3">
        <f t="shared" si="40"/>
        <v>550</v>
      </c>
      <c r="T823" s="3">
        <f t="shared" si="41"/>
        <v>0</v>
      </c>
      <c r="U823" s="3" t="s">
        <v>60</v>
      </c>
      <c r="V823" s="14" t="s">
        <v>6</v>
      </c>
      <c r="W823" s="14" t="s">
        <v>4557</v>
      </c>
      <c r="X823" s="14" t="s">
        <v>60</v>
      </c>
    </row>
    <row r="824" spans="1:24" ht="15" x14ac:dyDescent="0.3">
      <c r="A824" s="3">
        <v>85</v>
      </c>
      <c r="B824" s="3" t="s">
        <v>7289</v>
      </c>
      <c r="C824" s="14" t="s">
        <v>0</v>
      </c>
      <c r="D824" s="14" t="s">
        <v>2000</v>
      </c>
      <c r="E824" s="14" t="s">
        <v>7290</v>
      </c>
      <c r="F824" s="14" t="s">
        <v>2001</v>
      </c>
      <c r="G824" s="14" t="s">
        <v>3</v>
      </c>
      <c r="H824" s="14" t="s">
        <v>2002</v>
      </c>
      <c r="I824" s="14" t="s">
        <v>2003</v>
      </c>
      <c r="J824" s="14" t="s">
        <v>60</v>
      </c>
      <c r="K824" s="14" t="s">
        <v>60</v>
      </c>
      <c r="L824" s="14" t="s">
        <v>60</v>
      </c>
      <c r="M824" s="14" t="s">
        <v>2004</v>
      </c>
      <c r="N824" s="14" t="s">
        <v>60</v>
      </c>
      <c r="O824" s="14" t="s">
        <v>60</v>
      </c>
      <c r="P824" s="14" t="s">
        <v>7291</v>
      </c>
      <c r="Q824" s="14" t="s">
        <v>11</v>
      </c>
      <c r="R824" s="3">
        <v>0</v>
      </c>
      <c r="S824" s="3">
        <f t="shared" si="40"/>
        <v>550</v>
      </c>
      <c r="T824" s="3">
        <f t="shared" si="41"/>
        <v>0</v>
      </c>
      <c r="U824" s="3" t="s">
        <v>60</v>
      </c>
      <c r="V824" s="14" t="s">
        <v>6</v>
      </c>
      <c r="W824" s="14" t="s">
        <v>4634</v>
      </c>
      <c r="X824" s="14" t="s">
        <v>60</v>
      </c>
    </row>
    <row r="825" spans="1:24" ht="15" x14ac:dyDescent="0.3">
      <c r="A825" s="3">
        <v>86</v>
      </c>
      <c r="B825" s="3" t="s">
        <v>7292</v>
      </c>
      <c r="C825" s="14" t="s">
        <v>0</v>
      </c>
      <c r="D825" s="14" t="s">
        <v>3533</v>
      </c>
      <c r="E825" s="30">
        <v>37846</v>
      </c>
      <c r="F825" s="14" t="s">
        <v>3538</v>
      </c>
      <c r="G825" s="14" t="s">
        <v>3</v>
      </c>
      <c r="H825" s="14" t="s">
        <v>7293</v>
      </c>
      <c r="I825" s="14" t="s">
        <v>3652</v>
      </c>
      <c r="J825" s="14" t="s">
        <v>60</v>
      </c>
      <c r="K825" s="14" t="s">
        <v>60</v>
      </c>
      <c r="L825" s="14" t="s">
        <v>60</v>
      </c>
      <c r="M825" s="14" t="s">
        <v>3653</v>
      </c>
      <c r="N825" s="14" t="s">
        <v>60</v>
      </c>
      <c r="O825" s="14" t="s">
        <v>60</v>
      </c>
      <c r="P825" s="14" t="s">
        <v>7294</v>
      </c>
      <c r="Q825" s="14" t="s">
        <v>3531</v>
      </c>
      <c r="R825" s="3">
        <v>0</v>
      </c>
      <c r="S825" s="3">
        <f t="shared" si="40"/>
        <v>550</v>
      </c>
      <c r="T825" s="3">
        <f t="shared" si="41"/>
        <v>0</v>
      </c>
      <c r="U825" s="3" t="s">
        <v>60</v>
      </c>
      <c r="V825" s="14" t="s">
        <v>6</v>
      </c>
      <c r="W825" s="14" t="s">
        <v>7295</v>
      </c>
      <c r="X825" s="14" t="s">
        <v>60</v>
      </c>
    </row>
    <row r="826" spans="1:24" ht="15" x14ac:dyDescent="0.3">
      <c r="A826" s="3">
        <v>87</v>
      </c>
      <c r="B826" s="3" t="s">
        <v>7296</v>
      </c>
      <c r="C826" s="14" t="s">
        <v>0</v>
      </c>
      <c r="D826" s="14" t="s">
        <v>1017</v>
      </c>
      <c r="E826" s="14" t="s">
        <v>7297</v>
      </c>
      <c r="F826" s="14" t="s">
        <v>3968</v>
      </c>
      <c r="G826" s="14" t="s">
        <v>3</v>
      </c>
      <c r="H826" s="14" t="s">
        <v>7298</v>
      </c>
      <c r="I826" s="14" t="s">
        <v>3974</v>
      </c>
      <c r="J826" s="14" t="s">
        <v>60</v>
      </c>
      <c r="K826" s="14" t="s">
        <v>60</v>
      </c>
      <c r="L826" s="14" t="s">
        <v>60</v>
      </c>
      <c r="M826" s="14" t="s">
        <v>3969</v>
      </c>
      <c r="N826" s="14" t="s">
        <v>60</v>
      </c>
      <c r="O826" s="14" t="s">
        <v>3910</v>
      </c>
      <c r="P826" s="14" t="s">
        <v>7299</v>
      </c>
      <c r="Q826" s="14" t="s">
        <v>11</v>
      </c>
      <c r="R826" s="3">
        <v>0</v>
      </c>
      <c r="S826" s="3">
        <f t="shared" si="40"/>
        <v>550</v>
      </c>
      <c r="T826" s="3">
        <f t="shared" si="41"/>
        <v>0</v>
      </c>
      <c r="U826" s="3" t="s">
        <v>60</v>
      </c>
      <c r="V826" s="14" t="s">
        <v>6</v>
      </c>
      <c r="W826" s="14" t="s">
        <v>7300</v>
      </c>
      <c r="X826" s="14" t="s">
        <v>60</v>
      </c>
    </row>
    <row r="827" spans="1:24" ht="15" x14ac:dyDescent="0.3">
      <c r="A827" s="3">
        <v>88</v>
      </c>
      <c r="B827" s="3" t="s">
        <v>7301</v>
      </c>
      <c r="C827" s="14" t="s">
        <v>0</v>
      </c>
      <c r="D827" s="14" t="s">
        <v>3970</v>
      </c>
      <c r="E827" s="14" t="s">
        <v>7302</v>
      </c>
      <c r="F827" s="14" t="s">
        <v>3971</v>
      </c>
      <c r="G827" s="14" t="s">
        <v>3</v>
      </c>
      <c r="H827" s="14" t="s">
        <v>7303</v>
      </c>
      <c r="I827" s="14" t="s">
        <v>3975</v>
      </c>
      <c r="J827" s="14" t="s">
        <v>60</v>
      </c>
      <c r="K827" s="14" t="s">
        <v>60</v>
      </c>
      <c r="L827" s="14" t="s">
        <v>60</v>
      </c>
      <c r="M827" s="14" t="s">
        <v>3972</v>
      </c>
      <c r="N827" s="14" t="s">
        <v>60</v>
      </c>
      <c r="O827" s="14" t="s">
        <v>3910</v>
      </c>
      <c r="P827" s="14" t="s">
        <v>7304</v>
      </c>
      <c r="Q827" s="14" t="s">
        <v>11</v>
      </c>
      <c r="R827" s="3">
        <v>0</v>
      </c>
      <c r="S827" s="3">
        <f t="shared" si="40"/>
        <v>550</v>
      </c>
      <c r="T827" s="3">
        <f t="shared" si="41"/>
        <v>0</v>
      </c>
      <c r="U827" s="3" t="s">
        <v>60</v>
      </c>
      <c r="V827" s="14" t="s">
        <v>6</v>
      </c>
      <c r="W827" s="14" t="s">
        <v>7300</v>
      </c>
      <c r="X827" s="14" t="s">
        <v>60</v>
      </c>
    </row>
    <row r="828" spans="1:24" ht="15" x14ac:dyDescent="0.3">
      <c r="A828" s="3">
        <v>89</v>
      </c>
      <c r="B828" s="3" t="s">
        <v>7305</v>
      </c>
      <c r="C828" s="14" t="s">
        <v>0</v>
      </c>
      <c r="D828" s="14" t="s">
        <v>3973</v>
      </c>
      <c r="E828" s="14" t="s">
        <v>7306</v>
      </c>
      <c r="F828" s="14" t="s">
        <v>3971</v>
      </c>
      <c r="G828" s="14" t="s">
        <v>121</v>
      </c>
      <c r="H828" s="14" t="s">
        <v>7307</v>
      </c>
      <c r="I828" s="14" t="s">
        <v>3976</v>
      </c>
      <c r="J828" s="14" t="s">
        <v>60</v>
      </c>
      <c r="K828" s="14" t="s">
        <v>60</v>
      </c>
      <c r="L828" s="14" t="s">
        <v>60</v>
      </c>
      <c r="M828" s="14" t="s">
        <v>60</v>
      </c>
      <c r="N828" s="14" t="s">
        <v>60</v>
      </c>
      <c r="O828" s="14" t="s">
        <v>3910</v>
      </c>
      <c r="P828" s="14" t="s">
        <v>7308</v>
      </c>
      <c r="Q828" s="14" t="s">
        <v>11</v>
      </c>
      <c r="R828" s="3">
        <v>0</v>
      </c>
      <c r="S828" s="3">
        <f t="shared" si="40"/>
        <v>550</v>
      </c>
      <c r="T828" s="3">
        <f t="shared" si="41"/>
        <v>0</v>
      </c>
      <c r="U828" s="3" t="s">
        <v>60</v>
      </c>
      <c r="V828" s="14" t="s">
        <v>6</v>
      </c>
      <c r="W828" s="14" t="s">
        <v>7300</v>
      </c>
      <c r="X828" s="14" t="s">
        <v>60</v>
      </c>
    </row>
    <row r="829" spans="1:24" ht="15" x14ac:dyDescent="0.3">
      <c r="A829" s="3">
        <v>90</v>
      </c>
      <c r="B829" s="3" t="s">
        <v>7309</v>
      </c>
      <c r="C829" s="32" t="s">
        <v>354</v>
      </c>
      <c r="D829" s="14" t="s">
        <v>2169</v>
      </c>
      <c r="E829" s="14" t="s">
        <v>5390</v>
      </c>
      <c r="F829" s="14" t="s">
        <v>2170</v>
      </c>
      <c r="G829" s="14" t="s">
        <v>3</v>
      </c>
      <c r="H829" s="14" t="s">
        <v>7310</v>
      </c>
      <c r="I829" s="14" t="s">
        <v>7311</v>
      </c>
      <c r="J829" s="14" t="s">
        <v>60</v>
      </c>
      <c r="K829" s="14" t="s">
        <v>60</v>
      </c>
      <c r="L829" s="14" t="s">
        <v>60</v>
      </c>
      <c r="M829" s="14" t="s">
        <v>2171</v>
      </c>
      <c r="N829" s="14" t="s">
        <v>60</v>
      </c>
      <c r="O829" s="14" t="s">
        <v>60</v>
      </c>
      <c r="P829" s="14" t="s">
        <v>7312</v>
      </c>
      <c r="Q829" s="14" t="s">
        <v>11</v>
      </c>
      <c r="R829" s="3">
        <v>0</v>
      </c>
      <c r="S829" s="3">
        <f t="shared" si="40"/>
        <v>550</v>
      </c>
      <c r="T829" s="3">
        <f t="shared" si="41"/>
        <v>0</v>
      </c>
      <c r="U829" s="3" t="s">
        <v>60</v>
      </c>
      <c r="V829" s="14" t="s">
        <v>6</v>
      </c>
      <c r="W829" s="14" t="s">
        <v>4287</v>
      </c>
      <c r="X829" s="14" t="s">
        <v>60</v>
      </c>
    </row>
    <row r="830" spans="1:24" ht="15.6" x14ac:dyDescent="0.3">
      <c r="A830" s="3">
        <v>91</v>
      </c>
      <c r="B830" s="25" t="s">
        <v>7313</v>
      </c>
      <c r="C830" s="14" t="s">
        <v>0</v>
      </c>
      <c r="D830" s="14" t="s">
        <v>4114</v>
      </c>
      <c r="E830" s="14" t="s">
        <v>7314</v>
      </c>
      <c r="F830" s="14" t="s">
        <v>4115</v>
      </c>
      <c r="G830" s="14" t="s">
        <v>3</v>
      </c>
      <c r="H830" s="14" t="s">
        <v>7315</v>
      </c>
      <c r="I830" s="14" t="s">
        <v>7316</v>
      </c>
      <c r="J830" s="14" t="s">
        <v>60</v>
      </c>
      <c r="K830" s="14" t="s">
        <v>60</v>
      </c>
      <c r="L830" s="14" t="s">
        <v>60</v>
      </c>
      <c r="M830" s="14" t="s">
        <v>7317</v>
      </c>
      <c r="N830" s="14" t="s">
        <v>60</v>
      </c>
      <c r="O830" s="14" t="s">
        <v>60</v>
      </c>
      <c r="P830" s="14" t="s">
        <v>7318</v>
      </c>
      <c r="Q830" s="14" t="s">
        <v>4116</v>
      </c>
      <c r="R830" s="3">
        <v>0</v>
      </c>
      <c r="S830" s="3">
        <f t="shared" si="40"/>
        <v>550</v>
      </c>
      <c r="T830" s="3">
        <f t="shared" si="41"/>
        <v>0</v>
      </c>
      <c r="U830" s="3" t="s">
        <v>60</v>
      </c>
      <c r="V830" s="14" t="s">
        <v>6</v>
      </c>
      <c r="W830" s="14" t="s">
        <v>7319</v>
      </c>
      <c r="X830" s="14" t="s">
        <v>60</v>
      </c>
    </row>
    <row r="831" spans="1:24" ht="15.6" x14ac:dyDescent="0.3">
      <c r="A831" s="3">
        <v>92</v>
      </c>
      <c r="B831" s="25" t="s">
        <v>7320</v>
      </c>
      <c r="C831" s="14" t="s">
        <v>0</v>
      </c>
      <c r="D831" s="14" t="s">
        <v>4117</v>
      </c>
      <c r="E831" s="14" t="s">
        <v>4319</v>
      </c>
      <c r="F831" s="14" t="s">
        <v>4118</v>
      </c>
      <c r="G831" s="14" t="s">
        <v>3</v>
      </c>
      <c r="H831" s="14" t="s">
        <v>7321</v>
      </c>
      <c r="I831" s="14" t="s">
        <v>7322</v>
      </c>
      <c r="J831" s="14" t="s">
        <v>60</v>
      </c>
      <c r="K831" s="14" t="s">
        <v>60</v>
      </c>
      <c r="L831" s="14" t="s">
        <v>60</v>
      </c>
      <c r="M831" s="14" t="s">
        <v>7323</v>
      </c>
      <c r="N831" s="14" t="s">
        <v>60</v>
      </c>
      <c r="O831" s="14" t="s">
        <v>60</v>
      </c>
      <c r="P831" s="14" t="s">
        <v>7324</v>
      </c>
      <c r="Q831" s="14" t="s">
        <v>11</v>
      </c>
      <c r="R831" s="3">
        <v>0</v>
      </c>
      <c r="S831" s="3">
        <f t="shared" si="40"/>
        <v>550</v>
      </c>
      <c r="T831" s="3">
        <f t="shared" si="41"/>
        <v>0</v>
      </c>
      <c r="U831" s="3" t="s">
        <v>60</v>
      </c>
      <c r="V831" s="14" t="s">
        <v>6</v>
      </c>
      <c r="W831" s="14" t="s">
        <v>7319</v>
      </c>
      <c r="X831" s="14" t="s">
        <v>60</v>
      </c>
    </row>
    <row r="832" spans="1:24" ht="15.6" x14ac:dyDescent="0.3">
      <c r="A832" s="3">
        <v>93</v>
      </c>
      <c r="B832" s="25" t="s">
        <v>7325</v>
      </c>
      <c r="C832" s="14" t="s">
        <v>0</v>
      </c>
      <c r="D832" s="14" t="s">
        <v>4119</v>
      </c>
      <c r="E832" s="14" t="s">
        <v>5390</v>
      </c>
      <c r="F832" s="14" t="s">
        <v>4120</v>
      </c>
      <c r="G832" s="14" t="s">
        <v>3</v>
      </c>
      <c r="H832" s="14" t="s">
        <v>7326</v>
      </c>
      <c r="I832" s="14" t="s">
        <v>7327</v>
      </c>
      <c r="J832" s="14" t="s">
        <v>60</v>
      </c>
      <c r="K832" s="14" t="s">
        <v>60</v>
      </c>
      <c r="L832" s="14" t="s">
        <v>60</v>
      </c>
      <c r="M832" s="14" t="s">
        <v>7328</v>
      </c>
      <c r="N832" s="14" t="s">
        <v>60</v>
      </c>
      <c r="O832" s="14" t="s">
        <v>60</v>
      </c>
      <c r="P832" s="14" t="s">
        <v>7329</v>
      </c>
      <c r="Q832" s="14" t="s">
        <v>11</v>
      </c>
      <c r="R832" s="3">
        <v>0</v>
      </c>
      <c r="S832" s="3">
        <f t="shared" si="40"/>
        <v>550</v>
      </c>
      <c r="T832" s="3">
        <f t="shared" si="41"/>
        <v>0</v>
      </c>
      <c r="U832" s="3" t="s">
        <v>60</v>
      </c>
      <c r="V832" s="14" t="s">
        <v>6</v>
      </c>
      <c r="W832" s="14" t="s">
        <v>7319</v>
      </c>
      <c r="X832" s="14" t="s">
        <v>60</v>
      </c>
    </row>
    <row r="833" spans="1:24" ht="15.6" x14ac:dyDescent="0.3">
      <c r="A833" s="3">
        <v>94</v>
      </c>
      <c r="B833" s="25" t="s">
        <v>7330</v>
      </c>
      <c r="C833" s="14" t="s">
        <v>0</v>
      </c>
      <c r="D833" s="14" t="s">
        <v>4121</v>
      </c>
      <c r="E833" s="14" t="s">
        <v>7331</v>
      </c>
      <c r="F833" s="14" t="s">
        <v>4122</v>
      </c>
      <c r="G833" s="14" t="s">
        <v>3</v>
      </c>
      <c r="H833" s="14" t="s">
        <v>4123</v>
      </c>
      <c r="I833" s="14" t="s">
        <v>7332</v>
      </c>
      <c r="J833" s="14" t="s">
        <v>60</v>
      </c>
      <c r="K833" s="14" t="s">
        <v>60</v>
      </c>
      <c r="L833" s="14" t="s">
        <v>60</v>
      </c>
      <c r="M833" s="14" t="s">
        <v>7333</v>
      </c>
      <c r="N833" s="14" t="s">
        <v>60</v>
      </c>
      <c r="O833" s="14" t="s">
        <v>60</v>
      </c>
      <c r="P833" s="14" t="s">
        <v>7334</v>
      </c>
      <c r="Q833" s="14" t="s">
        <v>174</v>
      </c>
      <c r="R833" s="3">
        <v>0</v>
      </c>
      <c r="S833" s="3">
        <f t="shared" si="40"/>
        <v>550</v>
      </c>
      <c r="T833" s="3">
        <f t="shared" si="41"/>
        <v>0</v>
      </c>
      <c r="U833" s="3" t="s">
        <v>7335</v>
      </c>
      <c r="V833" s="14" t="s">
        <v>6</v>
      </c>
      <c r="W833" s="14" t="s">
        <v>7319</v>
      </c>
      <c r="X833" s="14" t="s">
        <v>60</v>
      </c>
    </row>
    <row r="834" spans="1:24" ht="15.6" x14ac:dyDescent="0.3">
      <c r="A834" s="26" t="s">
        <v>60</v>
      </c>
      <c r="B834" s="26" t="s">
        <v>60</v>
      </c>
      <c r="C834" s="27" t="s">
        <v>60</v>
      </c>
      <c r="D834" s="27" t="s">
        <v>60</v>
      </c>
      <c r="E834" s="27" t="s">
        <v>60</v>
      </c>
      <c r="F834" s="27" t="s">
        <v>60</v>
      </c>
      <c r="G834" s="27" t="s">
        <v>60</v>
      </c>
      <c r="H834" s="27" t="s">
        <v>60</v>
      </c>
      <c r="I834" s="27" t="s">
        <v>60</v>
      </c>
      <c r="J834" s="27" t="s">
        <v>60</v>
      </c>
      <c r="K834" s="27" t="s">
        <v>60</v>
      </c>
      <c r="L834" s="27" t="s">
        <v>60</v>
      </c>
      <c r="M834" s="27" t="s">
        <v>60</v>
      </c>
      <c r="N834" s="27" t="s">
        <v>60</v>
      </c>
      <c r="O834" s="27" t="s">
        <v>60</v>
      </c>
      <c r="P834" s="27" t="s">
        <v>60</v>
      </c>
      <c r="Q834" s="27" t="s">
        <v>60</v>
      </c>
      <c r="R834" s="35" t="s">
        <v>2009</v>
      </c>
      <c r="S834" s="35" t="s">
        <v>60</v>
      </c>
      <c r="T834" s="26">
        <f>SUM(T739:T833)</f>
        <v>0</v>
      </c>
      <c r="U834" s="26" t="s">
        <v>7336</v>
      </c>
      <c r="V834" s="27" t="s">
        <v>60</v>
      </c>
      <c r="W834" s="27" t="s">
        <v>60</v>
      </c>
      <c r="X834" s="27" t="s">
        <v>60</v>
      </c>
    </row>
    <row r="835" spans="1:24" ht="15.6" x14ac:dyDescent="0.3">
      <c r="A835" s="34" t="s">
        <v>7337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 spans="1:24" ht="109.2" x14ac:dyDescent="0.3">
      <c r="A836" s="23" t="s">
        <v>42</v>
      </c>
      <c r="B836" s="23" t="s">
        <v>43</v>
      </c>
      <c r="C836" s="24" t="s">
        <v>44</v>
      </c>
      <c r="D836" s="24" t="s">
        <v>4154</v>
      </c>
      <c r="E836" s="24" t="s">
        <v>4155</v>
      </c>
      <c r="F836" s="24" t="s">
        <v>4156</v>
      </c>
      <c r="G836" s="24" t="s">
        <v>45</v>
      </c>
      <c r="H836" s="24" t="s">
        <v>4157</v>
      </c>
      <c r="I836" s="24" t="s">
        <v>46</v>
      </c>
      <c r="J836" s="24" t="s">
        <v>4158</v>
      </c>
      <c r="K836" s="24" t="s">
        <v>4159</v>
      </c>
      <c r="L836" s="24" t="s">
        <v>4160</v>
      </c>
      <c r="M836" s="24" t="s">
        <v>4161</v>
      </c>
      <c r="N836" s="24" t="s">
        <v>47</v>
      </c>
      <c r="O836" s="24" t="s">
        <v>48</v>
      </c>
      <c r="P836" s="24" t="s">
        <v>49</v>
      </c>
      <c r="Q836" s="24" t="s">
        <v>50</v>
      </c>
      <c r="R836" s="23" t="s">
        <v>4162</v>
      </c>
      <c r="S836" s="23" t="s">
        <v>4163</v>
      </c>
      <c r="T836" s="23" t="s">
        <v>4164</v>
      </c>
      <c r="U836" s="23" t="s">
        <v>4165</v>
      </c>
      <c r="V836" s="24" t="s">
        <v>51</v>
      </c>
      <c r="W836" s="24" t="s">
        <v>52</v>
      </c>
      <c r="X836" s="24" t="s">
        <v>53</v>
      </c>
    </row>
    <row r="837" spans="1:24" ht="15" x14ac:dyDescent="0.3">
      <c r="A837" s="3">
        <v>1</v>
      </c>
      <c r="B837" s="3" t="s">
        <v>7338</v>
      </c>
      <c r="C837" s="14" t="s">
        <v>69</v>
      </c>
      <c r="D837" s="14" t="s">
        <v>1726</v>
      </c>
      <c r="E837" s="14" t="s">
        <v>5390</v>
      </c>
      <c r="F837" s="14" t="s">
        <v>1727</v>
      </c>
      <c r="G837" s="14" t="s">
        <v>3</v>
      </c>
      <c r="H837" s="14" t="s">
        <v>7339</v>
      </c>
      <c r="I837" s="14" t="s">
        <v>1728</v>
      </c>
      <c r="J837" s="14" t="s">
        <v>60</v>
      </c>
      <c r="K837" s="14" t="s">
        <v>60</v>
      </c>
      <c r="L837" s="14" t="s">
        <v>60</v>
      </c>
      <c r="M837" s="14" t="s">
        <v>7340</v>
      </c>
      <c r="N837" s="14" t="s">
        <v>60</v>
      </c>
      <c r="O837" s="14" t="s">
        <v>193</v>
      </c>
      <c r="P837" s="14" t="s">
        <v>7341</v>
      </c>
      <c r="Q837" s="14" t="s">
        <v>11</v>
      </c>
      <c r="R837" s="3">
        <v>0</v>
      </c>
      <c r="S837" s="3">
        <f t="shared" ref="S837:S846" si="42">IF(RIGHT(C837,3)="MAZ",550,IF(RIGHT(C837,4)="MATE",570,IF(RIGHT(C837,7)="SKD-III",640,IF(RIGHT(C837,6)="SKD-II",770,IF(RIGHT(C837,5)="SKD-I",900,IF(RIGHT(C837,5)="CPDVR",770,""))))))</f>
        <v>570</v>
      </c>
      <c r="T837" s="3">
        <f t="shared" ref="T837:T846" si="43">R837*S837</f>
        <v>0</v>
      </c>
      <c r="U837" s="3" t="s">
        <v>60</v>
      </c>
      <c r="V837" s="14" t="s">
        <v>6</v>
      </c>
      <c r="W837" s="14" t="s">
        <v>4287</v>
      </c>
      <c r="X837" s="14" t="s">
        <v>60</v>
      </c>
    </row>
    <row r="838" spans="1:24" ht="15" x14ac:dyDescent="0.3">
      <c r="A838" s="3">
        <v>2</v>
      </c>
      <c r="B838" s="3" t="s">
        <v>7342</v>
      </c>
      <c r="C838" s="14" t="s">
        <v>0</v>
      </c>
      <c r="D838" s="14" t="s">
        <v>1662</v>
      </c>
      <c r="E838" s="14" t="s">
        <v>1663</v>
      </c>
      <c r="F838" s="14" t="s">
        <v>1664</v>
      </c>
      <c r="G838" s="14" t="s">
        <v>3</v>
      </c>
      <c r="H838" s="14" t="s">
        <v>7343</v>
      </c>
      <c r="I838" s="14" t="s">
        <v>1665</v>
      </c>
      <c r="J838" s="14" t="s">
        <v>60</v>
      </c>
      <c r="K838" s="14" t="s">
        <v>60</v>
      </c>
      <c r="L838" s="14" t="s">
        <v>60</v>
      </c>
      <c r="M838" s="14" t="s">
        <v>1666</v>
      </c>
      <c r="N838" s="14" t="s">
        <v>60</v>
      </c>
      <c r="O838" s="14" t="s">
        <v>193</v>
      </c>
      <c r="P838" s="14" t="s">
        <v>7344</v>
      </c>
      <c r="Q838" s="14" t="s">
        <v>11</v>
      </c>
      <c r="R838" s="3">
        <v>0</v>
      </c>
      <c r="S838" s="3">
        <f t="shared" si="42"/>
        <v>550</v>
      </c>
      <c r="T838" s="3">
        <f t="shared" si="43"/>
        <v>0</v>
      </c>
      <c r="U838" s="3" t="s">
        <v>60</v>
      </c>
      <c r="V838" s="14" t="s">
        <v>6</v>
      </c>
      <c r="W838" s="14" t="s">
        <v>4287</v>
      </c>
      <c r="X838" s="14" t="s">
        <v>60</v>
      </c>
    </row>
    <row r="839" spans="1:24" ht="15" x14ac:dyDescent="0.3">
      <c r="A839" s="3">
        <v>3</v>
      </c>
      <c r="B839" s="3" t="s">
        <v>7345</v>
      </c>
      <c r="C839" s="14" t="s">
        <v>0</v>
      </c>
      <c r="D839" s="14" t="s">
        <v>1667</v>
      </c>
      <c r="E839" s="14" t="s">
        <v>7346</v>
      </c>
      <c r="F839" s="14" t="s">
        <v>1668</v>
      </c>
      <c r="G839" s="14" t="s">
        <v>3</v>
      </c>
      <c r="H839" s="14" t="s">
        <v>7347</v>
      </c>
      <c r="I839" s="14" t="s">
        <v>1669</v>
      </c>
      <c r="J839" s="14" t="s">
        <v>60</v>
      </c>
      <c r="K839" s="14" t="s">
        <v>60</v>
      </c>
      <c r="L839" s="14" t="s">
        <v>60</v>
      </c>
      <c r="M839" s="14" t="s">
        <v>1670</v>
      </c>
      <c r="N839" s="14" t="s">
        <v>60</v>
      </c>
      <c r="O839" s="14" t="s">
        <v>917</v>
      </c>
      <c r="P839" s="14" t="s">
        <v>7348</v>
      </c>
      <c r="Q839" s="14" t="s">
        <v>11</v>
      </c>
      <c r="R839" s="3">
        <v>0</v>
      </c>
      <c r="S839" s="3">
        <f t="shared" si="42"/>
        <v>550</v>
      </c>
      <c r="T839" s="3">
        <f t="shared" si="43"/>
        <v>0</v>
      </c>
      <c r="U839" s="3" t="s">
        <v>60</v>
      </c>
      <c r="V839" s="14" t="s">
        <v>6</v>
      </c>
      <c r="W839" s="14" t="s">
        <v>4565</v>
      </c>
      <c r="X839" s="14" t="s">
        <v>60</v>
      </c>
    </row>
    <row r="840" spans="1:24" ht="15" x14ac:dyDescent="0.3">
      <c r="A840" s="3">
        <v>4</v>
      </c>
      <c r="B840" s="3" t="s">
        <v>1671</v>
      </c>
      <c r="C840" s="14" t="s">
        <v>0</v>
      </c>
      <c r="D840" s="14" t="s">
        <v>1672</v>
      </c>
      <c r="E840" s="14" t="s">
        <v>7349</v>
      </c>
      <c r="F840" s="14" t="s">
        <v>1673</v>
      </c>
      <c r="G840" s="14" t="s">
        <v>3</v>
      </c>
      <c r="H840" s="14" t="s">
        <v>7350</v>
      </c>
      <c r="I840" s="14" t="s">
        <v>1674</v>
      </c>
      <c r="J840" s="14" t="s">
        <v>60</v>
      </c>
      <c r="K840" s="14" t="s">
        <v>60</v>
      </c>
      <c r="L840" s="14" t="s">
        <v>60</v>
      </c>
      <c r="M840" s="14" t="s">
        <v>1675</v>
      </c>
      <c r="N840" s="14" t="s">
        <v>60</v>
      </c>
      <c r="O840" s="14" t="s">
        <v>193</v>
      </c>
      <c r="P840" s="14" t="s">
        <v>7351</v>
      </c>
      <c r="Q840" s="14" t="s">
        <v>1676</v>
      </c>
      <c r="R840" s="3">
        <v>0</v>
      </c>
      <c r="S840" s="3">
        <f t="shared" si="42"/>
        <v>550</v>
      </c>
      <c r="T840" s="3">
        <f t="shared" si="43"/>
        <v>0</v>
      </c>
      <c r="U840" s="3" t="s">
        <v>60</v>
      </c>
      <c r="V840" s="14" t="s">
        <v>6</v>
      </c>
      <c r="W840" s="14" t="s">
        <v>4287</v>
      </c>
      <c r="X840" s="14" t="s">
        <v>60</v>
      </c>
    </row>
    <row r="841" spans="1:24" ht="15" x14ac:dyDescent="0.3">
      <c r="A841" s="3">
        <v>5</v>
      </c>
      <c r="B841" s="3" t="s">
        <v>7352</v>
      </c>
      <c r="C841" s="14" t="s">
        <v>0</v>
      </c>
      <c r="D841" s="14" t="s">
        <v>1647</v>
      </c>
      <c r="E841" s="14" t="s">
        <v>7353</v>
      </c>
      <c r="F841" s="14" t="s">
        <v>1682</v>
      </c>
      <c r="G841" s="14" t="s">
        <v>3</v>
      </c>
      <c r="H841" s="14" t="s">
        <v>7354</v>
      </c>
      <c r="I841" s="14" t="s">
        <v>1683</v>
      </c>
      <c r="J841" s="14" t="s">
        <v>60</v>
      </c>
      <c r="K841" s="14" t="s">
        <v>60</v>
      </c>
      <c r="L841" s="14" t="s">
        <v>60</v>
      </c>
      <c r="M841" s="14" t="s">
        <v>1684</v>
      </c>
      <c r="N841" s="14" t="s">
        <v>60</v>
      </c>
      <c r="O841" s="14" t="s">
        <v>193</v>
      </c>
      <c r="P841" s="14" t="s">
        <v>7355</v>
      </c>
      <c r="Q841" s="14" t="s">
        <v>1676</v>
      </c>
      <c r="R841" s="3">
        <v>0</v>
      </c>
      <c r="S841" s="3">
        <f t="shared" si="42"/>
        <v>550</v>
      </c>
      <c r="T841" s="3">
        <f t="shared" si="43"/>
        <v>0</v>
      </c>
      <c r="U841" s="3" t="s">
        <v>60</v>
      </c>
      <c r="V841" s="14" t="s">
        <v>6</v>
      </c>
      <c r="W841" s="14" t="s">
        <v>4287</v>
      </c>
      <c r="X841" s="14" t="s">
        <v>60</v>
      </c>
    </row>
    <row r="842" spans="1:24" ht="15" x14ac:dyDescent="0.3">
      <c r="A842" s="3">
        <v>6</v>
      </c>
      <c r="B842" s="3" t="s">
        <v>7356</v>
      </c>
      <c r="C842" s="14" t="s">
        <v>0</v>
      </c>
      <c r="D842" s="14" t="s">
        <v>1685</v>
      </c>
      <c r="E842" s="14" t="s">
        <v>7357</v>
      </c>
      <c r="F842" s="14" t="s">
        <v>1686</v>
      </c>
      <c r="G842" s="14" t="s">
        <v>3</v>
      </c>
      <c r="H842" s="14" t="s">
        <v>7358</v>
      </c>
      <c r="I842" s="14" t="s">
        <v>1687</v>
      </c>
      <c r="J842" s="14" t="s">
        <v>60</v>
      </c>
      <c r="K842" s="14" t="s">
        <v>60</v>
      </c>
      <c r="L842" s="14" t="s">
        <v>60</v>
      </c>
      <c r="M842" s="14" t="s">
        <v>7359</v>
      </c>
      <c r="N842" s="14" t="s">
        <v>60</v>
      </c>
      <c r="O842" s="14" t="s">
        <v>193</v>
      </c>
      <c r="P842" s="14" t="s">
        <v>7360</v>
      </c>
      <c r="Q842" s="14" t="s">
        <v>185</v>
      </c>
      <c r="R842" s="3">
        <v>0</v>
      </c>
      <c r="S842" s="3">
        <f t="shared" si="42"/>
        <v>550</v>
      </c>
      <c r="T842" s="3">
        <f t="shared" si="43"/>
        <v>0</v>
      </c>
      <c r="U842" s="3" t="s">
        <v>60</v>
      </c>
      <c r="V842" s="14" t="s">
        <v>6</v>
      </c>
      <c r="W842" s="14" t="s">
        <v>4287</v>
      </c>
      <c r="X842" s="14" t="s">
        <v>60</v>
      </c>
    </row>
    <row r="843" spans="1:24" ht="15" x14ac:dyDescent="0.3">
      <c r="A843" s="3">
        <v>7</v>
      </c>
      <c r="B843" s="3" t="s">
        <v>7361</v>
      </c>
      <c r="C843" s="14" t="s">
        <v>0</v>
      </c>
      <c r="D843" s="14" t="s">
        <v>1688</v>
      </c>
      <c r="E843" s="14" t="s">
        <v>7362</v>
      </c>
      <c r="F843" s="14" t="s">
        <v>178</v>
      </c>
      <c r="G843" s="14" t="s">
        <v>3</v>
      </c>
      <c r="H843" s="14" t="s">
        <v>7363</v>
      </c>
      <c r="I843" s="14" t="s">
        <v>1689</v>
      </c>
      <c r="J843" s="14" t="s">
        <v>60</v>
      </c>
      <c r="K843" s="14" t="s">
        <v>60</v>
      </c>
      <c r="L843" s="14" t="s">
        <v>60</v>
      </c>
      <c r="M843" s="14" t="s">
        <v>1690</v>
      </c>
      <c r="N843" s="14" t="s">
        <v>60</v>
      </c>
      <c r="O843" s="14" t="s">
        <v>193</v>
      </c>
      <c r="P843" s="14" t="s">
        <v>7364</v>
      </c>
      <c r="Q843" s="14" t="s">
        <v>11</v>
      </c>
      <c r="R843" s="3">
        <v>0</v>
      </c>
      <c r="S843" s="3">
        <f t="shared" si="42"/>
        <v>550</v>
      </c>
      <c r="T843" s="3">
        <f t="shared" si="43"/>
        <v>0</v>
      </c>
      <c r="U843" s="3" t="s">
        <v>60</v>
      </c>
      <c r="V843" s="14" t="s">
        <v>6</v>
      </c>
      <c r="W843" s="14" t="s">
        <v>4287</v>
      </c>
      <c r="X843" s="14" t="s">
        <v>60</v>
      </c>
    </row>
    <row r="844" spans="1:24" ht="15" x14ac:dyDescent="0.3">
      <c r="A844" s="3">
        <v>8</v>
      </c>
      <c r="B844" s="3" t="s">
        <v>1695</v>
      </c>
      <c r="C844" s="14" t="s">
        <v>0</v>
      </c>
      <c r="D844" s="14" t="s">
        <v>1696</v>
      </c>
      <c r="E844" s="14" t="s">
        <v>7365</v>
      </c>
      <c r="F844" s="14" t="s">
        <v>1697</v>
      </c>
      <c r="G844" s="14" t="s">
        <v>3</v>
      </c>
      <c r="H844" s="14" t="s">
        <v>7366</v>
      </c>
      <c r="I844" s="14" t="s">
        <v>1698</v>
      </c>
      <c r="J844" s="14" t="s">
        <v>60</v>
      </c>
      <c r="K844" s="14" t="s">
        <v>60</v>
      </c>
      <c r="L844" s="14" t="s">
        <v>60</v>
      </c>
      <c r="M844" s="14" t="s">
        <v>1699</v>
      </c>
      <c r="N844" s="14" t="s">
        <v>60</v>
      </c>
      <c r="O844" s="14" t="s">
        <v>193</v>
      </c>
      <c r="P844" s="14" t="s">
        <v>7367</v>
      </c>
      <c r="Q844" s="14" t="s">
        <v>1676</v>
      </c>
      <c r="R844" s="3">
        <v>0</v>
      </c>
      <c r="S844" s="3">
        <f t="shared" si="42"/>
        <v>550</v>
      </c>
      <c r="T844" s="3">
        <f t="shared" si="43"/>
        <v>0</v>
      </c>
      <c r="U844" s="3" t="s">
        <v>60</v>
      </c>
      <c r="V844" s="14" t="s">
        <v>6</v>
      </c>
      <c r="W844" s="14" t="s">
        <v>4287</v>
      </c>
      <c r="X844" s="14" t="s">
        <v>60</v>
      </c>
    </row>
    <row r="845" spans="1:24" ht="15" x14ac:dyDescent="0.3">
      <c r="A845" s="3">
        <v>9</v>
      </c>
      <c r="B845" s="3" t="s">
        <v>7368</v>
      </c>
      <c r="C845" s="14" t="s">
        <v>0</v>
      </c>
      <c r="D845" s="14" t="s">
        <v>1700</v>
      </c>
      <c r="E845" s="14" t="s">
        <v>7369</v>
      </c>
      <c r="F845" s="14" t="s">
        <v>1701</v>
      </c>
      <c r="G845" s="14" t="s">
        <v>3</v>
      </c>
      <c r="H845" s="14" t="s">
        <v>7370</v>
      </c>
      <c r="I845" s="14" t="s">
        <v>1702</v>
      </c>
      <c r="J845" s="14" t="s">
        <v>60</v>
      </c>
      <c r="K845" s="14" t="s">
        <v>60</v>
      </c>
      <c r="L845" s="14" t="s">
        <v>60</v>
      </c>
      <c r="M845" s="14" t="s">
        <v>1703</v>
      </c>
      <c r="N845" s="14" t="s">
        <v>60</v>
      </c>
      <c r="O845" s="14" t="s">
        <v>1704</v>
      </c>
      <c r="P845" s="14" t="s">
        <v>7371</v>
      </c>
      <c r="Q845" s="14" t="s">
        <v>11</v>
      </c>
      <c r="R845" s="3">
        <v>0</v>
      </c>
      <c r="S845" s="3">
        <f t="shared" si="42"/>
        <v>550</v>
      </c>
      <c r="T845" s="3">
        <f t="shared" si="43"/>
        <v>0</v>
      </c>
      <c r="U845" s="3" t="s">
        <v>60</v>
      </c>
      <c r="V845" s="14" t="s">
        <v>6</v>
      </c>
      <c r="W845" s="14" t="s">
        <v>4287</v>
      </c>
      <c r="X845" s="14" t="s">
        <v>60</v>
      </c>
    </row>
    <row r="846" spans="1:24" ht="15" x14ac:dyDescent="0.3">
      <c r="A846" s="3">
        <v>10</v>
      </c>
      <c r="B846" s="3" t="s">
        <v>7372</v>
      </c>
      <c r="C846" s="14" t="s">
        <v>0</v>
      </c>
      <c r="D846" s="14" t="s">
        <v>1710</v>
      </c>
      <c r="E846" s="14" t="s">
        <v>7373</v>
      </c>
      <c r="F846" s="14" t="s">
        <v>1228</v>
      </c>
      <c r="G846" s="14" t="s">
        <v>3</v>
      </c>
      <c r="H846" s="14" t="s">
        <v>7374</v>
      </c>
      <c r="I846" s="14" t="s">
        <v>1711</v>
      </c>
      <c r="J846" s="14" t="s">
        <v>60</v>
      </c>
      <c r="K846" s="14" t="s">
        <v>60</v>
      </c>
      <c r="L846" s="14" t="s">
        <v>60</v>
      </c>
      <c r="M846" s="14" t="s">
        <v>1712</v>
      </c>
      <c r="N846" s="14" t="s">
        <v>60</v>
      </c>
      <c r="O846" s="14" t="s">
        <v>255</v>
      </c>
      <c r="P846" s="14" t="s">
        <v>7375</v>
      </c>
      <c r="Q846" s="14" t="s">
        <v>11</v>
      </c>
      <c r="R846" s="3">
        <v>0</v>
      </c>
      <c r="S846" s="3">
        <f t="shared" si="42"/>
        <v>550</v>
      </c>
      <c r="T846" s="3">
        <f t="shared" si="43"/>
        <v>0</v>
      </c>
      <c r="U846" s="3" t="s">
        <v>7376</v>
      </c>
      <c r="V846" s="14" t="s">
        <v>4208</v>
      </c>
      <c r="W846" s="14" t="s">
        <v>5223</v>
      </c>
      <c r="X846" s="14" t="s">
        <v>60</v>
      </c>
    </row>
    <row r="847" spans="1:24" ht="15.6" x14ac:dyDescent="0.3">
      <c r="A847" s="26" t="s">
        <v>60</v>
      </c>
      <c r="B847" s="26" t="s">
        <v>60</v>
      </c>
      <c r="C847" s="27" t="s">
        <v>60</v>
      </c>
      <c r="D847" s="27" t="s">
        <v>60</v>
      </c>
      <c r="E847" s="27" t="s">
        <v>60</v>
      </c>
      <c r="F847" s="27" t="s">
        <v>60</v>
      </c>
      <c r="G847" s="27" t="s">
        <v>60</v>
      </c>
      <c r="H847" s="27" t="s">
        <v>60</v>
      </c>
      <c r="I847" s="27" t="s">
        <v>60</v>
      </c>
      <c r="J847" s="27" t="s">
        <v>60</v>
      </c>
      <c r="K847" s="27" t="s">
        <v>60</v>
      </c>
      <c r="L847" s="27" t="s">
        <v>60</v>
      </c>
      <c r="M847" s="27" t="s">
        <v>60</v>
      </c>
      <c r="N847" s="27" t="s">
        <v>60</v>
      </c>
      <c r="O847" s="27" t="s">
        <v>60</v>
      </c>
      <c r="P847" s="27" t="s">
        <v>60</v>
      </c>
      <c r="Q847" s="27" t="s">
        <v>60</v>
      </c>
      <c r="R847" s="35" t="s">
        <v>2009</v>
      </c>
      <c r="S847" s="35" t="s">
        <v>60</v>
      </c>
      <c r="T847" s="26">
        <f>SUM(T836:T846)</f>
        <v>0</v>
      </c>
      <c r="U847" s="26" t="s">
        <v>7376</v>
      </c>
      <c r="V847" s="27" t="s">
        <v>60</v>
      </c>
      <c r="W847" s="27" t="s">
        <v>60</v>
      </c>
      <c r="X847" s="27" t="s">
        <v>60</v>
      </c>
    </row>
    <row r="848" spans="1:24" ht="15.6" x14ac:dyDescent="0.3">
      <c r="A848" s="34" t="s">
        <v>7377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 spans="1:24" ht="109.2" x14ac:dyDescent="0.3">
      <c r="A849" s="23" t="s">
        <v>42</v>
      </c>
      <c r="B849" s="23" t="s">
        <v>43</v>
      </c>
      <c r="C849" s="24" t="s">
        <v>44</v>
      </c>
      <c r="D849" s="24" t="s">
        <v>4154</v>
      </c>
      <c r="E849" s="24" t="s">
        <v>4155</v>
      </c>
      <c r="F849" s="24" t="s">
        <v>4156</v>
      </c>
      <c r="G849" s="24" t="s">
        <v>45</v>
      </c>
      <c r="H849" s="24" t="s">
        <v>4157</v>
      </c>
      <c r="I849" s="24" t="s">
        <v>46</v>
      </c>
      <c r="J849" s="24" t="s">
        <v>4158</v>
      </c>
      <c r="K849" s="24" t="s">
        <v>4159</v>
      </c>
      <c r="L849" s="24" t="s">
        <v>4160</v>
      </c>
      <c r="M849" s="24" t="s">
        <v>4161</v>
      </c>
      <c r="N849" s="24" t="s">
        <v>47</v>
      </c>
      <c r="O849" s="24" t="s">
        <v>48</v>
      </c>
      <c r="P849" s="24" t="s">
        <v>49</v>
      </c>
      <c r="Q849" s="24" t="s">
        <v>50</v>
      </c>
      <c r="R849" s="23" t="s">
        <v>4162</v>
      </c>
      <c r="S849" s="23" t="s">
        <v>4163</v>
      </c>
      <c r="T849" s="23" t="s">
        <v>4164</v>
      </c>
      <c r="U849" s="23" t="s">
        <v>4165</v>
      </c>
      <c r="V849" s="24" t="s">
        <v>51</v>
      </c>
      <c r="W849" s="24" t="s">
        <v>52</v>
      </c>
      <c r="X849" s="24" t="s">
        <v>53</v>
      </c>
    </row>
    <row r="850" spans="1:24" ht="15" x14ac:dyDescent="0.3">
      <c r="A850" s="3">
        <v>1</v>
      </c>
      <c r="B850" s="3" t="s">
        <v>7378</v>
      </c>
      <c r="C850" s="14" t="s">
        <v>69</v>
      </c>
      <c r="D850" s="14" t="s">
        <v>1895</v>
      </c>
      <c r="E850" s="14" t="s">
        <v>7379</v>
      </c>
      <c r="F850" s="14" t="s">
        <v>1896</v>
      </c>
      <c r="G850" s="14" t="s">
        <v>3</v>
      </c>
      <c r="H850" s="14" t="s">
        <v>7380</v>
      </c>
      <c r="I850" s="14" t="s">
        <v>1897</v>
      </c>
      <c r="J850" s="14" t="s">
        <v>60</v>
      </c>
      <c r="K850" s="14" t="s">
        <v>60</v>
      </c>
      <c r="L850" s="14" t="s">
        <v>60</v>
      </c>
      <c r="M850" s="14" t="s">
        <v>1898</v>
      </c>
      <c r="N850" s="14" t="s">
        <v>60</v>
      </c>
      <c r="O850" s="14" t="s">
        <v>193</v>
      </c>
      <c r="P850" s="14" t="s">
        <v>7381</v>
      </c>
      <c r="Q850" s="14" t="s">
        <v>11</v>
      </c>
      <c r="R850" s="3">
        <v>0</v>
      </c>
      <c r="S850" s="3">
        <f t="shared" ref="S850:S863" si="44">IF(RIGHT(C850,3)="MAZ",550,IF(RIGHT(C850,4)="MATE",570,IF(RIGHT(C850,7)="SKD-III",640,IF(RIGHT(C850,6)="SKD-II",770,IF(RIGHT(C850,5)="SKD-I",900,IF(RIGHT(C850,5)="CPDVR",770,""))))))</f>
        <v>570</v>
      </c>
      <c r="T850" s="3">
        <f t="shared" ref="T850:T863" si="45">R850*S850</f>
        <v>0</v>
      </c>
      <c r="U850" s="3" t="s">
        <v>60</v>
      </c>
      <c r="V850" s="14" t="s">
        <v>6</v>
      </c>
      <c r="W850" s="14" t="s">
        <v>4287</v>
      </c>
      <c r="X850" s="14" t="s">
        <v>60</v>
      </c>
    </row>
    <row r="851" spans="1:24" ht="15" x14ac:dyDescent="0.3">
      <c r="A851" s="3">
        <v>2</v>
      </c>
      <c r="B851" s="3" t="s">
        <v>7382</v>
      </c>
      <c r="C851" s="14" t="s">
        <v>14</v>
      </c>
      <c r="D851" s="14" t="s">
        <v>1876</v>
      </c>
      <c r="E851" s="14" t="s">
        <v>7383</v>
      </c>
      <c r="F851" s="14" t="s">
        <v>1877</v>
      </c>
      <c r="G851" s="14" t="s">
        <v>3</v>
      </c>
      <c r="H851" s="14" t="s">
        <v>1878</v>
      </c>
      <c r="I851" s="14" t="s">
        <v>1879</v>
      </c>
      <c r="J851" s="14" t="s">
        <v>60</v>
      </c>
      <c r="K851" s="14" t="s">
        <v>60</v>
      </c>
      <c r="L851" s="14" t="s">
        <v>60</v>
      </c>
      <c r="M851" s="14" t="s">
        <v>1880</v>
      </c>
      <c r="N851" s="14" t="s">
        <v>60</v>
      </c>
      <c r="O851" s="14" t="s">
        <v>193</v>
      </c>
      <c r="P851" s="14" t="s">
        <v>7384</v>
      </c>
      <c r="Q851" s="14" t="s">
        <v>11</v>
      </c>
      <c r="R851" s="3">
        <v>0</v>
      </c>
      <c r="S851" s="3">
        <f t="shared" si="44"/>
        <v>640</v>
      </c>
      <c r="T851" s="3">
        <f t="shared" si="45"/>
        <v>0</v>
      </c>
      <c r="U851" s="3" t="s">
        <v>60</v>
      </c>
      <c r="V851" s="14" t="s">
        <v>6</v>
      </c>
      <c r="W851" s="14" t="s">
        <v>4287</v>
      </c>
      <c r="X851" s="14" t="s">
        <v>60</v>
      </c>
    </row>
    <row r="852" spans="1:24" ht="15" x14ac:dyDescent="0.3">
      <c r="A852" s="3">
        <v>3</v>
      </c>
      <c r="B852" s="3" t="s">
        <v>1906</v>
      </c>
      <c r="C852" s="14" t="s">
        <v>14</v>
      </c>
      <c r="D852" s="14" t="s">
        <v>1907</v>
      </c>
      <c r="E852" s="14" t="s">
        <v>4644</v>
      </c>
      <c r="F852" s="14" t="s">
        <v>1908</v>
      </c>
      <c r="G852" s="14" t="s">
        <v>3</v>
      </c>
      <c r="H852" s="14" t="s">
        <v>1909</v>
      </c>
      <c r="I852" s="14" t="s">
        <v>1910</v>
      </c>
      <c r="J852" s="14" t="s">
        <v>60</v>
      </c>
      <c r="K852" s="14" t="s">
        <v>60</v>
      </c>
      <c r="L852" s="14" t="s">
        <v>60</v>
      </c>
      <c r="M852" s="14" t="s">
        <v>1911</v>
      </c>
      <c r="N852" s="14" t="s">
        <v>60</v>
      </c>
      <c r="O852" s="14" t="s">
        <v>193</v>
      </c>
      <c r="P852" s="14" t="s">
        <v>7385</v>
      </c>
      <c r="Q852" s="14" t="s">
        <v>1676</v>
      </c>
      <c r="R852" s="3">
        <v>0</v>
      </c>
      <c r="S852" s="3">
        <f t="shared" si="44"/>
        <v>640</v>
      </c>
      <c r="T852" s="3">
        <f t="shared" si="45"/>
        <v>0</v>
      </c>
      <c r="U852" s="3" t="s">
        <v>60</v>
      </c>
      <c r="V852" s="14" t="s">
        <v>6</v>
      </c>
      <c r="W852" s="14" t="s">
        <v>4287</v>
      </c>
      <c r="X852" s="14" t="s">
        <v>60</v>
      </c>
    </row>
    <row r="853" spans="1:24" ht="15.6" x14ac:dyDescent="0.3">
      <c r="A853" s="3">
        <v>4</v>
      </c>
      <c r="B853" s="25" t="s">
        <v>7386</v>
      </c>
      <c r="C853" s="14" t="s">
        <v>0</v>
      </c>
      <c r="D853" s="14" t="s">
        <v>1922</v>
      </c>
      <c r="E853" s="14" t="s">
        <v>7387</v>
      </c>
      <c r="F853" s="14" t="s">
        <v>1923</v>
      </c>
      <c r="G853" s="14" t="s">
        <v>3</v>
      </c>
      <c r="H853" s="14" t="s">
        <v>1924</v>
      </c>
      <c r="I853" s="14" t="s">
        <v>7388</v>
      </c>
      <c r="J853" s="14" t="s">
        <v>60</v>
      </c>
      <c r="K853" s="14" t="s">
        <v>60</v>
      </c>
      <c r="L853" s="14" t="s">
        <v>60</v>
      </c>
      <c r="M853" s="14" t="s">
        <v>1925</v>
      </c>
      <c r="N853" s="14" t="s">
        <v>60</v>
      </c>
      <c r="O853" s="14" t="s">
        <v>193</v>
      </c>
      <c r="P853" s="14" t="s">
        <v>7389</v>
      </c>
      <c r="Q853" s="14" t="s">
        <v>11</v>
      </c>
      <c r="R853" s="3">
        <v>0</v>
      </c>
      <c r="S853" s="3">
        <f t="shared" si="44"/>
        <v>550</v>
      </c>
      <c r="T853" s="3">
        <f t="shared" si="45"/>
        <v>0</v>
      </c>
      <c r="U853" s="3" t="s">
        <v>60</v>
      </c>
      <c r="V853" s="14" t="s">
        <v>6</v>
      </c>
      <c r="W853" s="14" t="s">
        <v>4495</v>
      </c>
      <c r="X853" s="14" t="s">
        <v>60</v>
      </c>
    </row>
    <row r="854" spans="1:24" ht="15.6" x14ac:dyDescent="0.3">
      <c r="A854" s="3">
        <v>5</v>
      </c>
      <c r="B854" s="25" t="s">
        <v>7390</v>
      </c>
      <c r="C854" s="14" t="s">
        <v>0</v>
      </c>
      <c r="D854" s="14" t="s">
        <v>2813</v>
      </c>
      <c r="E854" s="14" t="s">
        <v>7391</v>
      </c>
      <c r="F854" s="14" t="s">
        <v>4136</v>
      </c>
      <c r="G854" s="14" t="s">
        <v>3</v>
      </c>
      <c r="H854" s="14" t="s">
        <v>7392</v>
      </c>
      <c r="I854" s="14" t="s">
        <v>4142</v>
      </c>
      <c r="J854" s="14" t="s">
        <v>60</v>
      </c>
      <c r="K854" s="14" t="s">
        <v>60</v>
      </c>
      <c r="L854" s="14" t="s">
        <v>60</v>
      </c>
      <c r="M854" s="14" t="s">
        <v>7393</v>
      </c>
      <c r="N854" s="14" t="s">
        <v>60</v>
      </c>
      <c r="O854" s="14" t="s">
        <v>60</v>
      </c>
      <c r="P854" s="14" t="s">
        <v>7394</v>
      </c>
      <c r="Q854" s="14" t="s">
        <v>11</v>
      </c>
      <c r="R854" s="3">
        <v>0</v>
      </c>
      <c r="S854" s="3">
        <f t="shared" si="44"/>
        <v>550</v>
      </c>
      <c r="T854" s="3">
        <f t="shared" si="45"/>
        <v>0</v>
      </c>
      <c r="U854" s="3" t="s">
        <v>60</v>
      </c>
      <c r="V854" s="14" t="s">
        <v>6</v>
      </c>
      <c r="W854" s="14" t="s">
        <v>4495</v>
      </c>
      <c r="X854" s="14" t="s">
        <v>60</v>
      </c>
    </row>
    <row r="855" spans="1:24" ht="15.6" x14ac:dyDescent="0.3">
      <c r="A855" s="3">
        <v>6</v>
      </c>
      <c r="B855" s="25" t="s">
        <v>7395</v>
      </c>
      <c r="C855" s="14" t="s">
        <v>0</v>
      </c>
      <c r="D855" s="14" t="s">
        <v>4143</v>
      </c>
      <c r="E855" s="14" t="s">
        <v>7396</v>
      </c>
      <c r="F855" s="14" t="s">
        <v>4135</v>
      </c>
      <c r="G855" s="14" t="s">
        <v>121</v>
      </c>
      <c r="H855" s="14" t="s">
        <v>7397</v>
      </c>
      <c r="I855" s="14" t="s">
        <v>4144</v>
      </c>
      <c r="J855" s="14" t="s">
        <v>60</v>
      </c>
      <c r="K855" s="14" t="s">
        <v>60</v>
      </c>
      <c r="L855" s="14" t="s">
        <v>60</v>
      </c>
      <c r="M855" s="14" t="s">
        <v>60</v>
      </c>
      <c r="N855" s="14" t="s">
        <v>60</v>
      </c>
      <c r="O855" s="14" t="s">
        <v>60</v>
      </c>
      <c r="P855" s="14" t="s">
        <v>7398</v>
      </c>
      <c r="Q855" s="14" t="s">
        <v>11</v>
      </c>
      <c r="R855" s="3">
        <v>0</v>
      </c>
      <c r="S855" s="3">
        <f t="shared" si="44"/>
        <v>550</v>
      </c>
      <c r="T855" s="3">
        <f t="shared" si="45"/>
        <v>0</v>
      </c>
      <c r="U855" s="3" t="s">
        <v>60</v>
      </c>
      <c r="V855" s="14" t="s">
        <v>6</v>
      </c>
      <c r="W855" s="14" t="s">
        <v>4495</v>
      </c>
      <c r="X855" s="14" t="s">
        <v>60</v>
      </c>
    </row>
    <row r="856" spans="1:24" ht="15.6" x14ac:dyDescent="0.3">
      <c r="A856" s="3">
        <v>7</v>
      </c>
      <c r="B856" s="25" t="s">
        <v>7399</v>
      </c>
      <c r="C856" s="14" t="s">
        <v>0</v>
      </c>
      <c r="D856" s="14" t="s">
        <v>4137</v>
      </c>
      <c r="E856" s="14" t="s">
        <v>7400</v>
      </c>
      <c r="F856" s="14" t="s">
        <v>4125</v>
      </c>
      <c r="G856" s="14" t="s">
        <v>3</v>
      </c>
      <c r="H856" s="14" t="s">
        <v>7401</v>
      </c>
      <c r="I856" s="14" t="s">
        <v>4141</v>
      </c>
      <c r="J856" s="14" t="s">
        <v>60</v>
      </c>
      <c r="K856" s="14" t="s">
        <v>60</v>
      </c>
      <c r="L856" s="14" t="s">
        <v>60</v>
      </c>
      <c r="M856" s="14" t="s">
        <v>7402</v>
      </c>
      <c r="N856" s="14" t="s">
        <v>60</v>
      </c>
      <c r="O856" s="14" t="s">
        <v>60</v>
      </c>
      <c r="P856" s="14" t="s">
        <v>7403</v>
      </c>
      <c r="Q856" s="14" t="s">
        <v>11</v>
      </c>
      <c r="R856" s="3">
        <v>0</v>
      </c>
      <c r="S856" s="3">
        <f t="shared" si="44"/>
        <v>550</v>
      </c>
      <c r="T856" s="3">
        <f t="shared" si="45"/>
        <v>0</v>
      </c>
      <c r="U856" s="3" t="s">
        <v>60</v>
      </c>
      <c r="V856" s="14" t="s">
        <v>6</v>
      </c>
      <c r="W856" s="14" t="s">
        <v>5085</v>
      </c>
      <c r="X856" s="14" t="s">
        <v>60</v>
      </c>
    </row>
    <row r="857" spans="1:24" ht="15.6" x14ac:dyDescent="0.3">
      <c r="A857" s="3">
        <v>8</v>
      </c>
      <c r="B857" s="25" t="s">
        <v>7404</v>
      </c>
      <c r="C857" s="14" t="s">
        <v>0</v>
      </c>
      <c r="D857" s="14" t="s">
        <v>4124</v>
      </c>
      <c r="E857" s="14" t="s">
        <v>7405</v>
      </c>
      <c r="F857" s="14" t="s">
        <v>4125</v>
      </c>
      <c r="G857" s="14" t="s">
        <v>3</v>
      </c>
      <c r="H857" s="14" t="s">
        <v>7406</v>
      </c>
      <c r="I857" s="14" t="s">
        <v>7407</v>
      </c>
      <c r="J857" s="14" t="s">
        <v>60</v>
      </c>
      <c r="K857" s="14" t="s">
        <v>60</v>
      </c>
      <c r="L857" s="14" t="s">
        <v>60</v>
      </c>
      <c r="M857" s="14" t="s">
        <v>7408</v>
      </c>
      <c r="N857" s="14" t="s">
        <v>60</v>
      </c>
      <c r="O857" s="14" t="s">
        <v>60</v>
      </c>
      <c r="P857" s="14" t="s">
        <v>7409</v>
      </c>
      <c r="Q857" s="14" t="s">
        <v>11</v>
      </c>
      <c r="R857" s="3">
        <v>0</v>
      </c>
      <c r="S857" s="3">
        <f t="shared" si="44"/>
        <v>550</v>
      </c>
      <c r="T857" s="3">
        <f t="shared" si="45"/>
        <v>0</v>
      </c>
      <c r="U857" s="3" t="s">
        <v>60</v>
      </c>
      <c r="V857" s="14" t="s">
        <v>6</v>
      </c>
      <c r="W857" s="14" t="s">
        <v>5085</v>
      </c>
      <c r="X857" s="14" t="s">
        <v>60</v>
      </c>
    </row>
    <row r="858" spans="1:24" ht="15.6" x14ac:dyDescent="0.3">
      <c r="A858" s="3">
        <v>9</v>
      </c>
      <c r="B858" s="25" t="s">
        <v>7410</v>
      </c>
      <c r="C858" s="14" t="s">
        <v>0</v>
      </c>
      <c r="D858" s="14" t="s">
        <v>4126</v>
      </c>
      <c r="E858" s="14" t="s">
        <v>5258</v>
      </c>
      <c r="F858" s="14" t="s">
        <v>4118</v>
      </c>
      <c r="G858" s="14" t="s">
        <v>3</v>
      </c>
      <c r="H858" s="14" t="s">
        <v>4139</v>
      </c>
      <c r="I858" s="14" t="s">
        <v>4140</v>
      </c>
      <c r="J858" s="14" t="s">
        <v>60</v>
      </c>
      <c r="K858" s="14" t="s">
        <v>60</v>
      </c>
      <c r="L858" s="14" t="s">
        <v>60</v>
      </c>
      <c r="M858" s="14" t="s">
        <v>7411</v>
      </c>
      <c r="N858" s="14" t="s">
        <v>60</v>
      </c>
      <c r="O858" s="14" t="s">
        <v>60</v>
      </c>
      <c r="P858" s="14" t="s">
        <v>7412</v>
      </c>
      <c r="Q858" s="14" t="s">
        <v>174</v>
      </c>
      <c r="R858" s="3">
        <v>0</v>
      </c>
      <c r="S858" s="3">
        <f t="shared" si="44"/>
        <v>550</v>
      </c>
      <c r="T858" s="3">
        <f t="shared" si="45"/>
        <v>0</v>
      </c>
      <c r="U858" s="3" t="s">
        <v>60</v>
      </c>
      <c r="V858" s="14" t="s">
        <v>6</v>
      </c>
      <c r="W858" s="14" t="s">
        <v>7319</v>
      </c>
      <c r="X858" s="14" t="s">
        <v>60</v>
      </c>
    </row>
    <row r="859" spans="1:24" ht="15.6" x14ac:dyDescent="0.3">
      <c r="A859" s="3">
        <v>10</v>
      </c>
      <c r="B859" s="25" t="s">
        <v>7413</v>
      </c>
      <c r="C859" s="14" t="s">
        <v>0</v>
      </c>
      <c r="D859" s="14" t="s">
        <v>2545</v>
      </c>
      <c r="E859" s="14" t="s">
        <v>4293</v>
      </c>
      <c r="F859" s="14" t="s">
        <v>4127</v>
      </c>
      <c r="G859" s="14" t="s">
        <v>3</v>
      </c>
      <c r="H859" s="14" t="s">
        <v>7414</v>
      </c>
      <c r="I859" s="14" t="s">
        <v>4138</v>
      </c>
      <c r="J859" s="14" t="s">
        <v>60</v>
      </c>
      <c r="K859" s="14" t="s">
        <v>60</v>
      </c>
      <c r="L859" s="14" t="s">
        <v>60</v>
      </c>
      <c r="M859" s="14" t="s">
        <v>7415</v>
      </c>
      <c r="N859" s="14" t="s">
        <v>60</v>
      </c>
      <c r="O859" s="14" t="s">
        <v>60</v>
      </c>
      <c r="P859" s="14" t="s">
        <v>7416</v>
      </c>
      <c r="Q859" s="14" t="s">
        <v>174</v>
      </c>
      <c r="R859" s="3">
        <v>0</v>
      </c>
      <c r="S859" s="3">
        <f t="shared" si="44"/>
        <v>550</v>
      </c>
      <c r="T859" s="3">
        <f t="shared" si="45"/>
        <v>0</v>
      </c>
      <c r="U859" s="3" t="s">
        <v>60</v>
      </c>
      <c r="V859" s="14" t="s">
        <v>6</v>
      </c>
      <c r="W859" s="14" t="s">
        <v>7319</v>
      </c>
      <c r="X859" s="14" t="s">
        <v>60</v>
      </c>
    </row>
    <row r="860" spans="1:24" ht="15.6" x14ac:dyDescent="0.3">
      <c r="A860" s="3">
        <v>11</v>
      </c>
      <c r="B860" s="25" t="s">
        <v>7417</v>
      </c>
      <c r="C860" s="14" t="s">
        <v>0</v>
      </c>
      <c r="D860" s="14" t="s">
        <v>4128</v>
      </c>
      <c r="E860" s="14" t="s">
        <v>7418</v>
      </c>
      <c r="F860" s="14" t="s">
        <v>351</v>
      </c>
      <c r="G860" s="14" t="s">
        <v>3</v>
      </c>
      <c r="H860" s="14" t="s">
        <v>7419</v>
      </c>
      <c r="I860" s="14" t="s">
        <v>4145</v>
      </c>
      <c r="J860" s="14" t="s">
        <v>60</v>
      </c>
      <c r="K860" s="14" t="s">
        <v>60</v>
      </c>
      <c r="L860" s="14" t="s">
        <v>60</v>
      </c>
      <c r="M860" s="14" t="s">
        <v>7420</v>
      </c>
      <c r="N860" s="14" t="s">
        <v>60</v>
      </c>
      <c r="O860" s="14" t="s">
        <v>60</v>
      </c>
      <c r="P860" s="14" t="s">
        <v>7421</v>
      </c>
      <c r="Q860" s="14" t="s">
        <v>761</v>
      </c>
      <c r="R860" s="3">
        <v>0</v>
      </c>
      <c r="S860" s="3">
        <f t="shared" si="44"/>
        <v>550</v>
      </c>
      <c r="T860" s="3">
        <f t="shared" si="45"/>
        <v>0</v>
      </c>
      <c r="U860" s="3" t="s">
        <v>60</v>
      </c>
      <c r="V860" s="14" t="s">
        <v>6</v>
      </c>
      <c r="W860" s="14" t="s">
        <v>7319</v>
      </c>
      <c r="X860" s="14" t="s">
        <v>60</v>
      </c>
    </row>
    <row r="861" spans="1:24" ht="15.6" x14ac:dyDescent="0.3">
      <c r="A861" s="3">
        <v>12</v>
      </c>
      <c r="B861" s="25" t="s">
        <v>7422</v>
      </c>
      <c r="C861" s="14" t="s">
        <v>0</v>
      </c>
      <c r="D861" s="14" t="s">
        <v>4129</v>
      </c>
      <c r="E861" s="14" t="s">
        <v>4319</v>
      </c>
      <c r="F861" s="14" t="s">
        <v>4130</v>
      </c>
      <c r="G861" s="14" t="s">
        <v>3</v>
      </c>
      <c r="H861" s="14" t="s">
        <v>7423</v>
      </c>
      <c r="I861" s="14" t="s">
        <v>4146</v>
      </c>
      <c r="J861" s="14" t="s">
        <v>60</v>
      </c>
      <c r="K861" s="14" t="s">
        <v>60</v>
      </c>
      <c r="L861" s="14" t="s">
        <v>60</v>
      </c>
      <c r="M861" s="14" t="s">
        <v>7424</v>
      </c>
      <c r="N861" s="14" t="s">
        <v>60</v>
      </c>
      <c r="O861" s="14" t="s">
        <v>60</v>
      </c>
      <c r="P861" s="14" t="s">
        <v>7425</v>
      </c>
      <c r="Q861" s="14" t="s">
        <v>11</v>
      </c>
      <c r="R861" s="3">
        <v>0</v>
      </c>
      <c r="S861" s="3">
        <f t="shared" si="44"/>
        <v>550</v>
      </c>
      <c r="T861" s="3">
        <f t="shared" si="45"/>
        <v>0</v>
      </c>
      <c r="U861" s="3" t="s">
        <v>60</v>
      </c>
      <c r="V861" s="14" t="s">
        <v>6</v>
      </c>
      <c r="W861" s="14" t="s">
        <v>7319</v>
      </c>
      <c r="X861" s="14" t="s">
        <v>60</v>
      </c>
    </row>
    <row r="862" spans="1:24" ht="15.6" x14ac:dyDescent="0.3">
      <c r="A862" s="3">
        <v>13</v>
      </c>
      <c r="B862" s="25" t="s">
        <v>7426</v>
      </c>
      <c r="C862" s="14" t="s">
        <v>0</v>
      </c>
      <c r="D862" s="14" t="s">
        <v>4131</v>
      </c>
      <c r="E862" s="14" t="s">
        <v>5008</v>
      </c>
      <c r="F862" s="14" t="s">
        <v>4132</v>
      </c>
      <c r="G862" s="14" t="s">
        <v>3</v>
      </c>
      <c r="H862" s="14" t="s">
        <v>4147</v>
      </c>
      <c r="I862" s="14" t="s">
        <v>4148</v>
      </c>
      <c r="J862" s="14" t="s">
        <v>60</v>
      </c>
      <c r="K862" s="14" t="s">
        <v>60</v>
      </c>
      <c r="L862" s="14" t="s">
        <v>60</v>
      </c>
      <c r="M862" s="14" t="s">
        <v>7333</v>
      </c>
      <c r="N862" s="14" t="s">
        <v>60</v>
      </c>
      <c r="O862" s="14" t="s">
        <v>60</v>
      </c>
      <c r="P862" s="14" t="s">
        <v>7427</v>
      </c>
      <c r="Q862" s="14" t="s">
        <v>11</v>
      </c>
      <c r="R862" s="3">
        <v>0</v>
      </c>
      <c r="S862" s="3">
        <f t="shared" si="44"/>
        <v>550</v>
      </c>
      <c r="T862" s="3">
        <f t="shared" si="45"/>
        <v>0</v>
      </c>
      <c r="U862" s="3" t="s">
        <v>60</v>
      </c>
      <c r="V862" s="14" t="s">
        <v>6</v>
      </c>
      <c r="W862" s="14" t="s">
        <v>7319</v>
      </c>
      <c r="X862" s="14" t="s">
        <v>60</v>
      </c>
    </row>
    <row r="863" spans="1:24" ht="15.6" x14ac:dyDescent="0.3">
      <c r="A863" s="3">
        <v>14</v>
      </c>
      <c r="B863" s="25" t="s">
        <v>7428</v>
      </c>
      <c r="C863" s="14" t="s">
        <v>0</v>
      </c>
      <c r="D863" s="14" t="s">
        <v>4133</v>
      </c>
      <c r="E863" s="14" t="s">
        <v>4367</v>
      </c>
      <c r="F863" s="14" t="s">
        <v>4134</v>
      </c>
      <c r="G863" s="14" t="s">
        <v>3</v>
      </c>
      <c r="H863" s="14" t="s">
        <v>7429</v>
      </c>
      <c r="I863" s="14" t="s">
        <v>4149</v>
      </c>
      <c r="J863" s="14" t="s">
        <v>60</v>
      </c>
      <c r="K863" s="14" t="s">
        <v>60</v>
      </c>
      <c r="L863" s="14" t="s">
        <v>60</v>
      </c>
      <c r="M863" s="14" t="s">
        <v>7430</v>
      </c>
      <c r="N863" s="14" t="s">
        <v>60</v>
      </c>
      <c r="O863" s="14" t="s">
        <v>60</v>
      </c>
      <c r="P863" s="14" t="s">
        <v>7431</v>
      </c>
      <c r="Q863" s="14" t="s">
        <v>11</v>
      </c>
      <c r="R863" s="3">
        <v>0</v>
      </c>
      <c r="S863" s="3">
        <f t="shared" si="44"/>
        <v>550</v>
      </c>
      <c r="T863" s="3">
        <f t="shared" si="45"/>
        <v>0</v>
      </c>
      <c r="U863" s="3" t="s">
        <v>7432</v>
      </c>
      <c r="V863" s="14" t="s">
        <v>6</v>
      </c>
      <c r="W863" s="14" t="s">
        <v>7319</v>
      </c>
      <c r="X863" s="14" t="s">
        <v>60</v>
      </c>
    </row>
    <row r="864" spans="1:24" ht="15.6" x14ac:dyDescent="0.3">
      <c r="A864" s="26" t="s">
        <v>60</v>
      </c>
      <c r="B864" s="26" t="s">
        <v>60</v>
      </c>
      <c r="C864" s="27" t="s">
        <v>60</v>
      </c>
      <c r="D864" s="27" t="s">
        <v>60</v>
      </c>
      <c r="E864" s="27" t="s">
        <v>60</v>
      </c>
      <c r="F864" s="27" t="s">
        <v>60</v>
      </c>
      <c r="G864" s="27" t="s">
        <v>60</v>
      </c>
      <c r="H864" s="27" t="s">
        <v>60</v>
      </c>
      <c r="I864" s="27" t="s">
        <v>60</v>
      </c>
      <c r="J864" s="27" t="s">
        <v>60</v>
      </c>
      <c r="K864" s="27" t="s">
        <v>60</v>
      </c>
      <c r="L864" s="27" t="s">
        <v>60</v>
      </c>
      <c r="M864" s="27" t="s">
        <v>60</v>
      </c>
      <c r="N864" s="27" t="s">
        <v>60</v>
      </c>
      <c r="O864" s="27" t="s">
        <v>60</v>
      </c>
      <c r="P864" s="27" t="s">
        <v>60</v>
      </c>
      <c r="Q864" s="27" t="s">
        <v>60</v>
      </c>
      <c r="R864" s="35" t="s">
        <v>2009</v>
      </c>
      <c r="S864" s="35" t="s">
        <v>60</v>
      </c>
      <c r="T864" s="26">
        <f>SUM(T849:T863)</f>
        <v>0</v>
      </c>
      <c r="U864" s="26" t="s">
        <v>7432</v>
      </c>
      <c r="V864" s="27" t="s">
        <v>60</v>
      </c>
      <c r="W864" s="27" t="s">
        <v>60</v>
      </c>
      <c r="X864" s="27" t="s">
        <v>60</v>
      </c>
    </row>
    <row r="865" spans="1:24" ht="15.6" x14ac:dyDescent="0.3">
      <c r="A865" s="34" t="s">
        <v>7433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 spans="1:24" ht="109.2" x14ac:dyDescent="0.3">
      <c r="A866" s="23" t="s">
        <v>42</v>
      </c>
      <c r="B866" s="23" t="s">
        <v>43</v>
      </c>
      <c r="C866" s="24" t="s">
        <v>44</v>
      </c>
      <c r="D866" s="24" t="s">
        <v>4154</v>
      </c>
      <c r="E866" s="24" t="s">
        <v>4155</v>
      </c>
      <c r="F866" s="24" t="s">
        <v>4156</v>
      </c>
      <c r="G866" s="24" t="s">
        <v>45</v>
      </c>
      <c r="H866" s="24" t="s">
        <v>4157</v>
      </c>
      <c r="I866" s="24" t="s">
        <v>46</v>
      </c>
      <c r="J866" s="24" t="s">
        <v>4158</v>
      </c>
      <c r="K866" s="24" t="s">
        <v>4159</v>
      </c>
      <c r="L866" s="24" t="s">
        <v>4160</v>
      </c>
      <c r="M866" s="24" t="s">
        <v>4161</v>
      </c>
      <c r="N866" s="24" t="s">
        <v>47</v>
      </c>
      <c r="O866" s="24" t="s">
        <v>48</v>
      </c>
      <c r="P866" s="24" t="s">
        <v>49</v>
      </c>
      <c r="Q866" s="24" t="s">
        <v>50</v>
      </c>
      <c r="R866" s="23" t="s">
        <v>4162</v>
      </c>
      <c r="S866" s="23" t="s">
        <v>4163</v>
      </c>
      <c r="T866" s="23" t="s">
        <v>4164</v>
      </c>
      <c r="U866" s="23" t="s">
        <v>4165</v>
      </c>
      <c r="V866" s="24" t="s">
        <v>51</v>
      </c>
      <c r="W866" s="24" t="s">
        <v>52</v>
      </c>
      <c r="X866" s="24" t="s">
        <v>53</v>
      </c>
    </row>
    <row r="867" spans="1:24" ht="15" x14ac:dyDescent="0.3">
      <c r="A867" s="3">
        <v>1</v>
      </c>
      <c r="B867" s="3" t="s">
        <v>7434</v>
      </c>
      <c r="C867" s="14" t="s">
        <v>0</v>
      </c>
      <c r="D867" s="14" t="s">
        <v>2010</v>
      </c>
      <c r="E867" s="14" t="s">
        <v>7435</v>
      </c>
      <c r="F867" s="14" t="s">
        <v>2011</v>
      </c>
      <c r="G867" s="14" t="s">
        <v>3</v>
      </c>
      <c r="H867" s="14" t="s">
        <v>7436</v>
      </c>
      <c r="I867" s="14" t="s">
        <v>2012</v>
      </c>
      <c r="J867" s="14" t="s">
        <v>60</v>
      </c>
      <c r="K867" s="14" t="s">
        <v>60</v>
      </c>
      <c r="L867" s="14" t="s">
        <v>60</v>
      </c>
      <c r="M867" s="14" t="s">
        <v>60</v>
      </c>
      <c r="N867" s="14" t="s">
        <v>60</v>
      </c>
      <c r="O867" s="14" t="s">
        <v>193</v>
      </c>
      <c r="P867" s="14" t="s">
        <v>7437</v>
      </c>
      <c r="Q867" s="14" t="s">
        <v>11</v>
      </c>
      <c r="R867" s="3">
        <v>0</v>
      </c>
      <c r="S867" s="3">
        <f t="shared" ref="S867:S917" si="46">IF(RIGHT(C867,3)="MAZ",550,IF(RIGHT(C867,4)="MATE",570,IF(RIGHT(C867,7)="SKD-III",640,IF(RIGHT(C867,6)="SKD-II",770,IF(RIGHT(C867,5)="SKD-I",900,IF(RIGHT(C867,5)="CPDVR",770,""))))))</f>
        <v>550</v>
      </c>
      <c r="T867" s="3">
        <f t="shared" ref="T867:T917" si="47">R867*S867</f>
        <v>0</v>
      </c>
      <c r="U867" s="3" t="s">
        <v>60</v>
      </c>
      <c r="V867" s="14" t="s">
        <v>6</v>
      </c>
      <c r="W867" s="14" t="s">
        <v>4287</v>
      </c>
      <c r="X867" s="14" t="s">
        <v>60</v>
      </c>
    </row>
    <row r="868" spans="1:24" ht="15" x14ac:dyDescent="0.3">
      <c r="A868" s="3">
        <v>2</v>
      </c>
      <c r="B868" s="3" t="s">
        <v>7438</v>
      </c>
      <c r="C868" s="14" t="s">
        <v>0</v>
      </c>
      <c r="D868" s="14" t="s">
        <v>2013</v>
      </c>
      <c r="E868" s="14" t="s">
        <v>2014</v>
      </c>
      <c r="F868" s="14" t="s">
        <v>2015</v>
      </c>
      <c r="G868" s="14" t="s">
        <v>3</v>
      </c>
      <c r="H868" s="14" t="s">
        <v>7439</v>
      </c>
      <c r="I868" s="14" t="s">
        <v>2016</v>
      </c>
      <c r="J868" s="14" t="s">
        <v>60</v>
      </c>
      <c r="K868" s="14" t="s">
        <v>60</v>
      </c>
      <c r="L868" s="14" t="s">
        <v>60</v>
      </c>
      <c r="M868" s="14" t="s">
        <v>2017</v>
      </c>
      <c r="N868" s="14" t="s">
        <v>60</v>
      </c>
      <c r="O868" s="14" t="s">
        <v>193</v>
      </c>
      <c r="P868" s="14" t="s">
        <v>7440</v>
      </c>
      <c r="Q868" s="14" t="s">
        <v>11</v>
      </c>
      <c r="R868" s="3">
        <v>0</v>
      </c>
      <c r="S868" s="3">
        <f t="shared" si="46"/>
        <v>550</v>
      </c>
      <c r="T868" s="3">
        <f t="shared" si="47"/>
        <v>0</v>
      </c>
      <c r="U868" s="3" t="s">
        <v>60</v>
      </c>
      <c r="V868" s="14" t="s">
        <v>6</v>
      </c>
      <c r="W868" s="14" t="s">
        <v>4287</v>
      </c>
      <c r="X868" s="14" t="s">
        <v>60</v>
      </c>
    </row>
    <row r="869" spans="1:24" ht="15" x14ac:dyDescent="0.3">
      <c r="A869" s="3">
        <v>3</v>
      </c>
      <c r="B869" s="3" t="s">
        <v>2018</v>
      </c>
      <c r="C869" s="14" t="s">
        <v>0</v>
      </c>
      <c r="D869" s="14" t="s">
        <v>2019</v>
      </c>
      <c r="E869" s="14" t="s">
        <v>7441</v>
      </c>
      <c r="F869" s="14" t="s">
        <v>2020</v>
      </c>
      <c r="G869" s="14" t="s">
        <v>3</v>
      </c>
      <c r="H869" s="14" t="s">
        <v>7442</v>
      </c>
      <c r="I869" s="14" t="s">
        <v>2021</v>
      </c>
      <c r="J869" s="14" t="s">
        <v>60</v>
      </c>
      <c r="K869" s="14" t="s">
        <v>60</v>
      </c>
      <c r="L869" s="14" t="s">
        <v>60</v>
      </c>
      <c r="M869" s="14" t="s">
        <v>2022</v>
      </c>
      <c r="N869" s="14" t="s">
        <v>60</v>
      </c>
      <c r="O869" s="14" t="s">
        <v>193</v>
      </c>
      <c r="P869" s="14" t="s">
        <v>7443</v>
      </c>
      <c r="Q869" s="14" t="s">
        <v>1676</v>
      </c>
      <c r="R869" s="3">
        <v>0</v>
      </c>
      <c r="S869" s="3">
        <f t="shared" si="46"/>
        <v>550</v>
      </c>
      <c r="T869" s="3">
        <f t="shared" si="47"/>
        <v>0</v>
      </c>
      <c r="U869" s="3" t="s">
        <v>60</v>
      </c>
      <c r="V869" s="14" t="s">
        <v>6</v>
      </c>
      <c r="W869" s="14" t="s">
        <v>4287</v>
      </c>
      <c r="X869" s="14" t="s">
        <v>60</v>
      </c>
    </row>
    <row r="870" spans="1:24" ht="15" x14ac:dyDescent="0.3">
      <c r="A870" s="3">
        <v>4</v>
      </c>
      <c r="B870" s="3" t="s">
        <v>7444</v>
      </c>
      <c r="C870" s="14" t="s">
        <v>0</v>
      </c>
      <c r="D870" s="14" t="s">
        <v>2023</v>
      </c>
      <c r="E870" s="14" t="s">
        <v>7445</v>
      </c>
      <c r="F870" s="14" t="s">
        <v>2024</v>
      </c>
      <c r="G870" s="14" t="s">
        <v>3</v>
      </c>
      <c r="H870" s="14" t="s">
        <v>2025</v>
      </c>
      <c r="I870" s="14" t="s">
        <v>2026</v>
      </c>
      <c r="J870" s="14" t="s">
        <v>60</v>
      </c>
      <c r="K870" s="14" t="s">
        <v>60</v>
      </c>
      <c r="L870" s="14" t="s">
        <v>60</v>
      </c>
      <c r="M870" s="14" t="s">
        <v>2027</v>
      </c>
      <c r="N870" s="14" t="s">
        <v>60</v>
      </c>
      <c r="O870" s="14" t="s">
        <v>193</v>
      </c>
      <c r="P870" s="14" t="s">
        <v>7446</v>
      </c>
      <c r="Q870" s="14" t="s">
        <v>11</v>
      </c>
      <c r="R870" s="3">
        <v>0</v>
      </c>
      <c r="S870" s="3">
        <f t="shared" si="46"/>
        <v>550</v>
      </c>
      <c r="T870" s="3">
        <f t="shared" si="47"/>
        <v>0</v>
      </c>
      <c r="U870" s="3" t="s">
        <v>60</v>
      </c>
      <c r="V870" s="14" t="s">
        <v>6</v>
      </c>
      <c r="W870" s="14" t="s">
        <v>4287</v>
      </c>
      <c r="X870" s="14" t="s">
        <v>60</v>
      </c>
    </row>
    <row r="871" spans="1:24" ht="15" x14ac:dyDescent="0.3">
      <c r="A871" s="3">
        <v>5</v>
      </c>
      <c r="B871" s="3" t="s">
        <v>2028</v>
      </c>
      <c r="C871" s="14" t="s">
        <v>0</v>
      </c>
      <c r="D871" s="14" t="s">
        <v>2029</v>
      </c>
      <c r="E871" s="14" t="s">
        <v>7447</v>
      </c>
      <c r="F871" s="14" t="s">
        <v>2030</v>
      </c>
      <c r="G871" s="14" t="s">
        <v>3</v>
      </c>
      <c r="H871" s="14" t="s">
        <v>2031</v>
      </c>
      <c r="I871" s="14" t="s">
        <v>2032</v>
      </c>
      <c r="J871" s="14" t="s">
        <v>60</v>
      </c>
      <c r="K871" s="14" t="s">
        <v>60</v>
      </c>
      <c r="L871" s="14" t="s">
        <v>60</v>
      </c>
      <c r="M871" s="14" t="s">
        <v>2033</v>
      </c>
      <c r="N871" s="14" t="s">
        <v>60</v>
      </c>
      <c r="O871" s="14" t="s">
        <v>193</v>
      </c>
      <c r="P871" s="14" t="s">
        <v>7448</v>
      </c>
      <c r="Q871" s="14" t="s">
        <v>11</v>
      </c>
      <c r="R871" s="3">
        <v>0</v>
      </c>
      <c r="S871" s="3">
        <f t="shared" si="46"/>
        <v>550</v>
      </c>
      <c r="T871" s="3">
        <f t="shared" si="47"/>
        <v>0</v>
      </c>
      <c r="U871" s="3" t="s">
        <v>60</v>
      </c>
      <c r="V871" s="14" t="s">
        <v>6</v>
      </c>
      <c r="W871" s="14" t="s">
        <v>4287</v>
      </c>
      <c r="X871" s="14" t="s">
        <v>60</v>
      </c>
    </row>
    <row r="872" spans="1:24" ht="15" x14ac:dyDescent="0.3">
      <c r="A872" s="3">
        <v>6</v>
      </c>
      <c r="B872" s="3" t="s">
        <v>7449</v>
      </c>
      <c r="C872" s="14" t="s">
        <v>0</v>
      </c>
      <c r="D872" s="14" t="s">
        <v>2034</v>
      </c>
      <c r="E872" s="14" t="s">
        <v>4293</v>
      </c>
      <c r="F872" s="14" t="s">
        <v>2035</v>
      </c>
      <c r="G872" s="14" t="s">
        <v>3</v>
      </c>
      <c r="H872" s="14" t="s">
        <v>7450</v>
      </c>
      <c r="I872" s="14" t="s">
        <v>2036</v>
      </c>
      <c r="J872" s="14" t="s">
        <v>60</v>
      </c>
      <c r="K872" s="14" t="s">
        <v>60</v>
      </c>
      <c r="L872" s="14" t="s">
        <v>60</v>
      </c>
      <c r="M872" s="14" t="s">
        <v>60</v>
      </c>
      <c r="N872" s="14" t="s">
        <v>60</v>
      </c>
      <c r="O872" s="14" t="s">
        <v>2037</v>
      </c>
      <c r="P872" s="14" t="s">
        <v>7451</v>
      </c>
      <c r="Q872" s="14" t="s">
        <v>2038</v>
      </c>
      <c r="R872" s="3">
        <v>0</v>
      </c>
      <c r="S872" s="3">
        <f t="shared" si="46"/>
        <v>550</v>
      </c>
      <c r="T872" s="3">
        <f t="shared" si="47"/>
        <v>0</v>
      </c>
      <c r="U872" s="3" t="s">
        <v>60</v>
      </c>
      <c r="V872" s="14" t="s">
        <v>6</v>
      </c>
      <c r="W872" s="14" t="s">
        <v>4287</v>
      </c>
      <c r="X872" s="14" t="s">
        <v>60</v>
      </c>
    </row>
    <row r="873" spans="1:24" ht="15" x14ac:dyDescent="0.3">
      <c r="A873" s="3">
        <v>7</v>
      </c>
      <c r="B873" s="3" t="s">
        <v>7452</v>
      </c>
      <c r="C873" s="14" t="s">
        <v>0</v>
      </c>
      <c r="D873" s="14" t="s">
        <v>2039</v>
      </c>
      <c r="E873" s="14" t="s">
        <v>7453</v>
      </c>
      <c r="F873" s="14" t="s">
        <v>2040</v>
      </c>
      <c r="G873" s="14" t="s">
        <v>3</v>
      </c>
      <c r="H873" s="14" t="s">
        <v>7454</v>
      </c>
      <c r="I873" s="14" t="s">
        <v>7455</v>
      </c>
      <c r="J873" s="14" t="s">
        <v>60</v>
      </c>
      <c r="K873" s="14" t="s">
        <v>60</v>
      </c>
      <c r="L873" s="14" t="s">
        <v>60</v>
      </c>
      <c r="M873" s="14" t="s">
        <v>2041</v>
      </c>
      <c r="N873" s="14" t="s">
        <v>60</v>
      </c>
      <c r="O873" s="14" t="s">
        <v>193</v>
      </c>
      <c r="P873" s="14" t="s">
        <v>7456</v>
      </c>
      <c r="Q873" s="14" t="s">
        <v>11</v>
      </c>
      <c r="R873" s="3">
        <v>0</v>
      </c>
      <c r="S873" s="3">
        <f t="shared" si="46"/>
        <v>550</v>
      </c>
      <c r="T873" s="3">
        <f t="shared" si="47"/>
        <v>0</v>
      </c>
      <c r="U873" s="3" t="s">
        <v>60</v>
      </c>
      <c r="V873" s="14" t="s">
        <v>6</v>
      </c>
      <c r="W873" s="14" t="s">
        <v>4287</v>
      </c>
      <c r="X873" s="14" t="s">
        <v>60</v>
      </c>
    </row>
    <row r="874" spans="1:24" ht="15" x14ac:dyDescent="0.3">
      <c r="A874" s="3">
        <v>8</v>
      </c>
      <c r="B874" s="3" t="s">
        <v>2042</v>
      </c>
      <c r="C874" s="14" t="s">
        <v>0</v>
      </c>
      <c r="D874" s="14" t="s">
        <v>2043</v>
      </c>
      <c r="E874" s="14" t="s">
        <v>7457</v>
      </c>
      <c r="F874" s="14" t="s">
        <v>2044</v>
      </c>
      <c r="G874" s="14" t="s">
        <v>3</v>
      </c>
      <c r="H874" s="14" t="s">
        <v>7458</v>
      </c>
      <c r="I874" s="14" t="s">
        <v>7459</v>
      </c>
      <c r="J874" s="14" t="s">
        <v>60</v>
      </c>
      <c r="K874" s="14" t="s">
        <v>60</v>
      </c>
      <c r="L874" s="14" t="s">
        <v>60</v>
      </c>
      <c r="M874" s="14" t="s">
        <v>60</v>
      </c>
      <c r="N874" s="14" t="s">
        <v>60</v>
      </c>
      <c r="O874" s="14" t="s">
        <v>60</v>
      </c>
      <c r="P874" s="14" t="s">
        <v>7460</v>
      </c>
      <c r="Q874" s="14" t="s">
        <v>1996</v>
      </c>
      <c r="R874" s="3">
        <v>0</v>
      </c>
      <c r="S874" s="3">
        <f t="shared" si="46"/>
        <v>550</v>
      </c>
      <c r="T874" s="3">
        <f t="shared" si="47"/>
        <v>0</v>
      </c>
      <c r="U874" s="3" t="s">
        <v>60</v>
      </c>
      <c r="V874" s="14" t="s">
        <v>6</v>
      </c>
      <c r="W874" s="14" t="s">
        <v>4287</v>
      </c>
      <c r="X874" s="14" t="s">
        <v>60</v>
      </c>
    </row>
    <row r="875" spans="1:24" ht="15" x14ac:dyDescent="0.3">
      <c r="A875" s="3">
        <v>9</v>
      </c>
      <c r="B875" s="3" t="s">
        <v>7461</v>
      </c>
      <c r="C875" s="14" t="s">
        <v>0</v>
      </c>
      <c r="D875" s="14" t="s">
        <v>2049</v>
      </c>
      <c r="E875" s="14" t="s">
        <v>7462</v>
      </c>
      <c r="F875" s="14" t="s">
        <v>2050</v>
      </c>
      <c r="G875" s="14" t="s">
        <v>3</v>
      </c>
      <c r="H875" s="14" t="s">
        <v>7463</v>
      </c>
      <c r="I875" s="14" t="s">
        <v>7464</v>
      </c>
      <c r="J875" s="14" t="s">
        <v>60</v>
      </c>
      <c r="K875" s="14" t="s">
        <v>60</v>
      </c>
      <c r="L875" s="14" t="s">
        <v>60</v>
      </c>
      <c r="M875" s="14" t="s">
        <v>2051</v>
      </c>
      <c r="N875" s="14" t="s">
        <v>60</v>
      </c>
      <c r="O875" s="14" t="s">
        <v>193</v>
      </c>
      <c r="P875" s="14" t="s">
        <v>7465</v>
      </c>
      <c r="Q875" s="14" t="s">
        <v>176</v>
      </c>
      <c r="R875" s="3">
        <v>0</v>
      </c>
      <c r="S875" s="3">
        <f t="shared" si="46"/>
        <v>550</v>
      </c>
      <c r="T875" s="3">
        <f t="shared" si="47"/>
        <v>0</v>
      </c>
      <c r="U875" s="3" t="s">
        <v>60</v>
      </c>
      <c r="V875" s="14" t="s">
        <v>6</v>
      </c>
      <c r="W875" s="14" t="s">
        <v>4287</v>
      </c>
      <c r="X875" s="14" t="s">
        <v>60</v>
      </c>
    </row>
    <row r="876" spans="1:24" ht="15" x14ac:dyDescent="0.3">
      <c r="A876" s="3">
        <v>10</v>
      </c>
      <c r="B876" s="3" t="s">
        <v>2052</v>
      </c>
      <c r="C876" s="14" t="s">
        <v>0</v>
      </c>
      <c r="D876" s="14" t="s">
        <v>2053</v>
      </c>
      <c r="E876" s="14" t="s">
        <v>2054</v>
      </c>
      <c r="F876" s="14" t="s">
        <v>2055</v>
      </c>
      <c r="G876" s="14" t="s">
        <v>3</v>
      </c>
      <c r="H876" s="14" t="s">
        <v>7466</v>
      </c>
      <c r="I876" s="14" t="s">
        <v>7467</v>
      </c>
      <c r="J876" s="14" t="s">
        <v>60</v>
      </c>
      <c r="K876" s="14" t="s">
        <v>60</v>
      </c>
      <c r="L876" s="14" t="s">
        <v>60</v>
      </c>
      <c r="M876" s="14" t="s">
        <v>2056</v>
      </c>
      <c r="N876" s="14" t="s">
        <v>60</v>
      </c>
      <c r="O876" s="14" t="s">
        <v>193</v>
      </c>
      <c r="P876" s="14" t="s">
        <v>7468</v>
      </c>
      <c r="Q876" s="14" t="s">
        <v>1761</v>
      </c>
      <c r="R876" s="3">
        <v>0</v>
      </c>
      <c r="S876" s="3">
        <f t="shared" si="46"/>
        <v>550</v>
      </c>
      <c r="T876" s="3">
        <f t="shared" si="47"/>
        <v>0</v>
      </c>
      <c r="U876" s="3" t="s">
        <v>60</v>
      </c>
      <c r="V876" s="14" t="s">
        <v>6</v>
      </c>
      <c r="W876" s="14" t="s">
        <v>4287</v>
      </c>
      <c r="X876" s="14" t="s">
        <v>60</v>
      </c>
    </row>
    <row r="877" spans="1:24" ht="15" x14ac:dyDescent="0.3">
      <c r="A877" s="3">
        <v>11</v>
      </c>
      <c r="B877" s="3" t="s">
        <v>7469</v>
      </c>
      <c r="C877" s="14" t="s">
        <v>0</v>
      </c>
      <c r="D877" s="14" t="s">
        <v>2057</v>
      </c>
      <c r="E877" s="14" t="s">
        <v>4293</v>
      </c>
      <c r="F877" s="14" t="s">
        <v>2058</v>
      </c>
      <c r="G877" s="14" t="s">
        <v>3</v>
      </c>
      <c r="H877" s="14" t="s">
        <v>7470</v>
      </c>
      <c r="I877" s="14" t="s">
        <v>2059</v>
      </c>
      <c r="J877" s="14" t="s">
        <v>60</v>
      </c>
      <c r="K877" s="14" t="s">
        <v>60</v>
      </c>
      <c r="L877" s="14" t="s">
        <v>60</v>
      </c>
      <c r="M877" s="14" t="s">
        <v>2059</v>
      </c>
      <c r="N877" s="14" t="s">
        <v>60</v>
      </c>
      <c r="O877" s="14" t="s">
        <v>193</v>
      </c>
      <c r="P877" s="14" t="s">
        <v>7471</v>
      </c>
      <c r="Q877" s="14" t="s">
        <v>588</v>
      </c>
      <c r="R877" s="3">
        <v>0</v>
      </c>
      <c r="S877" s="3">
        <f t="shared" si="46"/>
        <v>550</v>
      </c>
      <c r="T877" s="3">
        <f t="shared" si="47"/>
        <v>0</v>
      </c>
      <c r="U877" s="3" t="s">
        <v>60</v>
      </c>
      <c r="V877" s="14" t="s">
        <v>6</v>
      </c>
      <c r="W877" s="14" t="s">
        <v>4287</v>
      </c>
      <c r="X877" s="14" t="s">
        <v>60</v>
      </c>
    </row>
    <row r="878" spans="1:24" ht="15" x14ac:dyDescent="0.3">
      <c r="A878" s="3">
        <v>12</v>
      </c>
      <c r="B878" s="3" t="s">
        <v>7472</v>
      </c>
      <c r="C878" s="14" t="s">
        <v>0</v>
      </c>
      <c r="D878" s="14" t="s">
        <v>2060</v>
      </c>
      <c r="E878" s="14" t="s">
        <v>7473</v>
      </c>
      <c r="F878" s="14" t="s">
        <v>2061</v>
      </c>
      <c r="G878" s="14" t="s">
        <v>3</v>
      </c>
      <c r="H878" s="14" t="s">
        <v>7474</v>
      </c>
      <c r="I878" s="14" t="s">
        <v>2062</v>
      </c>
      <c r="J878" s="14" t="s">
        <v>60</v>
      </c>
      <c r="K878" s="14" t="s">
        <v>60</v>
      </c>
      <c r="L878" s="14" t="s">
        <v>60</v>
      </c>
      <c r="M878" s="14" t="s">
        <v>2063</v>
      </c>
      <c r="N878" s="14" t="s">
        <v>60</v>
      </c>
      <c r="O878" s="14" t="s">
        <v>193</v>
      </c>
      <c r="P878" s="14" t="s">
        <v>7475</v>
      </c>
      <c r="Q878" s="14" t="s">
        <v>1676</v>
      </c>
      <c r="R878" s="3">
        <v>0</v>
      </c>
      <c r="S878" s="3">
        <f t="shared" si="46"/>
        <v>550</v>
      </c>
      <c r="T878" s="3">
        <f t="shared" si="47"/>
        <v>0</v>
      </c>
      <c r="U878" s="3" t="s">
        <v>60</v>
      </c>
      <c r="V878" s="14" t="s">
        <v>6</v>
      </c>
      <c r="W878" s="14" t="s">
        <v>4287</v>
      </c>
      <c r="X878" s="14" t="s">
        <v>60</v>
      </c>
    </row>
    <row r="879" spans="1:24" ht="15" x14ac:dyDescent="0.3">
      <c r="A879" s="3">
        <v>13</v>
      </c>
      <c r="B879" s="3" t="s">
        <v>2064</v>
      </c>
      <c r="C879" s="14" t="s">
        <v>0</v>
      </c>
      <c r="D879" s="14" t="s">
        <v>2065</v>
      </c>
      <c r="E879" s="14" t="s">
        <v>7476</v>
      </c>
      <c r="F879" s="14" t="s">
        <v>2066</v>
      </c>
      <c r="G879" s="14" t="s">
        <v>3</v>
      </c>
      <c r="H879" s="14" t="s">
        <v>7477</v>
      </c>
      <c r="I879" s="14" t="s">
        <v>7478</v>
      </c>
      <c r="J879" s="14" t="s">
        <v>60</v>
      </c>
      <c r="K879" s="14" t="s">
        <v>60</v>
      </c>
      <c r="L879" s="14" t="s">
        <v>60</v>
      </c>
      <c r="M879" s="14" t="s">
        <v>2067</v>
      </c>
      <c r="N879" s="14" t="s">
        <v>60</v>
      </c>
      <c r="O879" s="14" t="s">
        <v>193</v>
      </c>
      <c r="P879" s="14" t="s">
        <v>7479</v>
      </c>
      <c r="Q879" s="14" t="s">
        <v>5</v>
      </c>
      <c r="R879" s="3">
        <v>0</v>
      </c>
      <c r="S879" s="3">
        <f t="shared" si="46"/>
        <v>550</v>
      </c>
      <c r="T879" s="3">
        <f t="shared" si="47"/>
        <v>0</v>
      </c>
      <c r="U879" s="3" t="s">
        <v>60</v>
      </c>
      <c r="V879" s="14" t="s">
        <v>6</v>
      </c>
      <c r="W879" s="14" t="s">
        <v>4287</v>
      </c>
      <c r="X879" s="14" t="s">
        <v>60</v>
      </c>
    </row>
    <row r="880" spans="1:24" ht="15" x14ac:dyDescent="0.3">
      <c r="A880" s="3">
        <v>14</v>
      </c>
      <c r="B880" s="3" t="s">
        <v>7480</v>
      </c>
      <c r="C880" s="14" t="s">
        <v>0</v>
      </c>
      <c r="D880" s="14" t="s">
        <v>2068</v>
      </c>
      <c r="E880" s="14" t="s">
        <v>6695</v>
      </c>
      <c r="F880" s="14" t="s">
        <v>2069</v>
      </c>
      <c r="G880" s="14" t="s">
        <v>3</v>
      </c>
      <c r="H880" s="14" t="s">
        <v>7481</v>
      </c>
      <c r="I880" s="14" t="s">
        <v>7482</v>
      </c>
      <c r="J880" s="14" t="s">
        <v>60</v>
      </c>
      <c r="K880" s="14" t="s">
        <v>60</v>
      </c>
      <c r="L880" s="14" t="s">
        <v>60</v>
      </c>
      <c r="M880" s="14" t="s">
        <v>2070</v>
      </c>
      <c r="N880" s="14" t="s">
        <v>60</v>
      </c>
      <c r="O880" s="14" t="s">
        <v>193</v>
      </c>
      <c r="P880" s="14" t="s">
        <v>7483</v>
      </c>
      <c r="Q880" s="14" t="s">
        <v>588</v>
      </c>
      <c r="R880" s="3">
        <v>0</v>
      </c>
      <c r="S880" s="3">
        <f t="shared" si="46"/>
        <v>550</v>
      </c>
      <c r="T880" s="3">
        <f t="shared" si="47"/>
        <v>0</v>
      </c>
      <c r="U880" s="3" t="s">
        <v>60</v>
      </c>
      <c r="V880" s="14" t="s">
        <v>6</v>
      </c>
      <c r="W880" s="14" t="s">
        <v>4287</v>
      </c>
      <c r="X880" s="14" t="s">
        <v>60</v>
      </c>
    </row>
    <row r="881" spans="1:24" ht="15" x14ac:dyDescent="0.3">
      <c r="A881" s="3">
        <v>15</v>
      </c>
      <c r="B881" s="3" t="s">
        <v>7484</v>
      </c>
      <c r="C881" s="14" t="s">
        <v>91</v>
      </c>
      <c r="D881" s="14" t="s">
        <v>2091</v>
      </c>
      <c r="E881" s="14" t="s">
        <v>7485</v>
      </c>
      <c r="F881" s="14" t="s">
        <v>2092</v>
      </c>
      <c r="G881" s="14" t="s">
        <v>3</v>
      </c>
      <c r="H881" s="14" t="s">
        <v>7486</v>
      </c>
      <c r="I881" s="14" t="s">
        <v>2093</v>
      </c>
      <c r="J881" s="14" t="s">
        <v>60</v>
      </c>
      <c r="K881" s="14" t="s">
        <v>60</v>
      </c>
      <c r="L881" s="14" t="s">
        <v>60</v>
      </c>
      <c r="M881" s="14" t="s">
        <v>2094</v>
      </c>
      <c r="N881" s="14" t="s">
        <v>60</v>
      </c>
      <c r="O881" s="14" t="s">
        <v>60</v>
      </c>
      <c r="P881" s="14" t="s">
        <v>7487</v>
      </c>
      <c r="Q881" s="14" t="s">
        <v>176</v>
      </c>
      <c r="R881" s="3">
        <v>0</v>
      </c>
      <c r="S881" s="3">
        <f t="shared" si="46"/>
        <v>770</v>
      </c>
      <c r="T881" s="3">
        <f t="shared" si="47"/>
        <v>0</v>
      </c>
      <c r="U881" s="3" t="s">
        <v>60</v>
      </c>
      <c r="V881" s="14" t="s">
        <v>6</v>
      </c>
      <c r="W881" s="14" t="s">
        <v>4287</v>
      </c>
      <c r="X881" s="14" t="s">
        <v>60</v>
      </c>
    </row>
    <row r="882" spans="1:24" ht="15" x14ac:dyDescent="0.3">
      <c r="A882" s="3">
        <v>16</v>
      </c>
      <c r="B882" s="3" t="s">
        <v>7488</v>
      </c>
      <c r="C882" s="14" t="s">
        <v>69</v>
      </c>
      <c r="D882" s="14" t="s">
        <v>2045</v>
      </c>
      <c r="E882" s="14" t="s">
        <v>2046</v>
      </c>
      <c r="F882" s="14" t="s">
        <v>2047</v>
      </c>
      <c r="G882" s="14" t="s">
        <v>3</v>
      </c>
      <c r="H882" s="14" t="s">
        <v>7489</v>
      </c>
      <c r="I882" s="14" t="s">
        <v>7490</v>
      </c>
      <c r="J882" s="14" t="s">
        <v>60</v>
      </c>
      <c r="K882" s="14" t="s">
        <v>60</v>
      </c>
      <c r="L882" s="14" t="s">
        <v>60</v>
      </c>
      <c r="M882" s="14" t="s">
        <v>2048</v>
      </c>
      <c r="N882" s="14" t="s">
        <v>60</v>
      </c>
      <c r="O882" s="14" t="s">
        <v>193</v>
      </c>
      <c r="P882" s="14" t="s">
        <v>7491</v>
      </c>
      <c r="Q882" s="14" t="s">
        <v>11</v>
      </c>
      <c r="R882" s="3">
        <v>0</v>
      </c>
      <c r="S882" s="3">
        <f t="shared" si="46"/>
        <v>570</v>
      </c>
      <c r="T882" s="3">
        <f t="shared" si="47"/>
        <v>0</v>
      </c>
      <c r="U882" s="3" t="s">
        <v>60</v>
      </c>
      <c r="V882" s="14" t="s">
        <v>6</v>
      </c>
      <c r="W882" s="14" t="s">
        <v>4287</v>
      </c>
      <c r="X882" s="14" t="s">
        <v>60</v>
      </c>
    </row>
    <row r="883" spans="1:24" ht="15" x14ac:dyDescent="0.3">
      <c r="A883" s="3">
        <v>17</v>
      </c>
      <c r="B883" s="3" t="s">
        <v>7492</v>
      </c>
      <c r="C883" s="14" t="s">
        <v>14</v>
      </c>
      <c r="D883" s="14" t="s">
        <v>2080</v>
      </c>
      <c r="E883" s="14" t="s">
        <v>7493</v>
      </c>
      <c r="F883" s="14" t="s">
        <v>2081</v>
      </c>
      <c r="G883" s="14" t="s">
        <v>3</v>
      </c>
      <c r="H883" s="14" t="s">
        <v>7494</v>
      </c>
      <c r="I883" s="14" t="s">
        <v>2082</v>
      </c>
      <c r="J883" s="14" t="s">
        <v>60</v>
      </c>
      <c r="K883" s="14" t="s">
        <v>60</v>
      </c>
      <c r="L883" s="14" t="s">
        <v>60</v>
      </c>
      <c r="M883" s="14" t="s">
        <v>2083</v>
      </c>
      <c r="N883" s="14" t="s">
        <v>60</v>
      </c>
      <c r="O883" s="14" t="s">
        <v>7495</v>
      </c>
      <c r="P883" s="14" t="s">
        <v>7496</v>
      </c>
      <c r="Q883" s="14" t="s">
        <v>2084</v>
      </c>
      <c r="R883" s="3">
        <v>0</v>
      </c>
      <c r="S883" s="3">
        <f t="shared" si="46"/>
        <v>640</v>
      </c>
      <c r="T883" s="3">
        <f t="shared" si="47"/>
        <v>0</v>
      </c>
      <c r="U883" s="3" t="s">
        <v>60</v>
      </c>
      <c r="V883" s="14" t="s">
        <v>6</v>
      </c>
      <c r="W883" s="14" t="s">
        <v>4287</v>
      </c>
      <c r="X883" s="14" t="s">
        <v>60</v>
      </c>
    </row>
    <row r="884" spans="1:24" ht="15" x14ac:dyDescent="0.3">
      <c r="A884" s="3">
        <v>18</v>
      </c>
      <c r="B884" s="3" t="s">
        <v>2085</v>
      </c>
      <c r="C884" s="14" t="s">
        <v>14</v>
      </c>
      <c r="D884" s="14" t="s">
        <v>2086</v>
      </c>
      <c r="E884" s="14" t="s">
        <v>6868</v>
      </c>
      <c r="F884" s="14" t="s">
        <v>2087</v>
      </c>
      <c r="G884" s="14" t="s">
        <v>3</v>
      </c>
      <c r="H884" s="14" t="s">
        <v>7497</v>
      </c>
      <c r="I884" s="14" t="s">
        <v>2088</v>
      </c>
      <c r="J884" s="14" t="s">
        <v>60</v>
      </c>
      <c r="K884" s="14" t="s">
        <v>60</v>
      </c>
      <c r="L884" s="14" t="s">
        <v>60</v>
      </c>
      <c r="M884" s="14" t="s">
        <v>2089</v>
      </c>
      <c r="N884" s="14" t="s">
        <v>60</v>
      </c>
      <c r="O884" s="14" t="s">
        <v>7498</v>
      </c>
      <c r="P884" s="14" t="s">
        <v>7499</v>
      </c>
      <c r="Q884" s="14" t="s">
        <v>2090</v>
      </c>
      <c r="R884" s="3">
        <v>0</v>
      </c>
      <c r="S884" s="3">
        <f t="shared" si="46"/>
        <v>640</v>
      </c>
      <c r="T884" s="3">
        <f t="shared" si="47"/>
        <v>0</v>
      </c>
      <c r="U884" s="3" t="s">
        <v>60</v>
      </c>
      <c r="V884" s="14" t="s">
        <v>6</v>
      </c>
      <c r="W884" s="14" t="s">
        <v>4287</v>
      </c>
      <c r="X884" s="14" t="s">
        <v>60</v>
      </c>
    </row>
    <row r="885" spans="1:24" ht="15" x14ac:dyDescent="0.3">
      <c r="A885" s="3">
        <v>19</v>
      </c>
      <c r="B885" s="3" t="s">
        <v>7500</v>
      </c>
      <c r="C885" s="14" t="s">
        <v>91</v>
      </c>
      <c r="D885" s="14" t="s">
        <v>2095</v>
      </c>
      <c r="E885" s="14" t="s">
        <v>7501</v>
      </c>
      <c r="F885" s="14" t="s">
        <v>2096</v>
      </c>
      <c r="G885" s="14" t="s">
        <v>3</v>
      </c>
      <c r="H885" s="14" t="s">
        <v>7502</v>
      </c>
      <c r="I885" s="14" t="s">
        <v>2097</v>
      </c>
      <c r="J885" s="14" t="s">
        <v>60</v>
      </c>
      <c r="K885" s="14" t="s">
        <v>60</v>
      </c>
      <c r="L885" s="14" t="s">
        <v>60</v>
      </c>
      <c r="M885" s="14" t="s">
        <v>60</v>
      </c>
      <c r="N885" s="14" t="s">
        <v>60</v>
      </c>
      <c r="O885" s="14" t="s">
        <v>193</v>
      </c>
      <c r="P885" s="14" t="s">
        <v>7503</v>
      </c>
      <c r="Q885" s="14" t="s">
        <v>1676</v>
      </c>
      <c r="R885" s="3">
        <v>0</v>
      </c>
      <c r="S885" s="3">
        <f t="shared" si="46"/>
        <v>770</v>
      </c>
      <c r="T885" s="3">
        <f t="shared" si="47"/>
        <v>0</v>
      </c>
      <c r="U885" s="3" t="s">
        <v>60</v>
      </c>
      <c r="V885" s="14" t="s">
        <v>6</v>
      </c>
      <c r="W885" s="14" t="s">
        <v>4287</v>
      </c>
      <c r="X885" s="14" t="s">
        <v>60</v>
      </c>
    </row>
    <row r="886" spans="1:24" ht="15" x14ac:dyDescent="0.3">
      <c r="A886" s="3">
        <v>20</v>
      </c>
      <c r="B886" s="3" t="s">
        <v>7504</v>
      </c>
      <c r="C886" s="14" t="s">
        <v>0</v>
      </c>
      <c r="D886" s="14" t="s">
        <v>2126</v>
      </c>
      <c r="E886" s="14" t="s">
        <v>7505</v>
      </c>
      <c r="F886" s="14" t="s">
        <v>2127</v>
      </c>
      <c r="G886" s="14" t="s">
        <v>3</v>
      </c>
      <c r="H886" s="14" t="s">
        <v>7506</v>
      </c>
      <c r="I886" s="14" t="s">
        <v>2128</v>
      </c>
      <c r="J886" s="14" t="s">
        <v>60</v>
      </c>
      <c r="K886" s="14" t="s">
        <v>60</v>
      </c>
      <c r="L886" s="14" t="s">
        <v>60</v>
      </c>
      <c r="M886" s="14" t="s">
        <v>60</v>
      </c>
      <c r="N886" s="14" t="s">
        <v>60</v>
      </c>
      <c r="O886" s="14" t="s">
        <v>2129</v>
      </c>
      <c r="P886" s="14" t="s">
        <v>7507</v>
      </c>
      <c r="Q886" s="14" t="s">
        <v>11</v>
      </c>
      <c r="R886" s="3">
        <v>0</v>
      </c>
      <c r="S886" s="3">
        <f t="shared" si="46"/>
        <v>550</v>
      </c>
      <c r="T886" s="3">
        <f t="shared" si="47"/>
        <v>0</v>
      </c>
      <c r="U886" s="3">
        <f>SUM(T867:T886)</f>
        <v>0</v>
      </c>
      <c r="V886" s="14" t="s">
        <v>6</v>
      </c>
      <c r="W886" s="14" t="s">
        <v>5980</v>
      </c>
      <c r="X886" s="14" t="s">
        <v>60</v>
      </c>
    </row>
    <row r="887" spans="1:24" ht="15" x14ac:dyDescent="0.3">
      <c r="A887" s="3">
        <v>21</v>
      </c>
      <c r="B887" s="3" t="s">
        <v>7508</v>
      </c>
      <c r="C887" s="14" t="s">
        <v>0</v>
      </c>
      <c r="D887" s="14" t="s">
        <v>7509</v>
      </c>
      <c r="E887" s="14" t="s">
        <v>4864</v>
      </c>
      <c r="F887" s="14" t="s">
        <v>2130</v>
      </c>
      <c r="G887" s="14" t="s">
        <v>3</v>
      </c>
      <c r="H887" s="14" t="s">
        <v>2131</v>
      </c>
      <c r="I887" s="14" t="s">
        <v>2132</v>
      </c>
      <c r="J887" s="14" t="s">
        <v>60</v>
      </c>
      <c r="K887" s="14" t="s">
        <v>60</v>
      </c>
      <c r="L887" s="14" t="s">
        <v>60</v>
      </c>
      <c r="M887" s="14" t="s">
        <v>2133</v>
      </c>
      <c r="N887" s="14" t="s">
        <v>60</v>
      </c>
      <c r="O887" s="14" t="s">
        <v>1617</v>
      </c>
      <c r="P887" s="14" t="s">
        <v>7510</v>
      </c>
      <c r="Q887" s="14" t="s">
        <v>81</v>
      </c>
      <c r="R887" s="3">
        <v>0</v>
      </c>
      <c r="S887" s="3">
        <f t="shared" si="46"/>
        <v>550</v>
      </c>
      <c r="T887" s="3">
        <f t="shared" si="47"/>
        <v>0</v>
      </c>
      <c r="U887" s="3" t="s">
        <v>60</v>
      </c>
      <c r="V887" s="14" t="s">
        <v>6</v>
      </c>
      <c r="W887" s="14" t="s">
        <v>7511</v>
      </c>
      <c r="X887" s="14" t="s">
        <v>60</v>
      </c>
    </row>
    <row r="888" spans="1:24" ht="15" x14ac:dyDescent="0.3">
      <c r="A888" s="3">
        <v>22</v>
      </c>
      <c r="B888" s="3" t="s">
        <v>7512</v>
      </c>
      <c r="C888" s="14" t="s">
        <v>0</v>
      </c>
      <c r="D888" s="14" t="s">
        <v>2138</v>
      </c>
      <c r="E888" s="14" t="s">
        <v>5557</v>
      </c>
      <c r="F888" s="14" t="s">
        <v>2139</v>
      </c>
      <c r="G888" s="14" t="s">
        <v>3</v>
      </c>
      <c r="H888" s="14" t="s">
        <v>7513</v>
      </c>
      <c r="I888" s="14" t="s">
        <v>2140</v>
      </c>
      <c r="J888" s="14" t="s">
        <v>60</v>
      </c>
      <c r="K888" s="14" t="s">
        <v>60</v>
      </c>
      <c r="L888" s="14" t="s">
        <v>60</v>
      </c>
      <c r="M888" s="14" t="s">
        <v>60</v>
      </c>
      <c r="N888" s="14" t="s">
        <v>60</v>
      </c>
      <c r="O888" s="14" t="s">
        <v>114</v>
      </c>
      <c r="P888" s="14" t="s">
        <v>7514</v>
      </c>
      <c r="Q888" s="14" t="s">
        <v>11</v>
      </c>
      <c r="R888" s="3">
        <v>0</v>
      </c>
      <c r="S888" s="3">
        <f t="shared" si="46"/>
        <v>550</v>
      </c>
      <c r="T888" s="3">
        <f t="shared" si="47"/>
        <v>0</v>
      </c>
      <c r="U888" s="3" t="s">
        <v>60</v>
      </c>
      <c r="V888" s="14" t="s">
        <v>6</v>
      </c>
      <c r="W888" s="14" t="s">
        <v>6789</v>
      </c>
      <c r="X888" s="14" t="s">
        <v>60</v>
      </c>
    </row>
    <row r="889" spans="1:24" ht="15" x14ac:dyDescent="0.3">
      <c r="A889" s="3">
        <v>23</v>
      </c>
      <c r="B889" s="3" t="s">
        <v>7515</v>
      </c>
      <c r="C889" s="14" t="s">
        <v>0</v>
      </c>
      <c r="D889" s="14" t="s">
        <v>2141</v>
      </c>
      <c r="E889" s="14" t="s">
        <v>7516</v>
      </c>
      <c r="F889" s="14" t="s">
        <v>2142</v>
      </c>
      <c r="G889" s="14" t="s">
        <v>3</v>
      </c>
      <c r="H889" s="14" t="s">
        <v>7517</v>
      </c>
      <c r="I889" s="14" t="s">
        <v>2143</v>
      </c>
      <c r="J889" s="14" t="s">
        <v>60</v>
      </c>
      <c r="K889" s="14" t="s">
        <v>60</v>
      </c>
      <c r="L889" s="14" t="s">
        <v>60</v>
      </c>
      <c r="M889" s="14" t="s">
        <v>2144</v>
      </c>
      <c r="N889" s="14" t="s">
        <v>60</v>
      </c>
      <c r="O889" s="14" t="s">
        <v>169</v>
      </c>
      <c r="P889" s="14" t="s">
        <v>7518</v>
      </c>
      <c r="Q889" s="14" t="s">
        <v>11</v>
      </c>
      <c r="R889" s="3">
        <v>0</v>
      </c>
      <c r="S889" s="3">
        <f t="shared" si="46"/>
        <v>550</v>
      </c>
      <c r="T889" s="3">
        <f t="shared" si="47"/>
        <v>0</v>
      </c>
      <c r="U889" s="3" t="s">
        <v>60</v>
      </c>
      <c r="V889" s="14" t="s">
        <v>6</v>
      </c>
      <c r="W889" s="14" t="s">
        <v>7519</v>
      </c>
      <c r="X889" s="14" t="s">
        <v>60</v>
      </c>
    </row>
    <row r="890" spans="1:24" ht="15" x14ac:dyDescent="0.3">
      <c r="A890" s="3">
        <v>24</v>
      </c>
      <c r="B890" s="3" t="s">
        <v>7520</v>
      </c>
      <c r="C890" s="14" t="s">
        <v>0</v>
      </c>
      <c r="D890" s="14" t="s">
        <v>2145</v>
      </c>
      <c r="E890" s="14" t="s">
        <v>7521</v>
      </c>
      <c r="F890" s="14" t="s">
        <v>2146</v>
      </c>
      <c r="G890" s="14" t="s">
        <v>3</v>
      </c>
      <c r="H890" s="14" t="s">
        <v>7522</v>
      </c>
      <c r="I890" s="14" t="s">
        <v>2147</v>
      </c>
      <c r="J890" s="14" t="s">
        <v>60</v>
      </c>
      <c r="K890" s="14" t="s">
        <v>60</v>
      </c>
      <c r="L890" s="14" t="s">
        <v>60</v>
      </c>
      <c r="M890" s="14" t="s">
        <v>60</v>
      </c>
      <c r="N890" s="14" t="s">
        <v>60</v>
      </c>
      <c r="O890" s="14" t="s">
        <v>255</v>
      </c>
      <c r="P890" s="14" t="s">
        <v>7523</v>
      </c>
      <c r="Q890" s="14" t="s">
        <v>11</v>
      </c>
      <c r="R890" s="3">
        <v>0</v>
      </c>
      <c r="S890" s="3">
        <f t="shared" si="46"/>
        <v>550</v>
      </c>
      <c r="T890" s="3">
        <f t="shared" si="47"/>
        <v>0</v>
      </c>
      <c r="U890" s="3" t="s">
        <v>60</v>
      </c>
      <c r="V890" s="14" t="s">
        <v>7524</v>
      </c>
      <c r="W890" s="14" t="s">
        <v>7206</v>
      </c>
      <c r="X890" s="14" t="s">
        <v>60</v>
      </c>
    </row>
    <row r="891" spans="1:24" ht="15" x14ac:dyDescent="0.3">
      <c r="A891" s="3">
        <v>25</v>
      </c>
      <c r="B891" s="3" t="s">
        <v>7525</v>
      </c>
      <c r="C891" s="14" t="s">
        <v>0</v>
      </c>
      <c r="D891" s="14" t="s">
        <v>2148</v>
      </c>
      <c r="E891" s="14" t="s">
        <v>7526</v>
      </c>
      <c r="F891" s="14" t="s">
        <v>2149</v>
      </c>
      <c r="G891" s="14" t="s">
        <v>3</v>
      </c>
      <c r="H891" s="14" t="s">
        <v>7527</v>
      </c>
      <c r="I891" s="14" t="s">
        <v>2150</v>
      </c>
      <c r="J891" s="14" t="s">
        <v>60</v>
      </c>
      <c r="K891" s="14" t="s">
        <v>60</v>
      </c>
      <c r="L891" s="14" t="s">
        <v>60</v>
      </c>
      <c r="M891" s="14" t="s">
        <v>60</v>
      </c>
      <c r="N891" s="14" t="s">
        <v>60</v>
      </c>
      <c r="O891" s="14" t="s">
        <v>261</v>
      </c>
      <c r="P891" s="14" t="s">
        <v>7528</v>
      </c>
      <c r="Q891" s="14" t="s">
        <v>2151</v>
      </c>
      <c r="R891" s="3">
        <v>0</v>
      </c>
      <c r="S891" s="3">
        <f t="shared" si="46"/>
        <v>550</v>
      </c>
      <c r="T891" s="3">
        <f t="shared" si="47"/>
        <v>0</v>
      </c>
      <c r="U891" s="3" t="s">
        <v>60</v>
      </c>
      <c r="V891" s="14" t="s">
        <v>7524</v>
      </c>
      <c r="W891" s="14" t="s">
        <v>4202</v>
      </c>
      <c r="X891" s="14" t="s">
        <v>60</v>
      </c>
    </row>
    <row r="892" spans="1:24" ht="15" x14ac:dyDescent="0.3">
      <c r="A892" s="3">
        <v>26</v>
      </c>
      <c r="B892" s="3" t="s">
        <v>7529</v>
      </c>
      <c r="C892" s="14" t="s">
        <v>0</v>
      </c>
      <c r="D892" s="14" t="s">
        <v>2152</v>
      </c>
      <c r="E892" s="14" t="s">
        <v>4895</v>
      </c>
      <c r="F892" s="14" t="s">
        <v>2153</v>
      </c>
      <c r="G892" s="14" t="s">
        <v>3</v>
      </c>
      <c r="H892" s="14" t="s">
        <v>7530</v>
      </c>
      <c r="I892" s="14" t="s">
        <v>2154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261</v>
      </c>
      <c r="P892" s="14" t="s">
        <v>7531</v>
      </c>
      <c r="Q892" s="14" t="s">
        <v>11</v>
      </c>
      <c r="R892" s="3">
        <v>0</v>
      </c>
      <c r="S892" s="3">
        <f t="shared" si="46"/>
        <v>550</v>
      </c>
      <c r="T892" s="3">
        <f t="shared" si="47"/>
        <v>0</v>
      </c>
      <c r="U892" s="3" t="s">
        <v>60</v>
      </c>
      <c r="V892" s="14" t="s">
        <v>7524</v>
      </c>
      <c r="W892" s="14" t="s">
        <v>4202</v>
      </c>
      <c r="X892" s="14" t="s">
        <v>60</v>
      </c>
    </row>
    <row r="893" spans="1:24" ht="15" x14ac:dyDescent="0.3">
      <c r="A893" s="3">
        <v>27</v>
      </c>
      <c r="B893" s="3" t="s">
        <v>7532</v>
      </c>
      <c r="C893" s="14" t="s">
        <v>0</v>
      </c>
      <c r="D893" s="14" t="s">
        <v>2155</v>
      </c>
      <c r="E893" s="14" t="s">
        <v>7533</v>
      </c>
      <c r="F893" s="14" t="s">
        <v>2138</v>
      </c>
      <c r="G893" s="14" t="s">
        <v>3</v>
      </c>
      <c r="H893" s="14" t="s">
        <v>7534</v>
      </c>
      <c r="I893" s="14" t="s">
        <v>2156</v>
      </c>
      <c r="J893" s="14" t="s">
        <v>60</v>
      </c>
      <c r="K893" s="14" t="s">
        <v>60</v>
      </c>
      <c r="L893" s="14" t="s">
        <v>60</v>
      </c>
      <c r="M893" s="14" t="s">
        <v>2157</v>
      </c>
      <c r="N893" s="14" t="s">
        <v>60</v>
      </c>
      <c r="O893" s="14" t="s">
        <v>261</v>
      </c>
      <c r="P893" s="14" t="s">
        <v>7535</v>
      </c>
      <c r="Q893" s="14" t="s">
        <v>11</v>
      </c>
      <c r="R893" s="3">
        <v>0</v>
      </c>
      <c r="S893" s="3">
        <f t="shared" si="46"/>
        <v>550</v>
      </c>
      <c r="T893" s="3">
        <f t="shared" si="47"/>
        <v>0</v>
      </c>
      <c r="U893" s="3" t="s">
        <v>60</v>
      </c>
      <c r="V893" s="14" t="s">
        <v>7524</v>
      </c>
      <c r="W893" s="14" t="s">
        <v>4202</v>
      </c>
      <c r="X893" s="14" t="s">
        <v>60</v>
      </c>
    </row>
    <row r="894" spans="1:24" ht="15" x14ac:dyDescent="0.3">
      <c r="A894" s="3">
        <v>28</v>
      </c>
      <c r="B894" s="3" t="s">
        <v>7536</v>
      </c>
      <c r="C894" s="14" t="s">
        <v>0</v>
      </c>
      <c r="D894" s="14" t="s">
        <v>2158</v>
      </c>
      <c r="E894" s="14" t="s">
        <v>7537</v>
      </c>
      <c r="F894" s="14" t="s">
        <v>2159</v>
      </c>
      <c r="G894" s="14" t="s">
        <v>3</v>
      </c>
      <c r="H894" s="14" t="s">
        <v>7538</v>
      </c>
      <c r="I894" s="14" t="s">
        <v>2160</v>
      </c>
      <c r="J894" s="14" t="s">
        <v>60</v>
      </c>
      <c r="K894" s="14" t="s">
        <v>60</v>
      </c>
      <c r="L894" s="14" t="s">
        <v>60</v>
      </c>
      <c r="M894" s="14" t="s">
        <v>60</v>
      </c>
      <c r="N894" s="14" t="s">
        <v>60</v>
      </c>
      <c r="O894" s="14" t="s">
        <v>487</v>
      </c>
      <c r="P894" s="14" t="s">
        <v>7539</v>
      </c>
      <c r="Q894" s="14" t="s">
        <v>2161</v>
      </c>
      <c r="R894" s="3">
        <v>0</v>
      </c>
      <c r="S894" s="3">
        <f t="shared" si="46"/>
        <v>550</v>
      </c>
      <c r="T894" s="3">
        <f t="shared" si="47"/>
        <v>0</v>
      </c>
      <c r="U894" s="3" t="s">
        <v>60</v>
      </c>
      <c r="V894" s="14" t="s">
        <v>6</v>
      </c>
      <c r="W894" s="14" t="s">
        <v>6318</v>
      </c>
      <c r="X894" s="14" t="s">
        <v>60</v>
      </c>
    </row>
    <row r="895" spans="1:24" ht="15" x14ac:dyDescent="0.3">
      <c r="A895" s="3">
        <v>29</v>
      </c>
      <c r="B895" s="3" t="s">
        <v>7540</v>
      </c>
      <c r="C895" s="14" t="s">
        <v>0</v>
      </c>
      <c r="D895" s="14" t="s">
        <v>2162</v>
      </c>
      <c r="E895" s="14" t="s">
        <v>7541</v>
      </c>
      <c r="F895" s="14" t="s">
        <v>2163</v>
      </c>
      <c r="G895" s="14" t="s">
        <v>3</v>
      </c>
      <c r="H895" s="14" t="s">
        <v>7542</v>
      </c>
      <c r="I895" s="14" t="s">
        <v>2164</v>
      </c>
      <c r="J895" s="14" t="s">
        <v>60</v>
      </c>
      <c r="K895" s="14" t="s">
        <v>60</v>
      </c>
      <c r="L895" s="14" t="s">
        <v>60</v>
      </c>
      <c r="M895" s="14" t="s">
        <v>60</v>
      </c>
      <c r="N895" s="14" t="s">
        <v>60</v>
      </c>
      <c r="O895" s="14" t="s">
        <v>487</v>
      </c>
      <c r="P895" s="14" t="s">
        <v>7543</v>
      </c>
      <c r="Q895" s="14" t="s">
        <v>11</v>
      </c>
      <c r="R895" s="3">
        <v>0</v>
      </c>
      <c r="S895" s="3">
        <f t="shared" si="46"/>
        <v>550</v>
      </c>
      <c r="T895" s="3">
        <f t="shared" si="47"/>
        <v>0</v>
      </c>
      <c r="U895" s="3" t="s">
        <v>60</v>
      </c>
      <c r="V895" s="14" t="s">
        <v>6</v>
      </c>
      <c r="W895" s="14" t="s">
        <v>6318</v>
      </c>
      <c r="X895" s="14" t="s">
        <v>60</v>
      </c>
    </row>
    <row r="896" spans="1:24" ht="15" x14ac:dyDescent="0.3">
      <c r="A896" s="3">
        <v>30</v>
      </c>
      <c r="B896" s="3" t="s">
        <v>7544</v>
      </c>
      <c r="C896" s="14" t="s">
        <v>0</v>
      </c>
      <c r="D896" s="14" t="s">
        <v>2165</v>
      </c>
      <c r="E896" s="14" t="s">
        <v>7545</v>
      </c>
      <c r="F896" s="14" t="s">
        <v>2166</v>
      </c>
      <c r="G896" s="14" t="s">
        <v>3</v>
      </c>
      <c r="H896" s="14" t="s">
        <v>7546</v>
      </c>
      <c r="I896" s="14" t="s">
        <v>2167</v>
      </c>
      <c r="J896" s="14" t="s">
        <v>60</v>
      </c>
      <c r="K896" s="14" t="s">
        <v>60</v>
      </c>
      <c r="L896" s="14" t="s">
        <v>60</v>
      </c>
      <c r="M896" s="14" t="s">
        <v>60</v>
      </c>
      <c r="N896" s="14" t="s">
        <v>60</v>
      </c>
      <c r="O896" s="14" t="s">
        <v>60</v>
      </c>
      <c r="P896" s="14" t="s">
        <v>7547</v>
      </c>
      <c r="Q896" s="14" t="s">
        <v>2168</v>
      </c>
      <c r="R896" s="3">
        <v>0</v>
      </c>
      <c r="S896" s="3">
        <f t="shared" si="46"/>
        <v>550</v>
      </c>
      <c r="T896" s="3">
        <f t="shared" si="47"/>
        <v>0</v>
      </c>
      <c r="U896" s="3" t="s">
        <v>60</v>
      </c>
      <c r="V896" s="14" t="s">
        <v>6</v>
      </c>
      <c r="W896" s="14" t="s">
        <v>7227</v>
      </c>
      <c r="X896" s="14" t="s">
        <v>60</v>
      </c>
    </row>
    <row r="897" spans="1:24" ht="15" x14ac:dyDescent="0.3">
      <c r="A897" s="3">
        <v>31</v>
      </c>
      <c r="B897" s="3" t="s">
        <v>7548</v>
      </c>
      <c r="C897" s="14" t="s">
        <v>0</v>
      </c>
      <c r="D897" s="14" t="s">
        <v>2172</v>
      </c>
      <c r="E897" s="14" t="s">
        <v>7549</v>
      </c>
      <c r="F897" s="14" t="s">
        <v>1459</v>
      </c>
      <c r="G897" s="14" t="s">
        <v>3</v>
      </c>
      <c r="H897" s="14" t="s">
        <v>7550</v>
      </c>
      <c r="I897" s="14" t="s">
        <v>2173</v>
      </c>
      <c r="J897" s="14" t="s">
        <v>60</v>
      </c>
      <c r="K897" s="14" t="s">
        <v>60</v>
      </c>
      <c r="L897" s="14" t="s">
        <v>60</v>
      </c>
      <c r="M897" s="14" t="s">
        <v>60</v>
      </c>
      <c r="N897" s="14" t="s">
        <v>60</v>
      </c>
      <c r="O897" s="14" t="s">
        <v>60</v>
      </c>
      <c r="P897" s="14" t="s">
        <v>7551</v>
      </c>
      <c r="Q897" s="14" t="s">
        <v>24</v>
      </c>
      <c r="R897" s="3">
        <v>0</v>
      </c>
      <c r="S897" s="3">
        <f t="shared" si="46"/>
        <v>550</v>
      </c>
      <c r="T897" s="3">
        <f t="shared" si="47"/>
        <v>0</v>
      </c>
      <c r="U897" s="3" t="s">
        <v>60</v>
      </c>
      <c r="V897" s="14" t="s">
        <v>6</v>
      </c>
      <c r="W897" s="14" t="s">
        <v>7227</v>
      </c>
      <c r="X897" s="14" t="s">
        <v>60</v>
      </c>
    </row>
    <row r="898" spans="1:24" ht="15" x14ac:dyDescent="0.3">
      <c r="A898" s="3">
        <v>32</v>
      </c>
      <c r="B898" s="3" t="s">
        <v>7552</v>
      </c>
      <c r="C898" s="14" t="s">
        <v>0</v>
      </c>
      <c r="D898" s="14" t="s">
        <v>2174</v>
      </c>
      <c r="E898" s="14" t="s">
        <v>7553</v>
      </c>
      <c r="F898" s="14" t="s">
        <v>2175</v>
      </c>
      <c r="G898" s="14" t="s">
        <v>3</v>
      </c>
      <c r="H898" s="14" t="s">
        <v>7554</v>
      </c>
      <c r="I898" s="14" t="s">
        <v>2176</v>
      </c>
      <c r="J898" s="14" t="s">
        <v>60</v>
      </c>
      <c r="K898" s="14" t="s">
        <v>60</v>
      </c>
      <c r="L898" s="14" t="s">
        <v>60</v>
      </c>
      <c r="M898" s="14" t="s">
        <v>60</v>
      </c>
      <c r="N898" s="14" t="s">
        <v>60</v>
      </c>
      <c r="O898" s="14" t="s">
        <v>60</v>
      </c>
      <c r="P898" s="14" t="s">
        <v>7555</v>
      </c>
      <c r="Q898" s="14" t="s">
        <v>11</v>
      </c>
      <c r="R898" s="3">
        <v>0</v>
      </c>
      <c r="S898" s="3">
        <f t="shared" si="46"/>
        <v>550</v>
      </c>
      <c r="T898" s="3">
        <f t="shared" si="47"/>
        <v>0</v>
      </c>
      <c r="U898" s="3" t="s">
        <v>60</v>
      </c>
      <c r="V898" s="14" t="s">
        <v>6</v>
      </c>
      <c r="W898" s="14" t="s">
        <v>7227</v>
      </c>
      <c r="X898" s="14" t="s">
        <v>60</v>
      </c>
    </row>
    <row r="899" spans="1:24" ht="15" x14ac:dyDescent="0.3">
      <c r="A899" s="3">
        <v>33</v>
      </c>
      <c r="B899" s="3" t="s">
        <v>7556</v>
      </c>
      <c r="C899" s="14" t="s">
        <v>0</v>
      </c>
      <c r="D899" s="14" t="s">
        <v>2177</v>
      </c>
      <c r="E899" s="14" t="s">
        <v>7557</v>
      </c>
      <c r="F899" s="14" t="s">
        <v>2178</v>
      </c>
      <c r="G899" s="14" t="s">
        <v>3</v>
      </c>
      <c r="H899" s="14" t="s">
        <v>7558</v>
      </c>
      <c r="I899" s="14" t="s">
        <v>2179</v>
      </c>
      <c r="J899" s="14" t="s">
        <v>60</v>
      </c>
      <c r="K899" s="14" t="s">
        <v>60</v>
      </c>
      <c r="L899" s="14" t="s">
        <v>60</v>
      </c>
      <c r="M899" s="14" t="s">
        <v>2180</v>
      </c>
      <c r="N899" s="14" t="s">
        <v>60</v>
      </c>
      <c r="O899" s="14" t="s">
        <v>193</v>
      </c>
      <c r="P899" s="14" t="s">
        <v>7559</v>
      </c>
      <c r="Q899" s="14" t="s">
        <v>588</v>
      </c>
      <c r="R899" s="3">
        <v>0</v>
      </c>
      <c r="S899" s="3">
        <f t="shared" si="46"/>
        <v>550</v>
      </c>
      <c r="T899" s="3">
        <f t="shared" si="47"/>
        <v>0</v>
      </c>
      <c r="U899" s="3" t="s">
        <v>60</v>
      </c>
      <c r="V899" s="14" t="s">
        <v>6</v>
      </c>
      <c r="W899" s="14" t="s">
        <v>4287</v>
      </c>
      <c r="X899" s="14" t="s">
        <v>60</v>
      </c>
    </row>
    <row r="900" spans="1:24" ht="15" x14ac:dyDescent="0.3">
      <c r="A900" s="3">
        <v>34</v>
      </c>
      <c r="B900" s="3" t="s">
        <v>7560</v>
      </c>
      <c r="C900" s="14" t="s">
        <v>0</v>
      </c>
      <c r="D900" s="14" t="s">
        <v>1969</v>
      </c>
      <c r="E900" s="14" t="s">
        <v>7561</v>
      </c>
      <c r="F900" s="14" t="s">
        <v>2245</v>
      </c>
      <c r="G900" s="14" t="s">
        <v>3</v>
      </c>
      <c r="H900" s="14" t="s">
        <v>7562</v>
      </c>
      <c r="I900" s="14" t="s">
        <v>2246</v>
      </c>
      <c r="J900" s="14" t="s">
        <v>60</v>
      </c>
      <c r="K900" s="14" t="s">
        <v>60</v>
      </c>
      <c r="L900" s="14" t="s">
        <v>60</v>
      </c>
      <c r="M900" s="14" t="s">
        <v>2247</v>
      </c>
      <c r="N900" s="14" t="s">
        <v>60</v>
      </c>
      <c r="O900" s="14" t="s">
        <v>60</v>
      </c>
      <c r="P900" s="14" t="s">
        <v>7563</v>
      </c>
      <c r="Q900" s="14" t="s">
        <v>11</v>
      </c>
      <c r="R900" s="3">
        <v>0</v>
      </c>
      <c r="S900" s="3">
        <f t="shared" si="46"/>
        <v>550</v>
      </c>
      <c r="T900" s="3">
        <f t="shared" si="47"/>
        <v>0</v>
      </c>
      <c r="U900" s="3" t="s">
        <v>60</v>
      </c>
      <c r="V900" s="14" t="s">
        <v>6</v>
      </c>
      <c r="W900" s="14" t="s">
        <v>4198</v>
      </c>
      <c r="X900" s="14" t="s">
        <v>60</v>
      </c>
    </row>
    <row r="901" spans="1:24" ht="15" x14ac:dyDescent="0.3">
      <c r="A901" s="3">
        <v>35</v>
      </c>
      <c r="B901" s="3" t="s">
        <v>7564</v>
      </c>
      <c r="C901" s="14" t="s">
        <v>0</v>
      </c>
      <c r="D901" s="14" t="s">
        <v>2248</v>
      </c>
      <c r="E901" s="14" t="s">
        <v>4195</v>
      </c>
      <c r="F901" s="14" t="s">
        <v>2249</v>
      </c>
      <c r="G901" s="14" t="s">
        <v>3</v>
      </c>
      <c r="H901" s="14" t="s">
        <v>7565</v>
      </c>
      <c r="I901" s="14" t="s">
        <v>2250</v>
      </c>
      <c r="J901" s="14" t="s">
        <v>60</v>
      </c>
      <c r="K901" s="14" t="s">
        <v>60</v>
      </c>
      <c r="L901" s="14" t="s">
        <v>60</v>
      </c>
      <c r="M901" s="14" t="s">
        <v>2251</v>
      </c>
      <c r="N901" s="14" t="s">
        <v>60</v>
      </c>
      <c r="O901" s="14" t="s">
        <v>60</v>
      </c>
      <c r="P901" s="14" t="s">
        <v>7566</v>
      </c>
      <c r="Q901" s="14" t="s">
        <v>11</v>
      </c>
      <c r="R901" s="3">
        <v>0</v>
      </c>
      <c r="S901" s="3">
        <f t="shared" si="46"/>
        <v>550</v>
      </c>
      <c r="T901" s="3">
        <f t="shared" si="47"/>
        <v>0</v>
      </c>
      <c r="U901" s="3" t="s">
        <v>60</v>
      </c>
      <c r="V901" s="14" t="s">
        <v>6</v>
      </c>
      <c r="W901" s="14" t="s">
        <v>4198</v>
      </c>
      <c r="X901" s="14" t="s">
        <v>60</v>
      </c>
    </row>
    <row r="902" spans="1:24" ht="15" x14ac:dyDescent="0.3">
      <c r="A902" s="3">
        <v>36</v>
      </c>
      <c r="B902" s="3" t="s">
        <v>7567</v>
      </c>
      <c r="C902" s="14" t="s">
        <v>0</v>
      </c>
      <c r="D902" s="14" t="s">
        <v>2264</v>
      </c>
      <c r="E902" s="14" t="s">
        <v>6778</v>
      </c>
      <c r="F902" s="14" t="s">
        <v>2214</v>
      </c>
      <c r="G902" s="14" t="s">
        <v>3</v>
      </c>
      <c r="H902" s="14" t="s">
        <v>7568</v>
      </c>
      <c r="I902" s="14" t="s">
        <v>2265</v>
      </c>
      <c r="J902" s="14" t="s">
        <v>60</v>
      </c>
      <c r="K902" s="14" t="s">
        <v>60</v>
      </c>
      <c r="L902" s="14" t="s">
        <v>60</v>
      </c>
      <c r="M902" s="14" t="s">
        <v>60</v>
      </c>
      <c r="N902" s="14" t="s">
        <v>60</v>
      </c>
      <c r="O902" s="14" t="s">
        <v>261</v>
      </c>
      <c r="P902" s="14" t="s">
        <v>7569</v>
      </c>
      <c r="Q902" s="14" t="s">
        <v>2266</v>
      </c>
      <c r="R902" s="3">
        <v>0</v>
      </c>
      <c r="S902" s="3">
        <f t="shared" si="46"/>
        <v>550</v>
      </c>
      <c r="T902" s="3">
        <f t="shared" si="47"/>
        <v>0</v>
      </c>
      <c r="U902" s="3" t="s">
        <v>60</v>
      </c>
      <c r="V902" s="14" t="s">
        <v>7524</v>
      </c>
      <c r="W902" s="14" t="s">
        <v>4202</v>
      </c>
      <c r="X902" s="14" t="s">
        <v>60</v>
      </c>
    </row>
    <row r="903" spans="1:24" ht="15" x14ac:dyDescent="0.3">
      <c r="A903" s="3">
        <v>37</v>
      </c>
      <c r="B903" s="3" t="s">
        <v>7570</v>
      </c>
      <c r="C903" s="14" t="s">
        <v>0</v>
      </c>
      <c r="D903" s="14" t="s">
        <v>2267</v>
      </c>
      <c r="E903" s="14" t="s">
        <v>7571</v>
      </c>
      <c r="F903" s="14" t="s">
        <v>2268</v>
      </c>
      <c r="G903" s="14" t="s">
        <v>3</v>
      </c>
      <c r="H903" s="14" t="s">
        <v>7572</v>
      </c>
      <c r="I903" s="14" t="s">
        <v>2269</v>
      </c>
      <c r="J903" s="14" t="s">
        <v>60</v>
      </c>
      <c r="K903" s="14" t="s">
        <v>60</v>
      </c>
      <c r="L903" s="14" t="s">
        <v>60</v>
      </c>
      <c r="M903" s="14" t="s">
        <v>2270</v>
      </c>
      <c r="N903" s="14" t="s">
        <v>60</v>
      </c>
      <c r="O903" s="14" t="s">
        <v>60</v>
      </c>
      <c r="P903" s="14" t="s">
        <v>7573</v>
      </c>
      <c r="Q903" s="14" t="s">
        <v>175</v>
      </c>
      <c r="R903" s="3">
        <v>0</v>
      </c>
      <c r="S903" s="3">
        <f t="shared" si="46"/>
        <v>550</v>
      </c>
      <c r="T903" s="3">
        <f t="shared" si="47"/>
        <v>0</v>
      </c>
      <c r="U903" s="3" t="s">
        <v>60</v>
      </c>
      <c r="V903" s="14" t="s">
        <v>6</v>
      </c>
      <c r="W903" s="14" t="s">
        <v>4198</v>
      </c>
      <c r="X903" s="14" t="s">
        <v>60</v>
      </c>
    </row>
    <row r="904" spans="1:24" ht="15" x14ac:dyDescent="0.3">
      <c r="A904" s="3">
        <v>38</v>
      </c>
      <c r="B904" s="3" t="s">
        <v>7574</v>
      </c>
      <c r="C904" s="14" t="s">
        <v>0</v>
      </c>
      <c r="D904" s="14" t="s">
        <v>2271</v>
      </c>
      <c r="E904" s="14" t="s">
        <v>4195</v>
      </c>
      <c r="F904" s="14" t="s">
        <v>2272</v>
      </c>
      <c r="G904" s="14" t="s">
        <v>3</v>
      </c>
      <c r="H904" s="14" t="s">
        <v>7575</v>
      </c>
      <c r="I904" s="14" t="s">
        <v>2273</v>
      </c>
      <c r="J904" s="14" t="s">
        <v>60</v>
      </c>
      <c r="K904" s="14" t="s">
        <v>60</v>
      </c>
      <c r="L904" s="14" t="s">
        <v>60</v>
      </c>
      <c r="M904" s="14" t="s">
        <v>2274</v>
      </c>
      <c r="N904" s="14" t="s">
        <v>60</v>
      </c>
      <c r="O904" s="14" t="s">
        <v>60</v>
      </c>
      <c r="P904" s="14" t="s">
        <v>7576</v>
      </c>
      <c r="Q904" s="14" t="s">
        <v>11</v>
      </c>
      <c r="R904" s="3">
        <v>0</v>
      </c>
      <c r="S904" s="3">
        <f t="shared" si="46"/>
        <v>550</v>
      </c>
      <c r="T904" s="3">
        <f t="shared" si="47"/>
        <v>0</v>
      </c>
      <c r="U904" s="3" t="s">
        <v>60</v>
      </c>
      <c r="V904" s="14" t="s">
        <v>6</v>
      </c>
      <c r="W904" s="14" t="s">
        <v>4198</v>
      </c>
      <c r="X904" s="14" t="s">
        <v>60</v>
      </c>
    </row>
    <row r="905" spans="1:24" ht="15" x14ac:dyDescent="0.3">
      <c r="A905" s="3">
        <v>39</v>
      </c>
      <c r="B905" s="3" t="s">
        <v>7577</v>
      </c>
      <c r="C905" s="14" t="s">
        <v>0</v>
      </c>
      <c r="D905" s="14" t="s">
        <v>2275</v>
      </c>
      <c r="E905" s="14" t="s">
        <v>7561</v>
      </c>
      <c r="F905" s="14" t="s">
        <v>2276</v>
      </c>
      <c r="G905" s="14" t="s">
        <v>3</v>
      </c>
      <c r="H905" s="14" t="s">
        <v>7578</v>
      </c>
      <c r="I905" s="14" t="s">
        <v>2277</v>
      </c>
      <c r="J905" s="14" t="s">
        <v>60</v>
      </c>
      <c r="K905" s="14" t="s">
        <v>60</v>
      </c>
      <c r="L905" s="14" t="s">
        <v>60</v>
      </c>
      <c r="M905" s="14" t="s">
        <v>2278</v>
      </c>
      <c r="N905" s="14" t="s">
        <v>60</v>
      </c>
      <c r="O905" s="14" t="s">
        <v>60</v>
      </c>
      <c r="P905" s="14" t="s">
        <v>7579</v>
      </c>
      <c r="Q905" s="14" t="s">
        <v>11</v>
      </c>
      <c r="R905" s="3">
        <v>0</v>
      </c>
      <c r="S905" s="3">
        <f t="shared" si="46"/>
        <v>550</v>
      </c>
      <c r="T905" s="3">
        <f t="shared" si="47"/>
        <v>0</v>
      </c>
      <c r="U905" s="3">
        <f>SUM(T887:T905)</f>
        <v>0</v>
      </c>
      <c r="V905" s="14" t="s">
        <v>6</v>
      </c>
      <c r="W905" s="14" t="s">
        <v>4198</v>
      </c>
      <c r="X905" s="14" t="s">
        <v>60</v>
      </c>
    </row>
    <row r="906" spans="1:24" ht="15" x14ac:dyDescent="0.3">
      <c r="A906" s="3">
        <v>40</v>
      </c>
      <c r="B906" s="3" t="s">
        <v>7580</v>
      </c>
      <c r="C906" s="14" t="s">
        <v>0</v>
      </c>
      <c r="D906" s="14" t="s">
        <v>2279</v>
      </c>
      <c r="E906" s="14" t="s">
        <v>7581</v>
      </c>
      <c r="F906" s="14" t="s">
        <v>2280</v>
      </c>
      <c r="G906" s="14" t="s">
        <v>121</v>
      </c>
      <c r="H906" s="14" t="s">
        <v>7582</v>
      </c>
      <c r="I906" s="14" t="s">
        <v>2281</v>
      </c>
      <c r="J906" s="14" t="s">
        <v>60</v>
      </c>
      <c r="K906" s="14" t="s">
        <v>60</v>
      </c>
      <c r="L906" s="14" t="s">
        <v>60</v>
      </c>
      <c r="M906" s="14" t="s">
        <v>60</v>
      </c>
      <c r="N906" s="14" t="s">
        <v>60</v>
      </c>
      <c r="O906" s="14" t="s">
        <v>60</v>
      </c>
      <c r="P906" s="14" t="s">
        <v>7583</v>
      </c>
      <c r="Q906" s="14" t="s">
        <v>2282</v>
      </c>
      <c r="R906" s="3">
        <v>0</v>
      </c>
      <c r="S906" s="3">
        <f t="shared" si="46"/>
        <v>550</v>
      </c>
      <c r="T906" s="3">
        <f t="shared" si="47"/>
        <v>0</v>
      </c>
      <c r="U906" s="3" t="s">
        <v>60</v>
      </c>
      <c r="V906" s="14" t="s">
        <v>4208</v>
      </c>
      <c r="W906" s="14" t="s">
        <v>5466</v>
      </c>
      <c r="X906" s="14" t="s">
        <v>60</v>
      </c>
    </row>
    <row r="907" spans="1:24" ht="15" x14ac:dyDescent="0.3">
      <c r="A907" s="3">
        <v>41</v>
      </c>
      <c r="B907" s="3" t="s">
        <v>7584</v>
      </c>
      <c r="C907" s="14" t="s">
        <v>0</v>
      </c>
      <c r="D907" s="14" t="s">
        <v>2283</v>
      </c>
      <c r="E907" s="14" t="s">
        <v>4205</v>
      </c>
      <c r="F907" s="14" t="s">
        <v>2284</v>
      </c>
      <c r="G907" s="14" t="s">
        <v>3</v>
      </c>
      <c r="H907" s="14" t="s">
        <v>7585</v>
      </c>
      <c r="I907" s="14" t="s">
        <v>2285</v>
      </c>
      <c r="J907" s="14" t="s">
        <v>60</v>
      </c>
      <c r="K907" s="14" t="s">
        <v>60</v>
      </c>
      <c r="L907" s="14" t="s">
        <v>60</v>
      </c>
      <c r="M907" s="14" t="s">
        <v>60</v>
      </c>
      <c r="N907" s="14" t="s">
        <v>60</v>
      </c>
      <c r="O907" s="14" t="s">
        <v>60</v>
      </c>
      <c r="P907" s="14" t="s">
        <v>7586</v>
      </c>
      <c r="Q907" s="14" t="s">
        <v>11</v>
      </c>
      <c r="R907" s="3">
        <v>0</v>
      </c>
      <c r="S907" s="3">
        <f t="shared" si="46"/>
        <v>550</v>
      </c>
      <c r="T907" s="3">
        <f t="shared" si="47"/>
        <v>0</v>
      </c>
      <c r="U907" s="3" t="s">
        <v>60</v>
      </c>
      <c r="V907" s="14" t="s">
        <v>6</v>
      </c>
      <c r="W907" s="14" t="s">
        <v>6318</v>
      </c>
      <c r="X907" s="14" t="s">
        <v>60</v>
      </c>
    </row>
    <row r="908" spans="1:24" ht="15" x14ac:dyDescent="0.3">
      <c r="A908" s="3">
        <v>42</v>
      </c>
      <c r="B908" s="3" t="s">
        <v>7587</v>
      </c>
      <c r="C908" s="14" t="s">
        <v>0</v>
      </c>
      <c r="D908" s="14" t="s">
        <v>2289</v>
      </c>
      <c r="E908" s="14" t="s">
        <v>7588</v>
      </c>
      <c r="F908" s="14" t="s">
        <v>2290</v>
      </c>
      <c r="G908" s="14" t="s">
        <v>3</v>
      </c>
      <c r="H908" s="14" t="s">
        <v>7589</v>
      </c>
      <c r="I908" s="14" t="s">
        <v>7590</v>
      </c>
      <c r="J908" s="14" t="s">
        <v>60</v>
      </c>
      <c r="K908" s="14" t="s">
        <v>60</v>
      </c>
      <c r="L908" s="14" t="s">
        <v>60</v>
      </c>
      <c r="M908" s="14" t="s">
        <v>2291</v>
      </c>
      <c r="N908" s="14" t="s">
        <v>60</v>
      </c>
      <c r="O908" s="14" t="s">
        <v>193</v>
      </c>
      <c r="P908" s="14" t="s">
        <v>7591</v>
      </c>
      <c r="Q908" s="14" t="s">
        <v>1676</v>
      </c>
      <c r="R908" s="3">
        <v>0</v>
      </c>
      <c r="S908" s="3">
        <f t="shared" si="46"/>
        <v>550</v>
      </c>
      <c r="T908" s="3">
        <f t="shared" si="47"/>
        <v>0</v>
      </c>
      <c r="U908" s="3" t="s">
        <v>60</v>
      </c>
      <c r="V908" s="14" t="s">
        <v>6</v>
      </c>
      <c r="W908" s="14" t="s">
        <v>4287</v>
      </c>
      <c r="X908" s="14" t="s">
        <v>60</v>
      </c>
    </row>
    <row r="909" spans="1:24" ht="15" x14ac:dyDescent="0.3">
      <c r="A909" s="3">
        <v>43</v>
      </c>
      <c r="B909" s="3" t="s">
        <v>7592</v>
      </c>
      <c r="C909" s="14" t="s">
        <v>0</v>
      </c>
      <c r="D909" s="14" t="s">
        <v>2292</v>
      </c>
      <c r="E909" s="14" t="s">
        <v>7593</v>
      </c>
      <c r="F909" s="14" t="s">
        <v>2293</v>
      </c>
      <c r="G909" s="14" t="s">
        <v>3</v>
      </c>
      <c r="H909" s="14" t="s">
        <v>7594</v>
      </c>
      <c r="I909" s="14" t="s">
        <v>7595</v>
      </c>
      <c r="J909" s="14" t="s">
        <v>60</v>
      </c>
      <c r="K909" s="14" t="s">
        <v>60</v>
      </c>
      <c r="L909" s="14" t="s">
        <v>60</v>
      </c>
      <c r="M909" s="14" t="s">
        <v>2294</v>
      </c>
      <c r="N909" s="14" t="s">
        <v>60</v>
      </c>
      <c r="O909" s="14" t="s">
        <v>193</v>
      </c>
      <c r="P909" s="14" t="s">
        <v>7596</v>
      </c>
      <c r="Q909" s="14" t="s">
        <v>11</v>
      </c>
      <c r="R909" s="3">
        <v>0</v>
      </c>
      <c r="S909" s="3">
        <f t="shared" si="46"/>
        <v>550</v>
      </c>
      <c r="T909" s="3">
        <f t="shared" si="47"/>
        <v>0</v>
      </c>
      <c r="U909" s="3" t="s">
        <v>60</v>
      </c>
      <c r="V909" s="14" t="s">
        <v>6</v>
      </c>
      <c r="W909" s="14" t="s">
        <v>4287</v>
      </c>
      <c r="X909" s="14" t="s">
        <v>60</v>
      </c>
    </row>
    <row r="910" spans="1:24" ht="15" x14ac:dyDescent="0.3">
      <c r="A910" s="3">
        <v>44</v>
      </c>
      <c r="B910" s="3" t="s">
        <v>2295</v>
      </c>
      <c r="C910" s="14" t="s">
        <v>0</v>
      </c>
      <c r="D910" s="14" t="s">
        <v>2296</v>
      </c>
      <c r="E910" s="14" t="s">
        <v>7597</v>
      </c>
      <c r="F910" s="14" t="s">
        <v>2297</v>
      </c>
      <c r="G910" s="14" t="s">
        <v>3</v>
      </c>
      <c r="H910" s="14" t="s">
        <v>7598</v>
      </c>
      <c r="I910" s="14" t="s">
        <v>7599</v>
      </c>
      <c r="J910" s="14" t="s">
        <v>60</v>
      </c>
      <c r="K910" s="14" t="s">
        <v>60</v>
      </c>
      <c r="L910" s="14" t="s">
        <v>60</v>
      </c>
      <c r="M910" s="14" t="s">
        <v>2298</v>
      </c>
      <c r="N910" s="14" t="s">
        <v>60</v>
      </c>
      <c r="O910" s="14" t="s">
        <v>193</v>
      </c>
      <c r="P910" s="14" t="s">
        <v>7600</v>
      </c>
      <c r="Q910" s="14" t="s">
        <v>5</v>
      </c>
      <c r="R910" s="3">
        <v>0</v>
      </c>
      <c r="S910" s="3">
        <f t="shared" si="46"/>
        <v>550</v>
      </c>
      <c r="T910" s="3">
        <f t="shared" si="47"/>
        <v>0</v>
      </c>
      <c r="U910" s="3" t="s">
        <v>60</v>
      </c>
      <c r="V910" s="14" t="s">
        <v>6</v>
      </c>
      <c r="W910" s="14" t="s">
        <v>4287</v>
      </c>
      <c r="X910" s="14" t="s">
        <v>60</v>
      </c>
    </row>
    <row r="911" spans="1:24" ht="15" x14ac:dyDescent="0.3">
      <c r="A911" s="3">
        <v>45</v>
      </c>
      <c r="B911" s="3" t="s">
        <v>7601</v>
      </c>
      <c r="C911" s="14" t="s">
        <v>0</v>
      </c>
      <c r="D911" s="14" t="s">
        <v>2307</v>
      </c>
      <c r="E911" s="14" t="s">
        <v>7602</v>
      </c>
      <c r="F911" s="14" t="s">
        <v>2308</v>
      </c>
      <c r="G911" s="14" t="s">
        <v>3</v>
      </c>
      <c r="H911" s="14" t="s">
        <v>7603</v>
      </c>
      <c r="I911" s="14" t="s">
        <v>2309</v>
      </c>
      <c r="J911" s="14" t="s">
        <v>60</v>
      </c>
      <c r="K911" s="14" t="s">
        <v>60</v>
      </c>
      <c r="L911" s="14" t="s">
        <v>60</v>
      </c>
      <c r="M911" s="14" t="s">
        <v>2310</v>
      </c>
      <c r="N911" s="14" t="s">
        <v>60</v>
      </c>
      <c r="O911" s="14" t="s">
        <v>193</v>
      </c>
      <c r="P911" s="14" t="s">
        <v>7604</v>
      </c>
      <c r="Q911" s="14" t="s">
        <v>588</v>
      </c>
      <c r="R911" s="3">
        <v>0</v>
      </c>
      <c r="S911" s="3">
        <f t="shared" si="46"/>
        <v>550</v>
      </c>
      <c r="T911" s="3">
        <f t="shared" si="47"/>
        <v>0</v>
      </c>
      <c r="U911" s="3" t="s">
        <v>60</v>
      </c>
      <c r="V911" s="14" t="s">
        <v>6</v>
      </c>
      <c r="W911" s="14" t="s">
        <v>4287</v>
      </c>
      <c r="X911" s="14" t="s">
        <v>60</v>
      </c>
    </row>
    <row r="912" spans="1:24" ht="15" x14ac:dyDescent="0.3">
      <c r="A912" s="3">
        <v>46</v>
      </c>
      <c r="B912" s="3" t="s">
        <v>7605</v>
      </c>
      <c r="C912" s="14" t="s">
        <v>0</v>
      </c>
      <c r="D912" s="14" t="s">
        <v>2311</v>
      </c>
      <c r="E912" s="14" t="s">
        <v>7606</v>
      </c>
      <c r="F912" s="14" t="s">
        <v>2312</v>
      </c>
      <c r="G912" s="14" t="s">
        <v>3</v>
      </c>
      <c r="H912" s="14" t="s">
        <v>7607</v>
      </c>
      <c r="I912" s="14" t="s">
        <v>2313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114</v>
      </c>
      <c r="P912" s="14" t="s">
        <v>7608</v>
      </c>
      <c r="Q912" s="14" t="s">
        <v>11</v>
      </c>
      <c r="R912" s="3">
        <v>0</v>
      </c>
      <c r="S912" s="3">
        <f t="shared" si="46"/>
        <v>550</v>
      </c>
      <c r="T912" s="3">
        <f t="shared" si="47"/>
        <v>0</v>
      </c>
      <c r="U912" s="3" t="s">
        <v>60</v>
      </c>
      <c r="V912" s="14" t="s">
        <v>6</v>
      </c>
      <c r="W912" s="14" t="s">
        <v>6789</v>
      </c>
      <c r="X912" s="14" t="s">
        <v>60</v>
      </c>
    </row>
    <row r="913" spans="1:24" ht="15" x14ac:dyDescent="0.3">
      <c r="A913" s="3">
        <v>47</v>
      </c>
      <c r="B913" s="3" t="s">
        <v>7609</v>
      </c>
      <c r="C913" s="14" t="s">
        <v>0</v>
      </c>
      <c r="D913" s="14" t="s">
        <v>2252</v>
      </c>
      <c r="E913" s="14" t="s">
        <v>6713</v>
      </c>
      <c r="F913" s="14" t="s">
        <v>2253</v>
      </c>
      <c r="G913" s="14" t="s">
        <v>3</v>
      </c>
      <c r="H913" s="14" t="s">
        <v>2254</v>
      </c>
      <c r="I913" s="14" t="s">
        <v>2255</v>
      </c>
      <c r="J913" s="14" t="s">
        <v>60</v>
      </c>
      <c r="K913" s="14" t="s">
        <v>60</v>
      </c>
      <c r="L913" s="14" t="s">
        <v>60</v>
      </c>
      <c r="M913" s="14" t="s">
        <v>60</v>
      </c>
      <c r="N913" s="14" t="s">
        <v>60</v>
      </c>
      <c r="O913" s="14" t="s">
        <v>25</v>
      </c>
      <c r="P913" s="14" t="s">
        <v>7610</v>
      </c>
      <c r="Q913" s="14" t="s">
        <v>11</v>
      </c>
      <c r="R913" s="3">
        <v>0</v>
      </c>
      <c r="S913" s="3">
        <f t="shared" si="46"/>
        <v>550</v>
      </c>
      <c r="T913" s="3">
        <f t="shared" si="47"/>
        <v>0</v>
      </c>
      <c r="U913" s="3" t="s">
        <v>60</v>
      </c>
      <c r="V913" s="14" t="s">
        <v>6</v>
      </c>
      <c r="W913" s="14" t="s">
        <v>4985</v>
      </c>
      <c r="X913" s="14" t="s">
        <v>4495</v>
      </c>
    </row>
    <row r="914" spans="1:24" ht="15" x14ac:dyDescent="0.3">
      <c r="A914" s="3">
        <v>48</v>
      </c>
      <c r="B914" s="3" t="s">
        <v>7611</v>
      </c>
      <c r="C914" s="14" t="s">
        <v>0</v>
      </c>
      <c r="D914" s="14" t="s">
        <v>2197</v>
      </c>
      <c r="E914" s="14" t="s">
        <v>7612</v>
      </c>
      <c r="F914" s="14" t="s">
        <v>2198</v>
      </c>
      <c r="G914" s="14" t="s">
        <v>3</v>
      </c>
      <c r="H914" s="14" t="s">
        <v>7613</v>
      </c>
      <c r="I914" s="14" t="s">
        <v>2199</v>
      </c>
      <c r="J914" s="14" t="s">
        <v>60</v>
      </c>
      <c r="K914" s="14" t="s">
        <v>60</v>
      </c>
      <c r="L914" s="14" t="s">
        <v>60</v>
      </c>
      <c r="M914" s="14" t="s">
        <v>2200</v>
      </c>
      <c r="N914" s="14" t="s">
        <v>60</v>
      </c>
      <c r="O914" s="14" t="s">
        <v>60</v>
      </c>
      <c r="P914" s="14" t="s">
        <v>7614</v>
      </c>
      <c r="Q914" s="14" t="s">
        <v>2084</v>
      </c>
      <c r="R914" s="3">
        <v>0</v>
      </c>
      <c r="S914" s="3">
        <f t="shared" si="46"/>
        <v>550</v>
      </c>
      <c r="T914" s="3">
        <f t="shared" si="47"/>
        <v>0</v>
      </c>
      <c r="U914" s="3" t="s">
        <v>60</v>
      </c>
      <c r="V914" s="14" t="s">
        <v>6</v>
      </c>
      <c r="W914" s="14" t="s">
        <v>4634</v>
      </c>
      <c r="X914" s="14" t="s">
        <v>60</v>
      </c>
    </row>
    <row r="915" spans="1:24" ht="15" x14ac:dyDescent="0.3">
      <c r="A915" s="3">
        <v>49</v>
      </c>
      <c r="B915" s="3" t="s">
        <v>7615</v>
      </c>
      <c r="C915" s="14" t="s">
        <v>0</v>
      </c>
      <c r="D915" s="14" t="s">
        <v>2201</v>
      </c>
      <c r="E915" s="14" t="s">
        <v>5306</v>
      </c>
      <c r="F915" s="14" t="s">
        <v>2202</v>
      </c>
      <c r="G915" s="14" t="s">
        <v>3</v>
      </c>
      <c r="H915" s="14" t="s">
        <v>7616</v>
      </c>
      <c r="I915" s="14" t="s">
        <v>2203</v>
      </c>
      <c r="J915" s="14" t="s">
        <v>60</v>
      </c>
      <c r="K915" s="14" t="s">
        <v>60</v>
      </c>
      <c r="L915" s="14" t="s">
        <v>60</v>
      </c>
      <c r="M915" s="14" t="s">
        <v>2204</v>
      </c>
      <c r="N915" s="14" t="s">
        <v>60</v>
      </c>
      <c r="O915" s="14" t="s">
        <v>60</v>
      </c>
      <c r="P915" s="14" t="s">
        <v>7617</v>
      </c>
      <c r="Q915" s="14" t="s">
        <v>2084</v>
      </c>
      <c r="R915" s="3">
        <v>0</v>
      </c>
      <c r="S915" s="3">
        <f t="shared" si="46"/>
        <v>550</v>
      </c>
      <c r="T915" s="3">
        <f t="shared" si="47"/>
        <v>0</v>
      </c>
      <c r="U915" s="3" t="s">
        <v>60</v>
      </c>
      <c r="V915" s="14" t="s">
        <v>6</v>
      </c>
      <c r="W915" s="14" t="s">
        <v>4634</v>
      </c>
      <c r="X915" s="14" t="s">
        <v>60</v>
      </c>
    </row>
    <row r="916" spans="1:24" ht="15" x14ac:dyDescent="0.3">
      <c r="A916" s="3">
        <v>50</v>
      </c>
      <c r="B916" s="3" t="s">
        <v>7618</v>
      </c>
      <c r="C916" s="14" t="s">
        <v>0</v>
      </c>
      <c r="D916" s="14" t="s">
        <v>2224</v>
      </c>
      <c r="E916" s="14" t="s">
        <v>5037</v>
      </c>
      <c r="F916" s="14" t="s">
        <v>2225</v>
      </c>
      <c r="G916" s="14" t="s">
        <v>3</v>
      </c>
      <c r="H916" s="14" t="s">
        <v>7619</v>
      </c>
      <c r="I916" s="14" t="s">
        <v>2226</v>
      </c>
      <c r="J916" s="14" t="s">
        <v>60</v>
      </c>
      <c r="K916" s="14" t="s">
        <v>60</v>
      </c>
      <c r="L916" s="14" t="s">
        <v>60</v>
      </c>
      <c r="M916" s="14" t="s">
        <v>2227</v>
      </c>
      <c r="N916" s="14" t="s">
        <v>60</v>
      </c>
      <c r="O916" s="14" t="s">
        <v>328</v>
      </c>
      <c r="P916" s="14" t="s">
        <v>7620</v>
      </c>
      <c r="Q916" s="14" t="s">
        <v>11</v>
      </c>
      <c r="R916" s="3">
        <v>0</v>
      </c>
      <c r="S916" s="3">
        <f t="shared" si="46"/>
        <v>550</v>
      </c>
      <c r="T916" s="3">
        <f t="shared" si="47"/>
        <v>0</v>
      </c>
      <c r="U916" s="3" t="s">
        <v>60</v>
      </c>
      <c r="V916" s="14" t="s">
        <v>6</v>
      </c>
      <c r="W916" s="14" t="s">
        <v>4287</v>
      </c>
      <c r="X916" s="14" t="s">
        <v>60</v>
      </c>
    </row>
    <row r="917" spans="1:24" ht="15" x14ac:dyDescent="0.3">
      <c r="A917" s="3">
        <v>51</v>
      </c>
      <c r="B917" s="3" t="s">
        <v>7621</v>
      </c>
      <c r="C917" s="14" t="s">
        <v>0</v>
      </c>
      <c r="D917" s="14" t="s">
        <v>2134</v>
      </c>
      <c r="E917" s="14" t="s">
        <v>5435</v>
      </c>
      <c r="F917" s="14" t="s">
        <v>2135</v>
      </c>
      <c r="G917" s="14" t="s">
        <v>3</v>
      </c>
      <c r="H917" s="14" t="s">
        <v>7622</v>
      </c>
      <c r="I917" s="14" t="s">
        <v>2136</v>
      </c>
      <c r="J917" s="14" t="s">
        <v>60</v>
      </c>
      <c r="K917" s="14" t="s">
        <v>60</v>
      </c>
      <c r="L917" s="14" t="s">
        <v>60</v>
      </c>
      <c r="M917" s="14" t="s">
        <v>60</v>
      </c>
      <c r="N917" s="14" t="s">
        <v>60</v>
      </c>
      <c r="O917" s="14" t="s">
        <v>114</v>
      </c>
      <c r="P917" s="14" t="s">
        <v>7623</v>
      </c>
      <c r="Q917" s="14" t="s">
        <v>2137</v>
      </c>
      <c r="R917" s="3">
        <v>0</v>
      </c>
      <c r="S917" s="3">
        <f t="shared" si="46"/>
        <v>550</v>
      </c>
      <c r="T917" s="3">
        <f t="shared" si="47"/>
        <v>0</v>
      </c>
      <c r="U917" s="3">
        <f>SUM(T906:T917)</f>
        <v>0</v>
      </c>
      <c r="V917" s="14" t="s">
        <v>6</v>
      </c>
      <c r="W917" s="14" t="s">
        <v>6789</v>
      </c>
      <c r="X917" s="14" t="s">
        <v>60</v>
      </c>
    </row>
    <row r="918" spans="1:24" ht="15.6" x14ac:dyDescent="0.3">
      <c r="A918" s="26" t="s">
        <v>60</v>
      </c>
      <c r="B918" s="26" t="s">
        <v>60</v>
      </c>
      <c r="C918" s="27" t="s">
        <v>60</v>
      </c>
      <c r="D918" s="27" t="s">
        <v>60</v>
      </c>
      <c r="E918" s="27" t="s">
        <v>60</v>
      </c>
      <c r="F918" s="27" t="s">
        <v>60</v>
      </c>
      <c r="G918" s="27" t="s">
        <v>60</v>
      </c>
      <c r="H918" s="27" t="s">
        <v>60</v>
      </c>
      <c r="I918" s="27" t="s">
        <v>60</v>
      </c>
      <c r="J918" s="27" t="s">
        <v>60</v>
      </c>
      <c r="K918" s="27" t="s">
        <v>60</v>
      </c>
      <c r="L918" s="27" t="s">
        <v>60</v>
      </c>
      <c r="M918" s="27" t="s">
        <v>60</v>
      </c>
      <c r="N918" s="27" t="s">
        <v>60</v>
      </c>
      <c r="O918" s="27" t="s">
        <v>60</v>
      </c>
      <c r="P918" s="27" t="s">
        <v>60</v>
      </c>
      <c r="Q918" s="27" t="s">
        <v>60</v>
      </c>
      <c r="R918" s="35" t="s">
        <v>2009</v>
      </c>
      <c r="S918" s="35" t="s">
        <v>60</v>
      </c>
      <c r="T918" s="26">
        <f>SUM(T866:T917)</f>
        <v>0</v>
      </c>
      <c r="U918" s="26">
        <f>SUM(U866:U917)</f>
        <v>0</v>
      </c>
      <c r="V918" s="27" t="s">
        <v>60</v>
      </c>
      <c r="W918" s="27" t="s">
        <v>60</v>
      </c>
      <c r="X918" s="27" t="s">
        <v>60</v>
      </c>
    </row>
    <row r="919" spans="1:24" ht="15.6" x14ac:dyDescent="0.3">
      <c r="A919" s="34" t="s">
        <v>7624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 spans="1:24" ht="109.2" x14ac:dyDescent="0.3">
      <c r="A920" s="23" t="s">
        <v>42</v>
      </c>
      <c r="B920" s="23" t="s">
        <v>43</v>
      </c>
      <c r="C920" s="24" t="s">
        <v>44</v>
      </c>
      <c r="D920" s="24" t="s">
        <v>4154</v>
      </c>
      <c r="E920" s="24" t="s">
        <v>4155</v>
      </c>
      <c r="F920" s="24" t="s">
        <v>4156</v>
      </c>
      <c r="G920" s="24" t="s">
        <v>45</v>
      </c>
      <c r="H920" s="24" t="s">
        <v>4157</v>
      </c>
      <c r="I920" s="24" t="s">
        <v>46</v>
      </c>
      <c r="J920" s="24" t="s">
        <v>4158</v>
      </c>
      <c r="K920" s="24" t="s">
        <v>4159</v>
      </c>
      <c r="L920" s="24" t="s">
        <v>4160</v>
      </c>
      <c r="M920" s="24" t="s">
        <v>4161</v>
      </c>
      <c r="N920" s="24" t="s">
        <v>47</v>
      </c>
      <c r="O920" s="24" t="s">
        <v>48</v>
      </c>
      <c r="P920" s="24" t="s">
        <v>49</v>
      </c>
      <c r="Q920" s="24" t="s">
        <v>50</v>
      </c>
      <c r="R920" s="23" t="s">
        <v>4162</v>
      </c>
      <c r="S920" s="23" t="s">
        <v>4163</v>
      </c>
      <c r="T920" s="23" t="s">
        <v>4164</v>
      </c>
      <c r="U920" s="23" t="s">
        <v>4165</v>
      </c>
      <c r="V920" s="24" t="s">
        <v>51</v>
      </c>
      <c r="W920" s="24" t="s">
        <v>52</v>
      </c>
      <c r="X920" s="24" t="s">
        <v>53</v>
      </c>
    </row>
    <row r="921" spans="1:24" ht="15" x14ac:dyDescent="0.3">
      <c r="A921" s="3">
        <v>1</v>
      </c>
      <c r="B921" s="3" t="s">
        <v>7625</v>
      </c>
      <c r="C921" s="14" t="s">
        <v>0</v>
      </c>
      <c r="D921" s="14" t="s">
        <v>2205</v>
      </c>
      <c r="E921" s="14" t="s">
        <v>5435</v>
      </c>
      <c r="F921" s="14" t="s">
        <v>242</v>
      </c>
      <c r="G921" s="14" t="s">
        <v>3</v>
      </c>
      <c r="H921" s="14" t="s">
        <v>7626</v>
      </c>
      <c r="I921" s="14" t="s">
        <v>7627</v>
      </c>
      <c r="J921" s="14" t="s">
        <v>60</v>
      </c>
      <c r="K921" s="14" t="s">
        <v>60</v>
      </c>
      <c r="L921" s="14" t="s">
        <v>60</v>
      </c>
      <c r="M921" s="14" t="s">
        <v>2206</v>
      </c>
      <c r="N921" s="14" t="s">
        <v>60</v>
      </c>
      <c r="O921" s="14" t="s">
        <v>193</v>
      </c>
      <c r="P921" s="14" t="s">
        <v>7628</v>
      </c>
      <c r="Q921" s="14" t="s">
        <v>2207</v>
      </c>
      <c r="R921" s="3">
        <v>0</v>
      </c>
      <c r="S921" s="3">
        <f t="shared" ref="S921:S954" si="48">IF(RIGHT(C921,3)="MAZ",550,IF(RIGHT(C921,4)="MATE",570,IF(RIGHT(C921,7)="SKD-III",640,IF(RIGHT(C921,6)="SKD-II",770,IF(RIGHT(C921,5)="SKD-I",900,IF(RIGHT(C921,5)="CPDVR",770,""))))))</f>
        <v>550</v>
      </c>
      <c r="T921" s="3">
        <f t="shared" ref="T921:T954" si="49">R921*S921</f>
        <v>0</v>
      </c>
      <c r="U921" s="3" t="s">
        <v>60</v>
      </c>
      <c r="V921" s="14" t="s">
        <v>6</v>
      </c>
      <c r="W921" s="14" t="s">
        <v>4287</v>
      </c>
      <c r="X921" s="14" t="s">
        <v>60</v>
      </c>
    </row>
    <row r="922" spans="1:24" ht="15" x14ac:dyDescent="0.3">
      <c r="A922" s="3">
        <v>2</v>
      </c>
      <c r="B922" s="3" t="s">
        <v>7629</v>
      </c>
      <c r="C922" s="14" t="s">
        <v>0</v>
      </c>
      <c r="D922" s="14" t="s">
        <v>2208</v>
      </c>
      <c r="E922" s="14" t="s">
        <v>7630</v>
      </c>
      <c r="F922" s="14" t="s">
        <v>2209</v>
      </c>
      <c r="G922" s="14" t="s">
        <v>3</v>
      </c>
      <c r="H922" s="14" t="s">
        <v>7631</v>
      </c>
      <c r="I922" s="14" t="s">
        <v>2210</v>
      </c>
      <c r="J922" s="14" t="s">
        <v>60</v>
      </c>
      <c r="K922" s="14" t="s">
        <v>60</v>
      </c>
      <c r="L922" s="14" t="s">
        <v>60</v>
      </c>
      <c r="M922" s="14" t="s">
        <v>2211</v>
      </c>
      <c r="N922" s="14" t="s">
        <v>60</v>
      </c>
      <c r="O922" s="14" t="s">
        <v>2212</v>
      </c>
      <c r="P922" s="14" t="s">
        <v>7632</v>
      </c>
      <c r="Q922" s="14" t="s">
        <v>1131</v>
      </c>
      <c r="R922" s="3">
        <v>0</v>
      </c>
      <c r="S922" s="3">
        <f t="shared" si="48"/>
        <v>550</v>
      </c>
      <c r="T922" s="3">
        <f t="shared" si="49"/>
        <v>0</v>
      </c>
      <c r="U922" s="3" t="s">
        <v>60</v>
      </c>
      <c r="V922" s="14" t="s">
        <v>6</v>
      </c>
      <c r="W922" s="14" t="s">
        <v>4594</v>
      </c>
      <c r="X922" s="14" t="s">
        <v>60</v>
      </c>
    </row>
    <row r="923" spans="1:24" ht="15" x14ac:dyDescent="0.3">
      <c r="A923" s="3">
        <v>3</v>
      </c>
      <c r="B923" s="3" t="s">
        <v>7633</v>
      </c>
      <c r="C923" s="14" t="s">
        <v>0</v>
      </c>
      <c r="D923" s="14" t="s">
        <v>2213</v>
      </c>
      <c r="E923" s="14" t="s">
        <v>7634</v>
      </c>
      <c r="F923" s="14" t="s">
        <v>2214</v>
      </c>
      <c r="G923" s="14" t="s">
        <v>3</v>
      </c>
      <c r="H923" s="14" t="s">
        <v>7635</v>
      </c>
      <c r="I923" s="14" t="s">
        <v>2215</v>
      </c>
      <c r="J923" s="14" t="s">
        <v>60</v>
      </c>
      <c r="K923" s="14" t="s">
        <v>60</v>
      </c>
      <c r="L923" s="14" t="s">
        <v>60</v>
      </c>
      <c r="M923" s="14" t="s">
        <v>2216</v>
      </c>
      <c r="N923" s="14" t="s">
        <v>60</v>
      </c>
      <c r="O923" s="14" t="s">
        <v>2217</v>
      </c>
      <c r="P923" s="14" t="s">
        <v>7636</v>
      </c>
      <c r="Q923" s="14" t="s">
        <v>2218</v>
      </c>
      <c r="R923" s="3">
        <v>0</v>
      </c>
      <c r="S923" s="3">
        <f t="shared" si="48"/>
        <v>550</v>
      </c>
      <c r="T923" s="3">
        <f t="shared" si="49"/>
        <v>0</v>
      </c>
      <c r="U923" s="3" t="s">
        <v>60</v>
      </c>
      <c r="V923" s="14" t="s">
        <v>6</v>
      </c>
      <c r="W923" s="14" t="s">
        <v>4287</v>
      </c>
      <c r="X923" s="14" t="s">
        <v>60</v>
      </c>
    </row>
    <row r="924" spans="1:24" ht="15" x14ac:dyDescent="0.3">
      <c r="A924" s="3">
        <v>4</v>
      </c>
      <c r="B924" s="3" t="s">
        <v>7637</v>
      </c>
      <c r="C924" s="14" t="s">
        <v>0</v>
      </c>
      <c r="D924" s="14" t="s">
        <v>2219</v>
      </c>
      <c r="E924" s="14" t="s">
        <v>7638</v>
      </c>
      <c r="F924" s="14" t="s">
        <v>2220</v>
      </c>
      <c r="G924" s="14" t="s">
        <v>3</v>
      </c>
      <c r="H924" s="14" t="s">
        <v>2221</v>
      </c>
      <c r="I924" s="14" t="s">
        <v>2222</v>
      </c>
      <c r="J924" s="14" t="s">
        <v>60</v>
      </c>
      <c r="K924" s="14" t="s">
        <v>60</v>
      </c>
      <c r="L924" s="14" t="s">
        <v>60</v>
      </c>
      <c r="M924" s="14" t="s">
        <v>2223</v>
      </c>
      <c r="N924" s="14" t="s">
        <v>60</v>
      </c>
      <c r="O924" s="14" t="s">
        <v>2217</v>
      </c>
      <c r="P924" s="14" t="s">
        <v>7639</v>
      </c>
      <c r="Q924" s="14" t="s">
        <v>24</v>
      </c>
      <c r="R924" s="3">
        <v>0</v>
      </c>
      <c r="S924" s="3">
        <f t="shared" si="48"/>
        <v>550</v>
      </c>
      <c r="T924" s="3">
        <f t="shared" si="49"/>
        <v>0</v>
      </c>
      <c r="U924" s="3" t="s">
        <v>60</v>
      </c>
      <c r="V924" s="14" t="s">
        <v>6</v>
      </c>
      <c r="W924" s="14" t="s">
        <v>4287</v>
      </c>
      <c r="X924" s="14" t="s">
        <v>7640</v>
      </c>
    </row>
    <row r="925" spans="1:24" ht="15" x14ac:dyDescent="0.3">
      <c r="A925" s="3">
        <v>5</v>
      </c>
      <c r="B925" s="3" t="s">
        <v>2228</v>
      </c>
      <c r="C925" s="14" t="s">
        <v>0</v>
      </c>
      <c r="D925" s="14" t="s">
        <v>2229</v>
      </c>
      <c r="E925" s="14" t="s">
        <v>2230</v>
      </c>
      <c r="F925" s="14" t="s">
        <v>2231</v>
      </c>
      <c r="G925" s="14" t="s">
        <v>3</v>
      </c>
      <c r="H925" s="14" t="s">
        <v>7641</v>
      </c>
      <c r="I925" s="14" t="s">
        <v>2232</v>
      </c>
      <c r="J925" s="14" t="s">
        <v>60</v>
      </c>
      <c r="K925" s="14" t="s">
        <v>60</v>
      </c>
      <c r="L925" s="14" t="s">
        <v>60</v>
      </c>
      <c r="M925" s="14" t="s">
        <v>60</v>
      </c>
      <c r="N925" s="14" t="s">
        <v>60</v>
      </c>
      <c r="O925" s="14" t="s">
        <v>60</v>
      </c>
      <c r="P925" s="14" t="s">
        <v>7642</v>
      </c>
      <c r="Q925" s="14" t="s">
        <v>11</v>
      </c>
      <c r="R925" s="3">
        <v>0</v>
      </c>
      <c r="S925" s="3">
        <f t="shared" si="48"/>
        <v>550</v>
      </c>
      <c r="T925" s="3">
        <f t="shared" si="49"/>
        <v>0</v>
      </c>
      <c r="U925" s="3" t="s">
        <v>60</v>
      </c>
      <c r="V925" s="14" t="s">
        <v>6</v>
      </c>
      <c r="W925" s="14" t="s">
        <v>4287</v>
      </c>
      <c r="X925" s="14" t="s">
        <v>60</v>
      </c>
    </row>
    <row r="926" spans="1:24" ht="15" x14ac:dyDescent="0.3">
      <c r="A926" s="3">
        <v>6</v>
      </c>
      <c r="B926" s="3" t="s">
        <v>7643</v>
      </c>
      <c r="C926" s="14" t="s">
        <v>91</v>
      </c>
      <c r="D926" s="14" t="s">
        <v>2233</v>
      </c>
      <c r="E926" s="14" t="s">
        <v>7644</v>
      </c>
      <c r="F926" s="14" t="s">
        <v>2234</v>
      </c>
      <c r="G926" s="14" t="s">
        <v>3</v>
      </c>
      <c r="H926" s="14" t="s">
        <v>7645</v>
      </c>
      <c r="I926" s="14" t="s">
        <v>2235</v>
      </c>
      <c r="J926" s="14" t="s">
        <v>60</v>
      </c>
      <c r="K926" s="14" t="s">
        <v>60</v>
      </c>
      <c r="L926" s="14" t="s">
        <v>60</v>
      </c>
      <c r="M926" s="14" t="s">
        <v>2236</v>
      </c>
      <c r="N926" s="14" t="s">
        <v>60</v>
      </c>
      <c r="O926" s="14" t="s">
        <v>193</v>
      </c>
      <c r="P926" s="14" t="s">
        <v>7646</v>
      </c>
      <c r="Q926" s="14" t="s">
        <v>2151</v>
      </c>
      <c r="R926" s="3">
        <v>0</v>
      </c>
      <c r="S926" s="3">
        <f t="shared" si="48"/>
        <v>770</v>
      </c>
      <c r="T926" s="3">
        <f t="shared" si="49"/>
        <v>0</v>
      </c>
      <c r="U926" s="3" t="s">
        <v>60</v>
      </c>
      <c r="V926" s="14" t="s">
        <v>6</v>
      </c>
      <c r="W926" s="14" t="s">
        <v>4287</v>
      </c>
      <c r="X926" s="14" t="s">
        <v>60</v>
      </c>
    </row>
    <row r="927" spans="1:24" ht="15" x14ac:dyDescent="0.3">
      <c r="A927" s="3">
        <v>7</v>
      </c>
      <c r="B927" s="3" t="s">
        <v>2237</v>
      </c>
      <c r="C927" s="14" t="s">
        <v>69</v>
      </c>
      <c r="D927" s="14" t="s">
        <v>2163</v>
      </c>
      <c r="E927" s="14" t="s">
        <v>4895</v>
      </c>
      <c r="F927" s="14" t="s">
        <v>2238</v>
      </c>
      <c r="G927" s="14" t="s">
        <v>3</v>
      </c>
      <c r="H927" s="14" t="s">
        <v>7647</v>
      </c>
      <c r="I927" s="14" t="s">
        <v>7648</v>
      </c>
      <c r="J927" s="14" t="s">
        <v>60</v>
      </c>
      <c r="K927" s="14" t="s">
        <v>60</v>
      </c>
      <c r="L927" s="14" t="s">
        <v>60</v>
      </c>
      <c r="M927" s="14" t="s">
        <v>2239</v>
      </c>
      <c r="N927" s="14" t="s">
        <v>60</v>
      </c>
      <c r="O927" s="14" t="s">
        <v>193</v>
      </c>
      <c r="P927" s="14" t="s">
        <v>7649</v>
      </c>
      <c r="Q927" s="14" t="s">
        <v>5</v>
      </c>
      <c r="R927" s="3">
        <v>0</v>
      </c>
      <c r="S927" s="3">
        <f t="shared" si="48"/>
        <v>570</v>
      </c>
      <c r="T927" s="3">
        <f t="shared" si="49"/>
        <v>0</v>
      </c>
      <c r="U927" s="3" t="s">
        <v>60</v>
      </c>
      <c r="V927" s="14" t="s">
        <v>6</v>
      </c>
      <c r="W927" s="14" t="s">
        <v>4287</v>
      </c>
      <c r="X927" s="14" t="s">
        <v>60</v>
      </c>
    </row>
    <row r="928" spans="1:24" ht="15" x14ac:dyDescent="0.3">
      <c r="A928" s="3">
        <v>8</v>
      </c>
      <c r="B928" s="3" t="s">
        <v>7650</v>
      </c>
      <c r="C928" s="14" t="s">
        <v>0</v>
      </c>
      <c r="D928" s="14" t="s">
        <v>2241</v>
      </c>
      <c r="E928" s="14" t="s">
        <v>4293</v>
      </c>
      <c r="F928" s="14" t="s">
        <v>2242</v>
      </c>
      <c r="G928" s="14" t="s">
        <v>3</v>
      </c>
      <c r="H928" s="14" t="s">
        <v>7651</v>
      </c>
      <c r="I928" s="14" t="s">
        <v>2243</v>
      </c>
      <c r="J928" s="14" t="s">
        <v>60</v>
      </c>
      <c r="K928" s="14" t="s">
        <v>60</v>
      </c>
      <c r="L928" s="14" t="s">
        <v>60</v>
      </c>
      <c r="M928" s="14" t="s">
        <v>2244</v>
      </c>
      <c r="N928" s="14" t="s">
        <v>60</v>
      </c>
      <c r="O928" s="14" t="s">
        <v>60</v>
      </c>
      <c r="P928" s="14" t="s">
        <v>7652</v>
      </c>
      <c r="Q928" s="14" t="s">
        <v>11</v>
      </c>
      <c r="R928" s="3">
        <v>0</v>
      </c>
      <c r="S928" s="3">
        <f t="shared" si="48"/>
        <v>550</v>
      </c>
      <c r="T928" s="3">
        <f t="shared" si="49"/>
        <v>0</v>
      </c>
      <c r="U928" s="3" t="s">
        <v>60</v>
      </c>
      <c r="V928" s="14" t="s">
        <v>6</v>
      </c>
      <c r="W928" s="14" t="s">
        <v>5291</v>
      </c>
      <c r="X928" s="14" t="s">
        <v>60</v>
      </c>
    </row>
    <row r="929" spans="1:24" ht="15" x14ac:dyDescent="0.3">
      <c r="A929" s="3">
        <v>9</v>
      </c>
      <c r="B929" s="3" t="s">
        <v>7653</v>
      </c>
      <c r="C929" s="14" t="s">
        <v>0</v>
      </c>
      <c r="D929" s="14" t="s">
        <v>2071</v>
      </c>
      <c r="E929" s="14" t="s">
        <v>7654</v>
      </c>
      <c r="F929" s="14" t="s">
        <v>2072</v>
      </c>
      <c r="G929" s="14" t="s">
        <v>3</v>
      </c>
      <c r="H929" s="14" t="s">
        <v>7655</v>
      </c>
      <c r="I929" s="14" t="s">
        <v>2073</v>
      </c>
      <c r="J929" s="14" t="s">
        <v>60</v>
      </c>
      <c r="K929" s="14" t="s">
        <v>60</v>
      </c>
      <c r="L929" s="14" t="s">
        <v>60</v>
      </c>
      <c r="M929" s="14" t="s">
        <v>2074</v>
      </c>
      <c r="N929" s="14" t="s">
        <v>60</v>
      </c>
      <c r="O929" s="14" t="s">
        <v>193</v>
      </c>
      <c r="P929" s="14" t="s">
        <v>7656</v>
      </c>
      <c r="Q929" s="14" t="s">
        <v>11</v>
      </c>
      <c r="R929" s="3">
        <v>0</v>
      </c>
      <c r="S929" s="3">
        <f t="shared" si="48"/>
        <v>550</v>
      </c>
      <c r="T929" s="3">
        <f t="shared" si="49"/>
        <v>0</v>
      </c>
      <c r="U929" s="3" t="s">
        <v>60</v>
      </c>
      <c r="V929" s="14" t="s">
        <v>6</v>
      </c>
      <c r="W929" s="14" t="s">
        <v>4287</v>
      </c>
      <c r="X929" s="14" t="s">
        <v>60</v>
      </c>
    </row>
    <row r="930" spans="1:24" ht="15" x14ac:dyDescent="0.3">
      <c r="A930" s="3">
        <v>10</v>
      </c>
      <c r="B930" s="3" t="s">
        <v>2075</v>
      </c>
      <c r="C930" s="14" t="s">
        <v>0</v>
      </c>
      <c r="D930" s="14" t="s">
        <v>2076</v>
      </c>
      <c r="E930" s="14" t="s">
        <v>4644</v>
      </c>
      <c r="F930" s="14" t="s">
        <v>2077</v>
      </c>
      <c r="G930" s="14" t="s">
        <v>3</v>
      </c>
      <c r="H930" s="14" t="s">
        <v>7657</v>
      </c>
      <c r="I930" s="14" t="s">
        <v>7658</v>
      </c>
      <c r="J930" s="14" t="s">
        <v>60</v>
      </c>
      <c r="K930" s="14" t="s">
        <v>60</v>
      </c>
      <c r="L930" s="14" t="s">
        <v>60</v>
      </c>
      <c r="M930" s="14" t="s">
        <v>60</v>
      </c>
      <c r="N930" s="14" t="s">
        <v>60</v>
      </c>
      <c r="O930" s="14" t="s">
        <v>60</v>
      </c>
      <c r="P930" s="14" t="s">
        <v>7659</v>
      </c>
      <c r="Q930" s="14" t="s">
        <v>2078</v>
      </c>
      <c r="R930" s="3">
        <v>0</v>
      </c>
      <c r="S930" s="3">
        <f t="shared" si="48"/>
        <v>550</v>
      </c>
      <c r="T930" s="3">
        <f t="shared" si="49"/>
        <v>0</v>
      </c>
      <c r="U930" s="3" t="s">
        <v>60</v>
      </c>
      <c r="V930" s="14" t="s">
        <v>6</v>
      </c>
      <c r="W930" s="14" t="s">
        <v>4287</v>
      </c>
      <c r="X930" s="14" t="s">
        <v>60</v>
      </c>
    </row>
    <row r="931" spans="1:24" ht="15" x14ac:dyDescent="0.3">
      <c r="A931" s="3">
        <v>11</v>
      </c>
      <c r="B931" s="3" t="s">
        <v>7660</v>
      </c>
      <c r="C931" s="14" t="s">
        <v>14</v>
      </c>
      <c r="D931" s="14" t="s">
        <v>2098</v>
      </c>
      <c r="E931" s="14" t="s">
        <v>7661</v>
      </c>
      <c r="F931" s="14" t="s">
        <v>2099</v>
      </c>
      <c r="G931" s="14" t="s">
        <v>121</v>
      </c>
      <c r="H931" s="14" t="s">
        <v>7662</v>
      </c>
      <c r="I931" s="14" t="s">
        <v>7663</v>
      </c>
      <c r="J931" s="14" t="s">
        <v>60</v>
      </c>
      <c r="K931" s="14" t="s">
        <v>60</v>
      </c>
      <c r="L931" s="14" t="s">
        <v>60</v>
      </c>
      <c r="M931" s="14" t="s">
        <v>60</v>
      </c>
      <c r="N931" s="14" t="s">
        <v>60</v>
      </c>
      <c r="O931" s="14" t="s">
        <v>60</v>
      </c>
      <c r="P931" s="14" t="s">
        <v>7664</v>
      </c>
      <c r="Q931" s="14" t="s">
        <v>11</v>
      </c>
      <c r="R931" s="3">
        <v>0</v>
      </c>
      <c r="S931" s="3">
        <f t="shared" si="48"/>
        <v>640</v>
      </c>
      <c r="T931" s="3">
        <f t="shared" si="49"/>
        <v>0</v>
      </c>
      <c r="U931" s="3" t="s">
        <v>60</v>
      </c>
      <c r="V931" s="14" t="s">
        <v>6</v>
      </c>
      <c r="W931" s="14" t="s">
        <v>4287</v>
      </c>
      <c r="X931" s="14" t="s">
        <v>60</v>
      </c>
    </row>
    <row r="932" spans="1:24" ht="15" x14ac:dyDescent="0.3">
      <c r="A932" s="3">
        <v>12</v>
      </c>
      <c r="B932" s="3" t="s">
        <v>7665</v>
      </c>
      <c r="C932" s="14" t="s">
        <v>0</v>
      </c>
      <c r="D932" s="14" t="s">
        <v>2100</v>
      </c>
      <c r="E932" s="14" t="s">
        <v>7666</v>
      </c>
      <c r="F932" s="14" t="s">
        <v>2101</v>
      </c>
      <c r="G932" s="14" t="s">
        <v>3</v>
      </c>
      <c r="H932" s="14" t="s">
        <v>7667</v>
      </c>
      <c r="I932" s="14" t="s">
        <v>7668</v>
      </c>
      <c r="J932" s="14" t="s">
        <v>60</v>
      </c>
      <c r="K932" s="14" t="s">
        <v>60</v>
      </c>
      <c r="L932" s="14" t="s">
        <v>60</v>
      </c>
      <c r="M932" s="14" t="s">
        <v>2102</v>
      </c>
      <c r="N932" s="14" t="s">
        <v>60</v>
      </c>
      <c r="O932" s="14" t="s">
        <v>60</v>
      </c>
      <c r="P932" s="14" t="s">
        <v>7669</v>
      </c>
      <c r="Q932" s="14" t="s">
        <v>11</v>
      </c>
      <c r="R932" s="3">
        <v>0</v>
      </c>
      <c r="S932" s="3">
        <f t="shared" si="48"/>
        <v>550</v>
      </c>
      <c r="T932" s="3">
        <f t="shared" si="49"/>
        <v>0</v>
      </c>
      <c r="U932" s="3" t="s">
        <v>60</v>
      </c>
      <c r="V932" s="14" t="s">
        <v>6</v>
      </c>
      <c r="W932" s="14" t="s">
        <v>4287</v>
      </c>
      <c r="X932" s="14" t="s">
        <v>60</v>
      </c>
    </row>
    <row r="933" spans="1:24" ht="15" x14ac:dyDescent="0.3">
      <c r="A933" s="3">
        <v>13</v>
      </c>
      <c r="B933" s="3" t="s">
        <v>7670</v>
      </c>
      <c r="C933" s="14" t="s">
        <v>0</v>
      </c>
      <c r="D933" s="14" t="s">
        <v>2103</v>
      </c>
      <c r="E933" s="14" t="s">
        <v>7671</v>
      </c>
      <c r="F933" s="14" t="s">
        <v>2104</v>
      </c>
      <c r="G933" s="14" t="s">
        <v>3</v>
      </c>
      <c r="H933" s="14" t="s">
        <v>7672</v>
      </c>
      <c r="I933" s="14" t="s">
        <v>2105</v>
      </c>
      <c r="J933" s="14" t="s">
        <v>60</v>
      </c>
      <c r="K933" s="14" t="s">
        <v>60</v>
      </c>
      <c r="L933" s="14" t="s">
        <v>60</v>
      </c>
      <c r="M933" s="14" t="s">
        <v>2106</v>
      </c>
      <c r="N933" s="14" t="s">
        <v>60</v>
      </c>
      <c r="O933" s="14" t="s">
        <v>193</v>
      </c>
      <c r="P933" s="14" t="s">
        <v>7673</v>
      </c>
      <c r="Q933" s="14" t="s">
        <v>588</v>
      </c>
      <c r="R933" s="3">
        <v>0</v>
      </c>
      <c r="S933" s="3">
        <f t="shared" si="48"/>
        <v>550</v>
      </c>
      <c r="T933" s="3">
        <f t="shared" si="49"/>
        <v>0</v>
      </c>
      <c r="U933" s="3" t="s">
        <v>60</v>
      </c>
      <c r="V933" s="14" t="s">
        <v>6</v>
      </c>
      <c r="W933" s="14" t="s">
        <v>4287</v>
      </c>
      <c r="X933" s="14" t="s">
        <v>60</v>
      </c>
    </row>
    <row r="934" spans="1:24" ht="15" x14ac:dyDescent="0.3">
      <c r="A934" s="3">
        <v>14</v>
      </c>
      <c r="B934" s="3" t="s">
        <v>7674</v>
      </c>
      <c r="C934" s="14" t="s">
        <v>0</v>
      </c>
      <c r="D934" s="14" t="s">
        <v>2107</v>
      </c>
      <c r="E934" s="14" t="s">
        <v>7675</v>
      </c>
      <c r="F934" s="14" t="s">
        <v>2108</v>
      </c>
      <c r="G934" s="14" t="s">
        <v>3</v>
      </c>
      <c r="H934" s="14" t="s">
        <v>7676</v>
      </c>
      <c r="I934" s="14" t="s">
        <v>2109</v>
      </c>
      <c r="J934" s="14" t="s">
        <v>60</v>
      </c>
      <c r="K934" s="14" t="s">
        <v>60</v>
      </c>
      <c r="L934" s="14" t="s">
        <v>60</v>
      </c>
      <c r="M934" s="14" t="s">
        <v>60</v>
      </c>
      <c r="N934" s="14" t="s">
        <v>60</v>
      </c>
      <c r="O934" s="14" t="s">
        <v>2110</v>
      </c>
      <c r="P934" s="14" t="s">
        <v>7677</v>
      </c>
      <c r="Q934" s="14" t="s">
        <v>1131</v>
      </c>
      <c r="R934" s="3">
        <v>0</v>
      </c>
      <c r="S934" s="3">
        <f t="shared" si="48"/>
        <v>550</v>
      </c>
      <c r="T934" s="3">
        <f t="shared" si="49"/>
        <v>0</v>
      </c>
      <c r="U934" s="3" t="s">
        <v>60</v>
      </c>
      <c r="V934" s="14" t="s">
        <v>6</v>
      </c>
      <c r="W934" s="14" t="s">
        <v>5019</v>
      </c>
      <c r="X934" s="14" t="s">
        <v>60</v>
      </c>
    </row>
    <row r="935" spans="1:24" ht="15" x14ac:dyDescent="0.3">
      <c r="A935" s="3">
        <v>15</v>
      </c>
      <c r="B935" s="3" t="s">
        <v>7678</v>
      </c>
      <c r="C935" s="14" t="s">
        <v>0</v>
      </c>
      <c r="D935" s="14" t="s">
        <v>1214</v>
      </c>
      <c r="E935" s="14" t="s">
        <v>7679</v>
      </c>
      <c r="F935" s="14" t="s">
        <v>2111</v>
      </c>
      <c r="G935" s="14" t="s">
        <v>3</v>
      </c>
      <c r="H935" s="14" t="s">
        <v>7680</v>
      </c>
      <c r="I935" s="14" t="s">
        <v>7681</v>
      </c>
      <c r="J935" s="14" t="s">
        <v>60</v>
      </c>
      <c r="K935" s="14" t="s">
        <v>60</v>
      </c>
      <c r="L935" s="14" t="s">
        <v>60</v>
      </c>
      <c r="M935" s="14" t="s">
        <v>2112</v>
      </c>
      <c r="N935" s="14" t="s">
        <v>60</v>
      </c>
      <c r="O935" s="14" t="s">
        <v>193</v>
      </c>
      <c r="P935" s="14" t="s">
        <v>7682</v>
      </c>
      <c r="Q935" s="14" t="s">
        <v>11</v>
      </c>
      <c r="R935" s="3">
        <v>0</v>
      </c>
      <c r="S935" s="3">
        <f t="shared" si="48"/>
        <v>550</v>
      </c>
      <c r="T935" s="3">
        <f t="shared" si="49"/>
        <v>0</v>
      </c>
      <c r="U935" s="3" t="s">
        <v>60</v>
      </c>
      <c r="V935" s="14" t="s">
        <v>6</v>
      </c>
      <c r="W935" s="14" t="s">
        <v>4287</v>
      </c>
      <c r="X935" s="14" t="s">
        <v>60</v>
      </c>
    </row>
    <row r="936" spans="1:24" ht="15" x14ac:dyDescent="0.3">
      <c r="A936" s="3">
        <v>16</v>
      </c>
      <c r="B936" s="3" t="s">
        <v>7683</v>
      </c>
      <c r="C936" s="14" t="s">
        <v>0</v>
      </c>
      <c r="D936" s="14" t="s">
        <v>2113</v>
      </c>
      <c r="E936" s="14" t="s">
        <v>7684</v>
      </c>
      <c r="F936" s="14" t="s">
        <v>2114</v>
      </c>
      <c r="G936" s="14" t="s">
        <v>3</v>
      </c>
      <c r="H936" s="14" t="s">
        <v>7685</v>
      </c>
      <c r="I936" s="14" t="s">
        <v>7686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184</v>
      </c>
      <c r="P936" s="14" t="s">
        <v>7687</v>
      </c>
      <c r="Q936" s="14" t="s">
        <v>11</v>
      </c>
      <c r="R936" s="3">
        <v>0</v>
      </c>
      <c r="S936" s="3">
        <f t="shared" si="48"/>
        <v>550</v>
      </c>
      <c r="T936" s="3">
        <f t="shared" si="49"/>
        <v>0</v>
      </c>
      <c r="U936" s="3" t="s">
        <v>60</v>
      </c>
      <c r="V936" s="14" t="s">
        <v>6</v>
      </c>
      <c r="W936" s="14" t="s">
        <v>4287</v>
      </c>
      <c r="X936" s="14" t="s">
        <v>60</v>
      </c>
    </row>
    <row r="937" spans="1:24" ht="15" x14ac:dyDescent="0.3">
      <c r="A937" s="3">
        <v>17</v>
      </c>
      <c r="B937" s="3" t="s">
        <v>7688</v>
      </c>
      <c r="C937" s="14" t="s">
        <v>0</v>
      </c>
      <c r="D937" s="14" t="s">
        <v>2115</v>
      </c>
      <c r="E937" s="14" t="s">
        <v>7689</v>
      </c>
      <c r="F937" s="14" t="s">
        <v>2116</v>
      </c>
      <c r="G937" s="14" t="s">
        <v>3</v>
      </c>
      <c r="H937" s="14" t="s">
        <v>7690</v>
      </c>
      <c r="I937" s="14" t="s">
        <v>7691</v>
      </c>
      <c r="J937" s="14" t="s">
        <v>60</v>
      </c>
      <c r="K937" s="14" t="s">
        <v>60</v>
      </c>
      <c r="L937" s="14" t="s">
        <v>60</v>
      </c>
      <c r="M937" s="14" t="s">
        <v>60</v>
      </c>
      <c r="N937" s="14" t="s">
        <v>60</v>
      </c>
      <c r="O937" s="14" t="s">
        <v>2117</v>
      </c>
      <c r="P937" s="14" t="s">
        <v>7692</v>
      </c>
      <c r="Q937" s="14" t="s">
        <v>2118</v>
      </c>
      <c r="R937" s="3">
        <v>0</v>
      </c>
      <c r="S937" s="3">
        <f t="shared" si="48"/>
        <v>550</v>
      </c>
      <c r="T937" s="3">
        <f t="shared" si="49"/>
        <v>0</v>
      </c>
      <c r="U937" s="3" t="s">
        <v>60</v>
      </c>
      <c r="V937" s="14" t="s">
        <v>6</v>
      </c>
      <c r="W937" s="14" t="s">
        <v>4287</v>
      </c>
      <c r="X937" s="14" t="s">
        <v>60</v>
      </c>
    </row>
    <row r="938" spans="1:24" ht="15" x14ac:dyDescent="0.3">
      <c r="A938" s="3">
        <v>18</v>
      </c>
      <c r="B938" s="3" t="s">
        <v>7693</v>
      </c>
      <c r="C938" s="14" t="s">
        <v>0</v>
      </c>
      <c r="D938" s="14" t="s">
        <v>2119</v>
      </c>
      <c r="E938" s="14" t="s">
        <v>7694</v>
      </c>
      <c r="F938" s="14" t="s">
        <v>2120</v>
      </c>
      <c r="G938" s="14" t="s">
        <v>3</v>
      </c>
      <c r="H938" s="14" t="s">
        <v>7695</v>
      </c>
      <c r="I938" s="14" t="s">
        <v>7696</v>
      </c>
      <c r="J938" s="14" t="s">
        <v>60</v>
      </c>
      <c r="K938" s="14" t="s">
        <v>60</v>
      </c>
      <c r="L938" s="14" t="s">
        <v>60</v>
      </c>
      <c r="M938" s="14" t="s">
        <v>2121</v>
      </c>
      <c r="N938" s="14" t="s">
        <v>60</v>
      </c>
      <c r="O938" s="14" t="s">
        <v>2122</v>
      </c>
      <c r="P938" s="14" t="s">
        <v>7697</v>
      </c>
      <c r="Q938" s="14" t="s">
        <v>5</v>
      </c>
      <c r="R938" s="3">
        <v>0</v>
      </c>
      <c r="S938" s="3">
        <f t="shared" si="48"/>
        <v>550</v>
      </c>
      <c r="T938" s="3">
        <f t="shared" si="49"/>
        <v>0</v>
      </c>
      <c r="U938" s="3" t="s">
        <v>60</v>
      </c>
      <c r="V938" s="14" t="s">
        <v>6</v>
      </c>
      <c r="W938" s="14" t="s">
        <v>5090</v>
      </c>
      <c r="X938" s="14" t="s">
        <v>60</v>
      </c>
    </row>
    <row r="939" spans="1:24" ht="15" x14ac:dyDescent="0.3">
      <c r="A939" s="3">
        <v>19</v>
      </c>
      <c r="B939" s="3" t="s">
        <v>7698</v>
      </c>
      <c r="C939" s="14" t="s">
        <v>0</v>
      </c>
      <c r="D939" s="14" t="s">
        <v>2123</v>
      </c>
      <c r="E939" s="14" t="s">
        <v>5390</v>
      </c>
      <c r="F939" s="14" t="s">
        <v>2124</v>
      </c>
      <c r="G939" s="14" t="s">
        <v>3</v>
      </c>
      <c r="H939" s="14" t="s">
        <v>7699</v>
      </c>
      <c r="I939" s="14" t="s">
        <v>2125</v>
      </c>
      <c r="J939" s="14" t="s">
        <v>60</v>
      </c>
      <c r="K939" s="14" t="s">
        <v>60</v>
      </c>
      <c r="L939" s="14" t="s">
        <v>60</v>
      </c>
      <c r="M939" s="14" t="s">
        <v>60</v>
      </c>
      <c r="N939" s="14" t="s">
        <v>60</v>
      </c>
      <c r="O939" s="14" t="s">
        <v>2122</v>
      </c>
      <c r="P939" s="14" t="s">
        <v>7700</v>
      </c>
      <c r="Q939" s="14" t="s">
        <v>24</v>
      </c>
      <c r="R939" s="3">
        <v>0</v>
      </c>
      <c r="S939" s="3">
        <f t="shared" si="48"/>
        <v>550</v>
      </c>
      <c r="T939" s="3">
        <f t="shared" si="49"/>
        <v>0</v>
      </c>
      <c r="U939" s="3" t="s">
        <v>60</v>
      </c>
      <c r="V939" s="14" t="s">
        <v>6</v>
      </c>
      <c r="W939" s="14" t="s">
        <v>5090</v>
      </c>
      <c r="X939" s="14" t="s">
        <v>60</v>
      </c>
    </row>
    <row r="940" spans="1:24" ht="15" x14ac:dyDescent="0.3">
      <c r="A940" s="3">
        <v>20</v>
      </c>
      <c r="B940" s="3" t="s">
        <v>7701</v>
      </c>
      <c r="C940" s="14" t="s">
        <v>91</v>
      </c>
      <c r="D940" s="14" t="s">
        <v>2260</v>
      </c>
      <c r="E940" s="14" t="s">
        <v>7702</v>
      </c>
      <c r="F940" s="14" t="s">
        <v>2261</v>
      </c>
      <c r="G940" s="14" t="s">
        <v>3</v>
      </c>
      <c r="H940" s="14" t="s">
        <v>7703</v>
      </c>
      <c r="I940" s="14" t="s">
        <v>2262</v>
      </c>
      <c r="J940" s="14" t="s">
        <v>60</v>
      </c>
      <c r="K940" s="14" t="s">
        <v>60</v>
      </c>
      <c r="L940" s="14" t="s">
        <v>60</v>
      </c>
      <c r="M940" s="14" t="s">
        <v>60</v>
      </c>
      <c r="N940" s="14" t="s">
        <v>60</v>
      </c>
      <c r="O940" s="14" t="s">
        <v>60</v>
      </c>
      <c r="P940" s="14" t="s">
        <v>7704</v>
      </c>
      <c r="Q940" s="14" t="s">
        <v>2263</v>
      </c>
      <c r="R940" s="3">
        <v>0</v>
      </c>
      <c r="S940" s="3">
        <f t="shared" si="48"/>
        <v>770</v>
      </c>
      <c r="T940" s="3">
        <f t="shared" si="49"/>
        <v>0</v>
      </c>
      <c r="U940" s="3">
        <f>SUM(T921:T940)</f>
        <v>0</v>
      </c>
      <c r="V940" s="14" t="s">
        <v>6</v>
      </c>
      <c r="W940" s="14" t="s">
        <v>7705</v>
      </c>
      <c r="X940" s="14" t="s">
        <v>60</v>
      </c>
    </row>
    <row r="941" spans="1:24" ht="15" x14ac:dyDescent="0.3">
      <c r="A941" s="3">
        <v>21</v>
      </c>
      <c r="B941" s="3" t="s">
        <v>2286</v>
      </c>
      <c r="C941" s="14" t="s">
        <v>710</v>
      </c>
      <c r="D941" s="14" t="s">
        <v>2099</v>
      </c>
      <c r="E941" s="14" t="s">
        <v>2287</v>
      </c>
      <c r="F941" s="14" t="s">
        <v>2101</v>
      </c>
      <c r="G941" s="14" t="s">
        <v>3</v>
      </c>
      <c r="H941" s="14" t="s">
        <v>7706</v>
      </c>
      <c r="I941" s="14" t="s">
        <v>7707</v>
      </c>
      <c r="J941" s="14" t="s">
        <v>60</v>
      </c>
      <c r="K941" s="14" t="s">
        <v>60</v>
      </c>
      <c r="L941" s="14" t="s">
        <v>60</v>
      </c>
      <c r="M941" s="14" t="s">
        <v>2288</v>
      </c>
      <c r="N941" s="14" t="s">
        <v>60</v>
      </c>
      <c r="O941" s="14" t="s">
        <v>193</v>
      </c>
      <c r="P941" s="14" t="s">
        <v>7708</v>
      </c>
      <c r="Q941" s="14" t="s">
        <v>1131</v>
      </c>
      <c r="R941" s="3">
        <v>0</v>
      </c>
      <c r="S941" s="3">
        <f t="shared" si="48"/>
        <v>900</v>
      </c>
      <c r="T941" s="3">
        <f t="shared" si="49"/>
        <v>0</v>
      </c>
      <c r="U941" s="3" t="s">
        <v>60</v>
      </c>
      <c r="V941" s="14" t="s">
        <v>6</v>
      </c>
      <c r="W941" s="14" t="s">
        <v>4287</v>
      </c>
      <c r="X941" s="14" t="s">
        <v>60</v>
      </c>
    </row>
    <row r="942" spans="1:24" ht="15" x14ac:dyDescent="0.3">
      <c r="A942" s="3">
        <v>22</v>
      </c>
      <c r="B942" s="3" t="s">
        <v>2299</v>
      </c>
      <c r="C942" s="14" t="s">
        <v>0</v>
      </c>
      <c r="D942" s="14" t="s">
        <v>2300</v>
      </c>
      <c r="E942" s="14" t="s">
        <v>7709</v>
      </c>
      <c r="F942" s="14" t="s">
        <v>2214</v>
      </c>
      <c r="G942" s="14" t="s">
        <v>3</v>
      </c>
      <c r="H942" s="14" t="s">
        <v>7710</v>
      </c>
      <c r="I942" s="14" t="s">
        <v>2301</v>
      </c>
      <c r="J942" s="14" t="s">
        <v>60</v>
      </c>
      <c r="K942" s="14" t="s">
        <v>60</v>
      </c>
      <c r="L942" s="14" t="s">
        <v>60</v>
      </c>
      <c r="M942" s="14" t="s">
        <v>2302</v>
      </c>
      <c r="N942" s="14" t="s">
        <v>60</v>
      </c>
      <c r="O942" s="14" t="s">
        <v>193</v>
      </c>
      <c r="P942" s="14" t="s">
        <v>7711</v>
      </c>
      <c r="Q942" s="14" t="s">
        <v>2266</v>
      </c>
      <c r="R942" s="3">
        <v>0</v>
      </c>
      <c r="S942" s="3">
        <f t="shared" si="48"/>
        <v>550</v>
      </c>
      <c r="T942" s="3">
        <f t="shared" si="49"/>
        <v>0</v>
      </c>
      <c r="U942" s="3" t="s">
        <v>60</v>
      </c>
      <c r="V942" s="14" t="s">
        <v>6</v>
      </c>
      <c r="W942" s="14" t="s">
        <v>4287</v>
      </c>
      <c r="X942" s="14" t="s">
        <v>60</v>
      </c>
    </row>
    <row r="943" spans="1:24" ht="15" x14ac:dyDescent="0.3">
      <c r="A943" s="3">
        <v>23</v>
      </c>
      <c r="B943" s="3" t="s">
        <v>7712</v>
      </c>
      <c r="C943" s="14" t="s">
        <v>0</v>
      </c>
      <c r="D943" s="14" t="s">
        <v>2303</v>
      </c>
      <c r="E943" s="14" t="s">
        <v>4928</v>
      </c>
      <c r="F943" s="14" t="s">
        <v>2304</v>
      </c>
      <c r="G943" s="14" t="s">
        <v>3</v>
      </c>
      <c r="H943" s="14" t="s">
        <v>7713</v>
      </c>
      <c r="I943" s="14" t="s">
        <v>2305</v>
      </c>
      <c r="J943" s="14" t="s">
        <v>60</v>
      </c>
      <c r="K943" s="14" t="s">
        <v>60</v>
      </c>
      <c r="L943" s="14" t="s">
        <v>60</v>
      </c>
      <c r="M943" s="14" t="s">
        <v>2306</v>
      </c>
      <c r="N943" s="14" t="s">
        <v>60</v>
      </c>
      <c r="O943" s="14" t="s">
        <v>2217</v>
      </c>
      <c r="P943" s="14" t="s">
        <v>7714</v>
      </c>
      <c r="Q943" s="14" t="s">
        <v>2151</v>
      </c>
      <c r="R943" s="3">
        <v>0</v>
      </c>
      <c r="S943" s="3">
        <f t="shared" si="48"/>
        <v>550</v>
      </c>
      <c r="T943" s="3">
        <f t="shared" si="49"/>
        <v>0</v>
      </c>
      <c r="U943" s="3" t="s">
        <v>60</v>
      </c>
      <c r="V943" s="14" t="s">
        <v>6</v>
      </c>
      <c r="W943" s="14" t="s">
        <v>4287</v>
      </c>
      <c r="X943" s="14" t="s">
        <v>60</v>
      </c>
    </row>
    <row r="944" spans="1:24" ht="15" x14ac:dyDescent="0.3">
      <c r="A944" s="3">
        <v>24</v>
      </c>
      <c r="B944" s="3" t="s">
        <v>7715</v>
      </c>
      <c r="C944" s="14" t="s">
        <v>0</v>
      </c>
      <c r="D944" s="14" t="s">
        <v>3291</v>
      </c>
      <c r="E944" s="14" t="s">
        <v>7716</v>
      </c>
      <c r="F944" s="14" t="s">
        <v>3292</v>
      </c>
      <c r="G944" s="14" t="s">
        <v>3</v>
      </c>
      <c r="H944" s="14" t="s">
        <v>7717</v>
      </c>
      <c r="I944" s="14" t="s">
        <v>3413</v>
      </c>
      <c r="J944" s="14" t="s">
        <v>60</v>
      </c>
      <c r="K944" s="14" t="s">
        <v>60</v>
      </c>
      <c r="L944" s="14" t="s">
        <v>60</v>
      </c>
      <c r="M944" s="14" t="s">
        <v>60</v>
      </c>
      <c r="N944" s="14" t="s">
        <v>60</v>
      </c>
      <c r="O944" s="14" t="s">
        <v>60</v>
      </c>
      <c r="P944" s="14" t="s">
        <v>7718</v>
      </c>
      <c r="Q944" s="14" t="s">
        <v>1676</v>
      </c>
      <c r="R944" s="3">
        <v>0</v>
      </c>
      <c r="S944" s="3">
        <f t="shared" si="48"/>
        <v>550</v>
      </c>
      <c r="T944" s="3">
        <f t="shared" si="49"/>
        <v>0</v>
      </c>
      <c r="U944" s="3" t="s">
        <v>60</v>
      </c>
      <c r="V944" s="14" t="s">
        <v>6</v>
      </c>
      <c r="W944" s="14" t="s">
        <v>4428</v>
      </c>
      <c r="X944" s="14" t="s">
        <v>60</v>
      </c>
    </row>
    <row r="945" spans="1:24" ht="15" x14ac:dyDescent="0.3">
      <c r="A945" s="3">
        <v>25</v>
      </c>
      <c r="B945" s="3" t="s">
        <v>7719</v>
      </c>
      <c r="C945" s="14" t="s">
        <v>0</v>
      </c>
      <c r="D945" s="14" t="s">
        <v>7720</v>
      </c>
      <c r="E945" s="14" t="s">
        <v>7721</v>
      </c>
      <c r="F945" s="14" t="s">
        <v>2317</v>
      </c>
      <c r="G945" s="14" t="s">
        <v>3</v>
      </c>
      <c r="H945" s="14" t="s">
        <v>7722</v>
      </c>
      <c r="I945" s="14" t="s">
        <v>2318</v>
      </c>
      <c r="J945" s="14" t="s">
        <v>60</v>
      </c>
      <c r="K945" s="14" t="s">
        <v>60</v>
      </c>
      <c r="L945" s="14" t="s">
        <v>60</v>
      </c>
      <c r="M945" s="14" t="s">
        <v>60</v>
      </c>
      <c r="N945" s="14" t="s">
        <v>60</v>
      </c>
      <c r="O945" s="14" t="s">
        <v>487</v>
      </c>
      <c r="P945" s="14" t="s">
        <v>7723</v>
      </c>
      <c r="Q945" s="14" t="s">
        <v>11</v>
      </c>
      <c r="R945" s="3">
        <v>0</v>
      </c>
      <c r="S945" s="3">
        <f t="shared" si="48"/>
        <v>550</v>
      </c>
      <c r="T945" s="3">
        <f t="shared" si="49"/>
        <v>0</v>
      </c>
      <c r="U945" s="3" t="s">
        <v>60</v>
      </c>
      <c r="V945" s="14" t="s">
        <v>6</v>
      </c>
      <c r="W945" s="14" t="s">
        <v>7227</v>
      </c>
      <c r="X945" s="14" t="s">
        <v>60</v>
      </c>
    </row>
    <row r="946" spans="1:24" ht="15" x14ac:dyDescent="0.3">
      <c r="A946" s="3">
        <v>26</v>
      </c>
      <c r="B946" s="3" t="s">
        <v>7724</v>
      </c>
      <c r="C946" s="14" t="s">
        <v>0</v>
      </c>
      <c r="D946" s="14" t="s">
        <v>2323</v>
      </c>
      <c r="E946" s="14" t="s">
        <v>7725</v>
      </c>
      <c r="F946" s="14" t="s">
        <v>2324</v>
      </c>
      <c r="G946" s="14" t="s">
        <v>3</v>
      </c>
      <c r="H946" s="14" t="s">
        <v>7726</v>
      </c>
      <c r="I946" s="14" t="s">
        <v>2325</v>
      </c>
      <c r="J946" s="14" t="s">
        <v>60</v>
      </c>
      <c r="K946" s="14" t="s">
        <v>60</v>
      </c>
      <c r="L946" s="14" t="s">
        <v>60</v>
      </c>
      <c r="M946" s="14" t="s">
        <v>2326</v>
      </c>
      <c r="N946" s="14" t="s">
        <v>60</v>
      </c>
      <c r="O946" s="14" t="s">
        <v>60</v>
      </c>
      <c r="P946" s="14" t="s">
        <v>7727</v>
      </c>
      <c r="Q946" s="14" t="s">
        <v>176</v>
      </c>
      <c r="R946" s="3">
        <v>0</v>
      </c>
      <c r="S946" s="3">
        <f t="shared" si="48"/>
        <v>550</v>
      </c>
      <c r="T946" s="3">
        <f t="shared" si="49"/>
        <v>0</v>
      </c>
      <c r="U946" s="3" t="s">
        <v>60</v>
      </c>
      <c r="V946" s="14" t="s">
        <v>6</v>
      </c>
      <c r="W946" s="14" t="s">
        <v>7728</v>
      </c>
      <c r="X946" s="14" t="s">
        <v>60</v>
      </c>
    </row>
    <row r="947" spans="1:24" ht="15" x14ac:dyDescent="0.3">
      <c r="A947" s="3">
        <v>27</v>
      </c>
      <c r="B947" s="3" t="s">
        <v>7729</v>
      </c>
      <c r="C947" s="14" t="s">
        <v>3966</v>
      </c>
      <c r="D947" s="14" t="s">
        <v>2256</v>
      </c>
      <c r="E947" s="14" t="s">
        <v>7730</v>
      </c>
      <c r="F947" s="14" t="s">
        <v>2257</v>
      </c>
      <c r="G947" s="14" t="s">
        <v>3</v>
      </c>
      <c r="H947" s="14" t="s">
        <v>2258</v>
      </c>
      <c r="I947" s="14" t="s">
        <v>2259</v>
      </c>
      <c r="J947" s="14" t="s">
        <v>60</v>
      </c>
      <c r="K947" s="14" t="s">
        <v>60</v>
      </c>
      <c r="L947" s="14" t="s">
        <v>60</v>
      </c>
      <c r="M947" s="14" t="s">
        <v>60</v>
      </c>
      <c r="N947" s="14" t="s">
        <v>60</v>
      </c>
      <c r="O947" s="14" t="s">
        <v>261</v>
      </c>
      <c r="P947" s="14" t="s">
        <v>7731</v>
      </c>
      <c r="Q947" s="14" t="s">
        <v>11</v>
      </c>
      <c r="R947" s="3">
        <v>0</v>
      </c>
      <c r="S947" s="3">
        <f t="shared" si="48"/>
        <v>640</v>
      </c>
      <c r="T947" s="3">
        <f t="shared" si="49"/>
        <v>0</v>
      </c>
      <c r="U947" s="3" t="s">
        <v>60</v>
      </c>
      <c r="V947" s="14" t="s">
        <v>7732</v>
      </c>
      <c r="W947" s="14" t="s">
        <v>4202</v>
      </c>
      <c r="X947" s="14" t="s">
        <v>60</v>
      </c>
    </row>
    <row r="948" spans="1:24" ht="15" x14ac:dyDescent="0.3">
      <c r="A948" s="3">
        <v>28</v>
      </c>
      <c r="B948" s="3" t="s">
        <v>7733</v>
      </c>
      <c r="C948" s="14" t="s">
        <v>0</v>
      </c>
      <c r="D948" s="14" t="s">
        <v>2314</v>
      </c>
      <c r="E948" s="14" t="s">
        <v>7734</v>
      </c>
      <c r="F948" s="14" t="s">
        <v>2315</v>
      </c>
      <c r="G948" s="14" t="s">
        <v>3</v>
      </c>
      <c r="H948" s="14" t="s">
        <v>7735</v>
      </c>
      <c r="I948" s="14" t="s">
        <v>2316</v>
      </c>
      <c r="J948" s="14" t="s">
        <v>60</v>
      </c>
      <c r="K948" s="14" t="s">
        <v>60</v>
      </c>
      <c r="L948" s="14" t="s">
        <v>60</v>
      </c>
      <c r="M948" s="14" t="s">
        <v>60</v>
      </c>
      <c r="N948" s="14" t="s">
        <v>60</v>
      </c>
      <c r="O948" s="14" t="s">
        <v>487</v>
      </c>
      <c r="P948" s="14" t="s">
        <v>7736</v>
      </c>
      <c r="Q948" s="14" t="s">
        <v>176</v>
      </c>
      <c r="R948" s="3">
        <v>0</v>
      </c>
      <c r="S948" s="3">
        <f t="shared" si="48"/>
        <v>550</v>
      </c>
      <c r="T948" s="3">
        <f t="shared" si="49"/>
        <v>0</v>
      </c>
      <c r="U948" s="3" t="s">
        <v>60</v>
      </c>
      <c r="V948" s="14" t="s">
        <v>6</v>
      </c>
      <c r="W948" s="14" t="s">
        <v>7227</v>
      </c>
      <c r="X948" s="14" t="s">
        <v>60</v>
      </c>
    </row>
    <row r="949" spans="1:24" ht="15" x14ac:dyDescent="0.3">
      <c r="A949" s="3">
        <v>29</v>
      </c>
      <c r="B949" s="3" t="s">
        <v>7737</v>
      </c>
      <c r="C949" s="14" t="s">
        <v>128</v>
      </c>
      <c r="D949" s="14" t="s">
        <v>2181</v>
      </c>
      <c r="E949" s="14" t="s">
        <v>7738</v>
      </c>
      <c r="F949" s="14" t="s">
        <v>2182</v>
      </c>
      <c r="G949" s="14" t="s">
        <v>3</v>
      </c>
      <c r="H949" s="14" t="s">
        <v>2183</v>
      </c>
      <c r="I949" s="14" t="s">
        <v>2184</v>
      </c>
      <c r="J949" s="14" t="s">
        <v>60</v>
      </c>
      <c r="K949" s="14" t="s">
        <v>60</v>
      </c>
      <c r="L949" s="14" t="s">
        <v>60</v>
      </c>
      <c r="M949" s="14" t="s">
        <v>2185</v>
      </c>
      <c r="N949" s="14" t="s">
        <v>60</v>
      </c>
      <c r="O949" s="14" t="s">
        <v>60</v>
      </c>
      <c r="P949" s="14" t="s">
        <v>7739</v>
      </c>
      <c r="Q949" s="14" t="s">
        <v>2084</v>
      </c>
      <c r="R949" s="3">
        <v>0</v>
      </c>
      <c r="S949" s="3">
        <f t="shared" si="48"/>
        <v>550</v>
      </c>
      <c r="T949" s="3">
        <f t="shared" si="49"/>
        <v>0</v>
      </c>
      <c r="U949" s="3" t="s">
        <v>60</v>
      </c>
      <c r="V949" s="14" t="s">
        <v>6</v>
      </c>
      <c r="W949" s="14" t="s">
        <v>4634</v>
      </c>
      <c r="X949" s="14" t="s">
        <v>60</v>
      </c>
    </row>
    <row r="950" spans="1:24" ht="15" x14ac:dyDescent="0.3">
      <c r="A950" s="3">
        <v>30</v>
      </c>
      <c r="B950" s="3" t="s">
        <v>7740</v>
      </c>
      <c r="C950" s="14" t="s">
        <v>0</v>
      </c>
      <c r="D950" s="14" t="s">
        <v>2186</v>
      </c>
      <c r="E950" s="14" t="s">
        <v>7741</v>
      </c>
      <c r="F950" s="14" t="s">
        <v>2187</v>
      </c>
      <c r="G950" s="14" t="s">
        <v>3</v>
      </c>
      <c r="H950" s="14" t="s">
        <v>7742</v>
      </c>
      <c r="I950" s="14" t="s">
        <v>2188</v>
      </c>
      <c r="J950" s="14" t="s">
        <v>60</v>
      </c>
      <c r="K950" s="14" t="s">
        <v>60</v>
      </c>
      <c r="L950" s="14" t="s">
        <v>60</v>
      </c>
      <c r="M950" s="14" t="s">
        <v>60</v>
      </c>
      <c r="N950" s="14" t="s">
        <v>60</v>
      </c>
      <c r="O950" s="14" t="s">
        <v>60</v>
      </c>
      <c r="P950" s="14" t="s">
        <v>7743</v>
      </c>
      <c r="Q950" s="14" t="s">
        <v>2189</v>
      </c>
      <c r="R950" s="3">
        <v>0</v>
      </c>
      <c r="S950" s="3">
        <f t="shared" si="48"/>
        <v>550</v>
      </c>
      <c r="T950" s="3">
        <f t="shared" si="49"/>
        <v>0</v>
      </c>
      <c r="U950" s="3" t="s">
        <v>60</v>
      </c>
      <c r="V950" s="14" t="s">
        <v>6</v>
      </c>
      <c r="W950" s="14" t="s">
        <v>4634</v>
      </c>
      <c r="X950" s="14" t="s">
        <v>60</v>
      </c>
    </row>
    <row r="951" spans="1:24" ht="15" x14ac:dyDescent="0.3">
      <c r="A951" s="3">
        <v>31</v>
      </c>
      <c r="B951" s="3" t="s">
        <v>7744</v>
      </c>
      <c r="C951" s="14" t="s">
        <v>0</v>
      </c>
      <c r="D951" s="14" t="s">
        <v>2190</v>
      </c>
      <c r="E951" s="14" t="s">
        <v>5435</v>
      </c>
      <c r="F951" s="14" t="s">
        <v>2080</v>
      </c>
      <c r="G951" s="14" t="s">
        <v>3</v>
      </c>
      <c r="H951" s="14" t="s">
        <v>7745</v>
      </c>
      <c r="I951" s="14" t="s">
        <v>2191</v>
      </c>
      <c r="J951" s="14" t="s">
        <v>60</v>
      </c>
      <c r="K951" s="14" t="s">
        <v>60</v>
      </c>
      <c r="L951" s="14" t="s">
        <v>60</v>
      </c>
      <c r="M951" s="14" t="s">
        <v>2192</v>
      </c>
      <c r="N951" s="14" t="s">
        <v>60</v>
      </c>
      <c r="O951" s="14" t="s">
        <v>60</v>
      </c>
      <c r="P951" s="14" t="s">
        <v>7746</v>
      </c>
      <c r="Q951" s="14" t="s">
        <v>2189</v>
      </c>
      <c r="R951" s="3">
        <v>0</v>
      </c>
      <c r="S951" s="3">
        <f t="shared" si="48"/>
        <v>550</v>
      </c>
      <c r="T951" s="3">
        <f t="shared" si="49"/>
        <v>0</v>
      </c>
      <c r="U951" s="3" t="s">
        <v>60</v>
      </c>
      <c r="V951" s="14" t="s">
        <v>6</v>
      </c>
      <c r="W951" s="14" t="s">
        <v>4634</v>
      </c>
      <c r="X951" s="14" t="s">
        <v>60</v>
      </c>
    </row>
    <row r="952" spans="1:24" ht="15" x14ac:dyDescent="0.3">
      <c r="A952" s="3">
        <v>32</v>
      </c>
      <c r="B952" s="3" t="s">
        <v>7747</v>
      </c>
      <c r="C952" s="14" t="s">
        <v>0</v>
      </c>
      <c r="D952" s="14" t="s">
        <v>2193</v>
      </c>
      <c r="E952" s="14" t="s">
        <v>6663</v>
      </c>
      <c r="F952" s="14" t="s">
        <v>2194</v>
      </c>
      <c r="G952" s="14" t="s">
        <v>3</v>
      </c>
      <c r="H952" s="14" t="s">
        <v>7748</v>
      </c>
      <c r="I952" s="14" t="s">
        <v>2195</v>
      </c>
      <c r="J952" s="14" t="s">
        <v>60</v>
      </c>
      <c r="K952" s="14" t="s">
        <v>60</v>
      </c>
      <c r="L952" s="14" t="s">
        <v>60</v>
      </c>
      <c r="M952" s="14" t="s">
        <v>2196</v>
      </c>
      <c r="N952" s="14" t="s">
        <v>60</v>
      </c>
      <c r="O952" s="14" t="s">
        <v>60</v>
      </c>
      <c r="P952" s="14" t="s">
        <v>7749</v>
      </c>
      <c r="Q952" s="14" t="s">
        <v>2189</v>
      </c>
      <c r="R952" s="3">
        <v>0</v>
      </c>
      <c r="S952" s="3">
        <f t="shared" si="48"/>
        <v>550</v>
      </c>
      <c r="T952" s="3">
        <f t="shared" si="49"/>
        <v>0</v>
      </c>
      <c r="U952" s="3" t="s">
        <v>60</v>
      </c>
      <c r="V952" s="14" t="s">
        <v>6</v>
      </c>
      <c r="W952" s="14" t="s">
        <v>4634</v>
      </c>
      <c r="X952" s="14" t="s">
        <v>60</v>
      </c>
    </row>
    <row r="953" spans="1:24" ht="15.6" x14ac:dyDescent="0.3">
      <c r="A953" s="3">
        <v>33</v>
      </c>
      <c r="B953" s="25" t="s">
        <v>7750</v>
      </c>
      <c r="C953" s="14" t="s">
        <v>0</v>
      </c>
      <c r="D953" s="14" t="s">
        <v>4150</v>
      </c>
      <c r="E953" s="14" t="s">
        <v>4205</v>
      </c>
      <c r="F953" s="14" t="s">
        <v>4151</v>
      </c>
      <c r="G953" s="14" t="s">
        <v>3</v>
      </c>
      <c r="H953" s="14" t="s">
        <v>7751</v>
      </c>
      <c r="I953" s="14" t="s">
        <v>4152</v>
      </c>
      <c r="J953" s="14" t="s">
        <v>60</v>
      </c>
      <c r="K953" s="14" t="s">
        <v>60</v>
      </c>
      <c r="L953" s="14" t="s">
        <v>60</v>
      </c>
      <c r="M953" s="14" t="s">
        <v>60</v>
      </c>
      <c r="N953" s="14" t="s">
        <v>60</v>
      </c>
      <c r="O953" s="14" t="s">
        <v>60</v>
      </c>
      <c r="P953" s="14" t="s">
        <v>7752</v>
      </c>
      <c r="Q953" s="14" t="s">
        <v>11</v>
      </c>
      <c r="R953" s="3">
        <v>0</v>
      </c>
      <c r="S953" s="3">
        <f t="shared" si="48"/>
        <v>550</v>
      </c>
      <c r="T953" s="3">
        <f t="shared" si="49"/>
        <v>0</v>
      </c>
      <c r="U953" s="3" t="s">
        <v>60</v>
      </c>
      <c r="V953" s="14" t="s">
        <v>6</v>
      </c>
      <c r="W953" s="14" t="s">
        <v>4495</v>
      </c>
      <c r="X953" s="14" t="s">
        <v>60</v>
      </c>
    </row>
    <row r="954" spans="1:24" ht="15.6" x14ac:dyDescent="0.3">
      <c r="A954" s="3">
        <v>34</v>
      </c>
      <c r="B954" s="25" t="s">
        <v>7753</v>
      </c>
      <c r="C954" s="14" t="s">
        <v>0</v>
      </c>
      <c r="D954" s="14" t="s">
        <v>2893</v>
      </c>
      <c r="E954" s="14" t="s">
        <v>4575</v>
      </c>
      <c r="F954" s="14" t="s">
        <v>2894</v>
      </c>
      <c r="G954" s="14" t="s">
        <v>3</v>
      </c>
      <c r="H954" s="14" t="s">
        <v>7754</v>
      </c>
      <c r="I954" s="14" t="s">
        <v>2896</v>
      </c>
      <c r="J954" s="14" t="s">
        <v>60</v>
      </c>
      <c r="K954" s="14" t="s">
        <v>60</v>
      </c>
      <c r="L954" s="14" t="s">
        <v>60</v>
      </c>
      <c r="M954" s="14" t="s">
        <v>7755</v>
      </c>
      <c r="N954" s="14" t="s">
        <v>60</v>
      </c>
      <c r="O954" s="14" t="s">
        <v>60</v>
      </c>
      <c r="P954" s="14" t="s">
        <v>4576</v>
      </c>
      <c r="Q954" s="14" t="s">
        <v>2898</v>
      </c>
      <c r="R954" s="3">
        <v>0</v>
      </c>
      <c r="S954" s="3">
        <f t="shared" si="48"/>
        <v>550</v>
      </c>
      <c r="T954" s="3">
        <f t="shared" si="49"/>
        <v>0</v>
      </c>
      <c r="U954" s="3" t="s">
        <v>7757</v>
      </c>
      <c r="V954" s="14" t="s">
        <v>6</v>
      </c>
      <c r="W954" s="14" t="s">
        <v>7758</v>
      </c>
      <c r="X954" s="14" t="s">
        <v>60</v>
      </c>
    </row>
    <row r="955" spans="1:24" ht="15.6" x14ac:dyDescent="0.3">
      <c r="A955" s="26" t="s">
        <v>60</v>
      </c>
      <c r="B955" s="26" t="s">
        <v>60</v>
      </c>
      <c r="C955" s="27" t="s">
        <v>60</v>
      </c>
      <c r="D955" s="27" t="s">
        <v>60</v>
      </c>
      <c r="E955" s="27" t="s">
        <v>60</v>
      </c>
      <c r="F955" s="27" t="s">
        <v>60</v>
      </c>
      <c r="G955" s="27" t="s">
        <v>60</v>
      </c>
      <c r="H955" s="27" t="s">
        <v>60</v>
      </c>
      <c r="I955" s="27" t="s">
        <v>60</v>
      </c>
      <c r="J955" s="27" t="s">
        <v>60</v>
      </c>
      <c r="K955" s="27" t="s">
        <v>60</v>
      </c>
      <c r="L955" s="27" t="s">
        <v>60</v>
      </c>
      <c r="M955" s="27" t="s">
        <v>60</v>
      </c>
      <c r="N955" s="27" t="s">
        <v>60</v>
      </c>
      <c r="O955" s="27" t="s">
        <v>60</v>
      </c>
      <c r="P955" s="27" t="s">
        <v>60</v>
      </c>
      <c r="Q955" s="27" t="s">
        <v>60</v>
      </c>
      <c r="R955" s="35" t="s">
        <v>2009</v>
      </c>
      <c r="S955" s="35" t="s">
        <v>60</v>
      </c>
      <c r="T955" s="26">
        <f>SUM(T920:T954)</f>
        <v>0</v>
      </c>
      <c r="U955" s="26">
        <f>SUM(T955)</f>
        <v>0</v>
      </c>
      <c r="V955" s="27" t="s">
        <v>60</v>
      </c>
      <c r="W955" s="27" t="s">
        <v>60</v>
      </c>
      <c r="X955" s="27" t="s">
        <v>60</v>
      </c>
    </row>
    <row r="956" spans="1:24" ht="15.6" x14ac:dyDescent="0.3">
      <c r="A956" s="34" t="s">
        <v>7759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 spans="1:24" ht="109.2" x14ac:dyDescent="0.3">
      <c r="A957" s="23" t="s">
        <v>42</v>
      </c>
      <c r="B957" s="23" t="s">
        <v>43</v>
      </c>
      <c r="C957" s="24" t="s">
        <v>44</v>
      </c>
      <c r="D957" s="24" t="s">
        <v>4154</v>
      </c>
      <c r="E957" s="24" t="s">
        <v>4155</v>
      </c>
      <c r="F957" s="24" t="s">
        <v>4156</v>
      </c>
      <c r="G957" s="24" t="s">
        <v>45</v>
      </c>
      <c r="H957" s="24" t="s">
        <v>4157</v>
      </c>
      <c r="I957" s="24" t="s">
        <v>46</v>
      </c>
      <c r="J957" s="24" t="s">
        <v>4158</v>
      </c>
      <c r="K957" s="24" t="s">
        <v>4159</v>
      </c>
      <c r="L957" s="24" t="s">
        <v>4160</v>
      </c>
      <c r="M957" s="24" t="s">
        <v>4161</v>
      </c>
      <c r="N957" s="24" t="s">
        <v>47</v>
      </c>
      <c r="O957" s="24" t="s">
        <v>48</v>
      </c>
      <c r="P957" s="24" t="s">
        <v>49</v>
      </c>
      <c r="Q957" s="24" t="s">
        <v>50</v>
      </c>
      <c r="R957" s="23" t="s">
        <v>4162</v>
      </c>
      <c r="S957" s="23" t="s">
        <v>4163</v>
      </c>
      <c r="T957" s="23" t="s">
        <v>4164</v>
      </c>
      <c r="U957" s="23" t="s">
        <v>4165</v>
      </c>
      <c r="V957" s="24" t="s">
        <v>51</v>
      </c>
      <c r="W957" s="24" t="s">
        <v>52</v>
      </c>
      <c r="X957" s="24" t="s">
        <v>53</v>
      </c>
    </row>
    <row r="958" spans="1:24" ht="15" x14ac:dyDescent="0.3">
      <c r="A958" s="3">
        <v>1</v>
      </c>
      <c r="B958" s="3" t="s">
        <v>7760</v>
      </c>
      <c r="C958" s="14" t="s">
        <v>69</v>
      </c>
      <c r="D958" s="14" t="s">
        <v>2327</v>
      </c>
      <c r="E958" s="14" t="s">
        <v>4746</v>
      </c>
      <c r="F958" s="14" t="s">
        <v>2328</v>
      </c>
      <c r="G958" s="14" t="s">
        <v>3</v>
      </c>
      <c r="H958" s="14" t="s">
        <v>2329</v>
      </c>
      <c r="I958" s="14" t="s">
        <v>2330</v>
      </c>
      <c r="J958" s="14" t="s">
        <v>60</v>
      </c>
      <c r="K958" s="14" t="s">
        <v>60</v>
      </c>
      <c r="L958" s="14" t="s">
        <v>60</v>
      </c>
      <c r="M958" s="14" t="s">
        <v>2331</v>
      </c>
      <c r="N958" s="14" t="s">
        <v>60</v>
      </c>
      <c r="O958" s="14" t="s">
        <v>7761</v>
      </c>
      <c r="P958" s="14">
        <v>97016994255</v>
      </c>
      <c r="Q958" s="14" t="s">
        <v>761</v>
      </c>
      <c r="R958" s="3">
        <v>0</v>
      </c>
      <c r="S958" s="3">
        <f t="shared" ref="S958:S1021" si="50">IF(RIGHT(C958,3)="MAZ",550,IF(RIGHT(C958,4)="MATE",570,IF(RIGHT(C958,7)="SKD-III",640,IF(RIGHT(C958,6)="SKD-II",770,IF(RIGHT(C958,5)="SKD-I",900,IF(RIGHT(C958,5)="CPDVR",770,""))))))</f>
        <v>570</v>
      </c>
      <c r="T958" s="3">
        <f t="shared" ref="T958:T1021" si="51">R958*S958</f>
        <v>0</v>
      </c>
      <c r="U958" s="3" t="s">
        <v>60</v>
      </c>
      <c r="V958" s="14" t="s">
        <v>6</v>
      </c>
      <c r="W958" s="14" t="s">
        <v>7762</v>
      </c>
      <c r="X958" s="14" t="s">
        <v>60</v>
      </c>
    </row>
    <row r="959" spans="1:24" ht="15" x14ac:dyDescent="0.3">
      <c r="A959" s="3">
        <v>2</v>
      </c>
      <c r="B959" s="3" t="s">
        <v>7763</v>
      </c>
      <c r="C959" s="14" t="s">
        <v>26</v>
      </c>
      <c r="D959" s="14" t="s">
        <v>2332</v>
      </c>
      <c r="E959" s="14" t="s">
        <v>7764</v>
      </c>
      <c r="F959" s="14" t="s">
        <v>2333</v>
      </c>
      <c r="G959" s="14" t="s">
        <v>3</v>
      </c>
      <c r="H959" s="14" t="s">
        <v>2334</v>
      </c>
      <c r="I959" s="14" t="s">
        <v>2335</v>
      </c>
      <c r="J959" s="14" t="s">
        <v>60</v>
      </c>
      <c r="K959" s="14" t="s">
        <v>60</v>
      </c>
      <c r="L959" s="14" t="s">
        <v>60</v>
      </c>
      <c r="M959" s="14" t="s">
        <v>60</v>
      </c>
      <c r="N959" s="14" t="s">
        <v>60</v>
      </c>
      <c r="O959" s="14" t="s">
        <v>255</v>
      </c>
      <c r="P959" s="14" t="s">
        <v>7765</v>
      </c>
      <c r="Q959" s="14" t="s">
        <v>11</v>
      </c>
      <c r="R959" s="3">
        <v>0</v>
      </c>
      <c r="S959" s="3">
        <f t="shared" si="50"/>
        <v>770</v>
      </c>
      <c r="T959" s="3">
        <f t="shared" si="51"/>
        <v>0</v>
      </c>
      <c r="U959" s="3" t="s">
        <v>60</v>
      </c>
      <c r="V959" s="14" t="s">
        <v>3889</v>
      </c>
      <c r="W959" s="14" t="s">
        <v>5223</v>
      </c>
      <c r="X959" s="14" t="s">
        <v>60</v>
      </c>
    </row>
    <row r="960" spans="1:24" ht="15" x14ac:dyDescent="0.3">
      <c r="A960" s="3">
        <v>3</v>
      </c>
      <c r="B960" s="3" t="s">
        <v>7766</v>
      </c>
      <c r="C960" s="14" t="s">
        <v>91</v>
      </c>
      <c r="D960" s="14" t="s">
        <v>2336</v>
      </c>
      <c r="E960" s="14" t="s">
        <v>2337</v>
      </c>
      <c r="F960" s="14" t="s">
        <v>2338</v>
      </c>
      <c r="G960" s="14" t="s">
        <v>3</v>
      </c>
      <c r="H960" s="14" t="s">
        <v>7767</v>
      </c>
      <c r="I960" s="14" t="s">
        <v>2339</v>
      </c>
      <c r="J960" s="14" t="s">
        <v>60</v>
      </c>
      <c r="K960" s="14" t="s">
        <v>60</v>
      </c>
      <c r="L960" s="14" t="s">
        <v>60</v>
      </c>
      <c r="M960" s="14" t="s">
        <v>2340</v>
      </c>
      <c r="N960" s="14" t="s">
        <v>60</v>
      </c>
      <c r="O960" s="14" t="s">
        <v>59</v>
      </c>
      <c r="P960" s="14" t="s">
        <v>7768</v>
      </c>
      <c r="Q960" s="14" t="s">
        <v>2341</v>
      </c>
      <c r="R960" s="3">
        <v>0</v>
      </c>
      <c r="S960" s="3">
        <f t="shared" si="50"/>
        <v>770</v>
      </c>
      <c r="T960" s="3">
        <f t="shared" si="51"/>
        <v>0</v>
      </c>
      <c r="U960" s="3" t="s">
        <v>60</v>
      </c>
      <c r="V960" s="14" t="s">
        <v>6</v>
      </c>
      <c r="W960" s="14" t="s">
        <v>5178</v>
      </c>
      <c r="X960" s="14" t="s">
        <v>60</v>
      </c>
    </row>
    <row r="961" spans="1:24" ht="15" x14ac:dyDescent="0.3">
      <c r="A961" s="3">
        <v>4</v>
      </c>
      <c r="B961" s="3" t="s">
        <v>7769</v>
      </c>
      <c r="C961" s="14" t="s">
        <v>26</v>
      </c>
      <c r="D961" s="14" t="s">
        <v>2342</v>
      </c>
      <c r="E961" s="14" t="s">
        <v>4195</v>
      </c>
      <c r="F961" s="14" t="s">
        <v>2343</v>
      </c>
      <c r="G961" s="14" t="s">
        <v>3</v>
      </c>
      <c r="H961" s="14" t="s">
        <v>7770</v>
      </c>
      <c r="I961" s="14" t="s">
        <v>2344</v>
      </c>
      <c r="J961" s="14" t="s">
        <v>60</v>
      </c>
      <c r="K961" s="14" t="s">
        <v>60</v>
      </c>
      <c r="L961" s="14" t="s">
        <v>60</v>
      </c>
      <c r="M961" s="14" t="s">
        <v>2345</v>
      </c>
      <c r="N961" s="14" t="s">
        <v>60</v>
      </c>
      <c r="O961" s="14" t="s">
        <v>255</v>
      </c>
      <c r="P961" s="14" t="s">
        <v>7771</v>
      </c>
      <c r="Q961" s="14" t="s">
        <v>11</v>
      </c>
      <c r="R961" s="3">
        <v>0</v>
      </c>
      <c r="S961" s="3">
        <f t="shared" si="50"/>
        <v>770</v>
      </c>
      <c r="T961" s="3">
        <f t="shared" si="51"/>
        <v>0</v>
      </c>
      <c r="U961" s="3" t="s">
        <v>60</v>
      </c>
      <c r="V961" s="14" t="s">
        <v>4208</v>
      </c>
      <c r="W961" s="14" t="s">
        <v>7206</v>
      </c>
      <c r="X961" s="14" t="s">
        <v>60</v>
      </c>
    </row>
    <row r="962" spans="1:24" ht="15" x14ac:dyDescent="0.3">
      <c r="A962" s="3">
        <v>5</v>
      </c>
      <c r="B962" s="3" t="s">
        <v>7772</v>
      </c>
      <c r="C962" s="14" t="s">
        <v>26</v>
      </c>
      <c r="D962" s="14" t="s">
        <v>2346</v>
      </c>
      <c r="E962" s="14" t="s">
        <v>4746</v>
      </c>
      <c r="F962" s="14" t="s">
        <v>2347</v>
      </c>
      <c r="G962" s="14" t="s">
        <v>3</v>
      </c>
      <c r="H962" s="14" t="s">
        <v>2348</v>
      </c>
      <c r="I962" s="14" t="s">
        <v>2349</v>
      </c>
      <c r="J962" s="14" t="s">
        <v>60</v>
      </c>
      <c r="K962" s="14" t="s">
        <v>60</v>
      </c>
      <c r="L962" s="14" t="s">
        <v>60</v>
      </c>
      <c r="M962" s="14" t="s">
        <v>2350</v>
      </c>
      <c r="N962" s="14" t="s">
        <v>60</v>
      </c>
      <c r="O962" s="14" t="s">
        <v>59</v>
      </c>
      <c r="P962" s="14" t="s">
        <v>7773</v>
      </c>
      <c r="Q962" s="14" t="s">
        <v>11</v>
      </c>
      <c r="R962" s="3">
        <v>0</v>
      </c>
      <c r="S962" s="3">
        <f t="shared" si="50"/>
        <v>770</v>
      </c>
      <c r="T962" s="3">
        <f t="shared" si="51"/>
        <v>0</v>
      </c>
      <c r="U962" s="3" t="s">
        <v>60</v>
      </c>
      <c r="V962" s="14" t="s">
        <v>6</v>
      </c>
      <c r="W962" s="14" t="s">
        <v>7774</v>
      </c>
      <c r="X962" s="14" t="s">
        <v>60</v>
      </c>
    </row>
    <row r="963" spans="1:24" ht="15" x14ac:dyDescent="0.3">
      <c r="A963" s="3">
        <v>6</v>
      </c>
      <c r="B963" s="3" t="s">
        <v>7775</v>
      </c>
      <c r="C963" s="14" t="s">
        <v>91</v>
      </c>
      <c r="D963" s="14" t="s">
        <v>669</v>
      </c>
      <c r="E963" s="14" t="s">
        <v>7776</v>
      </c>
      <c r="F963" s="14" t="s">
        <v>565</v>
      </c>
      <c r="G963" s="14" t="s">
        <v>3</v>
      </c>
      <c r="H963" s="14" t="s">
        <v>7777</v>
      </c>
      <c r="I963" s="14" t="s">
        <v>2351</v>
      </c>
      <c r="J963" s="14" t="s">
        <v>60</v>
      </c>
      <c r="K963" s="14" t="s">
        <v>60</v>
      </c>
      <c r="L963" s="14" t="s">
        <v>60</v>
      </c>
      <c r="M963" s="14" t="s">
        <v>2352</v>
      </c>
      <c r="N963" s="14" t="s">
        <v>60</v>
      </c>
      <c r="O963" s="14" t="s">
        <v>558</v>
      </c>
      <c r="P963" s="14" t="s">
        <v>7778</v>
      </c>
      <c r="Q963" s="14" t="s">
        <v>11</v>
      </c>
      <c r="R963" s="3">
        <v>0</v>
      </c>
      <c r="S963" s="3">
        <f t="shared" si="50"/>
        <v>770</v>
      </c>
      <c r="T963" s="3">
        <f t="shared" si="51"/>
        <v>0</v>
      </c>
      <c r="U963" s="3" t="s">
        <v>60</v>
      </c>
      <c r="V963" s="14" t="s">
        <v>6</v>
      </c>
      <c r="W963" s="14" t="s">
        <v>7779</v>
      </c>
      <c r="X963" s="14" t="s">
        <v>60</v>
      </c>
    </row>
    <row r="964" spans="1:24" ht="15" x14ac:dyDescent="0.3">
      <c r="A964" s="3">
        <v>7</v>
      </c>
      <c r="B964" s="3" t="s">
        <v>2353</v>
      </c>
      <c r="C964" s="14" t="s">
        <v>91</v>
      </c>
      <c r="D964" s="14" t="s">
        <v>2354</v>
      </c>
      <c r="E964" s="14" t="s">
        <v>4367</v>
      </c>
      <c r="F964" s="14" t="s">
        <v>2355</v>
      </c>
      <c r="G964" s="14" t="s">
        <v>3</v>
      </c>
      <c r="H964" s="14" t="s">
        <v>7780</v>
      </c>
      <c r="I964" s="14" t="s">
        <v>2356</v>
      </c>
      <c r="J964" s="14" t="s">
        <v>60</v>
      </c>
      <c r="K964" s="14" t="s">
        <v>60</v>
      </c>
      <c r="L964" s="14" t="s">
        <v>60</v>
      </c>
      <c r="M964" s="14" t="s">
        <v>2357</v>
      </c>
      <c r="N964" s="14" t="s">
        <v>60</v>
      </c>
      <c r="O964" s="14" t="s">
        <v>558</v>
      </c>
      <c r="P964" s="14" t="s">
        <v>7781</v>
      </c>
      <c r="Q964" s="14" t="s">
        <v>11</v>
      </c>
      <c r="R964" s="3">
        <v>0</v>
      </c>
      <c r="S964" s="3">
        <f t="shared" si="50"/>
        <v>770</v>
      </c>
      <c r="T964" s="3">
        <f t="shared" si="51"/>
        <v>0</v>
      </c>
      <c r="U964" s="3" t="s">
        <v>60</v>
      </c>
      <c r="V964" s="14" t="s">
        <v>6</v>
      </c>
      <c r="W964" s="14" t="s">
        <v>4287</v>
      </c>
      <c r="X964" s="14" t="s">
        <v>60</v>
      </c>
    </row>
    <row r="965" spans="1:24" ht="15" x14ac:dyDescent="0.3">
      <c r="A965" s="3">
        <v>8</v>
      </c>
      <c r="B965" s="3" t="s">
        <v>7152</v>
      </c>
      <c r="C965" s="14" t="s">
        <v>91</v>
      </c>
      <c r="D965" s="14" t="s">
        <v>2358</v>
      </c>
      <c r="E965" s="14" t="s">
        <v>2359</v>
      </c>
      <c r="F965" s="14" t="s">
        <v>2360</v>
      </c>
      <c r="G965" s="14" t="s">
        <v>3</v>
      </c>
      <c r="H965" s="14" t="s">
        <v>2361</v>
      </c>
      <c r="I965" s="14" t="s">
        <v>2362</v>
      </c>
      <c r="J965" s="14" t="s">
        <v>60</v>
      </c>
      <c r="K965" s="14" t="s">
        <v>60</v>
      </c>
      <c r="L965" s="14" t="s">
        <v>60</v>
      </c>
      <c r="M965" s="14" t="s">
        <v>2363</v>
      </c>
      <c r="N965" s="14" t="s">
        <v>60</v>
      </c>
      <c r="O965" s="14" t="s">
        <v>558</v>
      </c>
      <c r="P965" s="14" t="s">
        <v>7153</v>
      </c>
      <c r="Q965" s="14" t="s">
        <v>185</v>
      </c>
      <c r="R965" s="3">
        <v>0</v>
      </c>
      <c r="S965" s="3">
        <f t="shared" si="50"/>
        <v>770</v>
      </c>
      <c r="T965" s="3">
        <f t="shared" si="51"/>
        <v>0</v>
      </c>
      <c r="U965" s="3" t="s">
        <v>60</v>
      </c>
      <c r="V965" s="14" t="s">
        <v>6</v>
      </c>
      <c r="W965" s="14" t="s">
        <v>4287</v>
      </c>
      <c r="X965" s="14"/>
    </row>
    <row r="966" spans="1:24" ht="15" x14ac:dyDescent="0.3">
      <c r="A966" s="3">
        <v>9</v>
      </c>
      <c r="B966" s="3" t="s">
        <v>7782</v>
      </c>
      <c r="C966" s="14" t="s">
        <v>91</v>
      </c>
      <c r="D966" s="14" t="s">
        <v>2364</v>
      </c>
      <c r="E966" s="14" t="s">
        <v>7783</v>
      </c>
      <c r="F966" s="14" t="s">
        <v>2365</v>
      </c>
      <c r="G966" s="14" t="s">
        <v>3</v>
      </c>
      <c r="H966" s="14" t="s">
        <v>7784</v>
      </c>
      <c r="I966" s="14" t="s">
        <v>2366</v>
      </c>
      <c r="J966" s="14" t="s">
        <v>60</v>
      </c>
      <c r="K966" s="14" t="s">
        <v>60</v>
      </c>
      <c r="L966" s="14" t="s">
        <v>60</v>
      </c>
      <c r="M966" s="14" t="s">
        <v>2367</v>
      </c>
      <c r="N966" s="14" t="s">
        <v>60</v>
      </c>
      <c r="O966" s="14" t="s">
        <v>558</v>
      </c>
      <c r="P966" s="14" t="s">
        <v>7785</v>
      </c>
      <c r="Q966" s="14" t="s">
        <v>185</v>
      </c>
      <c r="R966" s="3">
        <v>0</v>
      </c>
      <c r="S966" s="3">
        <f t="shared" si="50"/>
        <v>770</v>
      </c>
      <c r="T966" s="3">
        <f t="shared" si="51"/>
        <v>0</v>
      </c>
      <c r="U966" s="3" t="s">
        <v>60</v>
      </c>
      <c r="V966" s="14" t="s">
        <v>4208</v>
      </c>
      <c r="W966" s="14" t="s">
        <v>5223</v>
      </c>
      <c r="X966" s="14" t="s">
        <v>60</v>
      </c>
    </row>
    <row r="967" spans="1:24" ht="15" x14ac:dyDescent="0.3">
      <c r="A967" s="3">
        <v>10</v>
      </c>
      <c r="B967" s="3" t="s">
        <v>7786</v>
      </c>
      <c r="C967" s="14" t="s">
        <v>710</v>
      </c>
      <c r="D967" s="14" t="s">
        <v>2368</v>
      </c>
      <c r="E967" s="14" t="s">
        <v>7787</v>
      </c>
      <c r="F967" s="14" t="s">
        <v>2369</v>
      </c>
      <c r="G967" s="14" t="s">
        <v>3</v>
      </c>
      <c r="H967" s="14" t="s">
        <v>7788</v>
      </c>
      <c r="I967" s="14" t="s">
        <v>2370</v>
      </c>
      <c r="J967" s="14" t="s">
        <v>60</v>
      </c>
      <c r="K967" s="14" t="s">
        <v>60</v>
      </c>
      <c r="L967" s="14" t="s">
        <v>60</v>
      </c>
      <c r="M967" s="14" t="s">
        <v>2371</v>
      </c>
      <c r="N967" s="14" t="s">
        <v>60</v>
      </c>
      <c r="O967" s="14" t="s">
        <v>558</v>
      </c>
      <c r="P967" s="14" t="s">
        <v>7789</v>
      </c>
      <c r="Q967" s="14" t="s">
        <v>2372</v>
      </c>
      <c r="R967" s="3">
        <v>0</v>
      </c>
      <c r="S967" s="3">
        <f t="shared" si="50"/>
        <v>900</v>
      </c>
      <c r="T967" s="3">
        <f t="shared" si="51"/>
        <v>0</v>
      </c>
      <c r="U967" s="3" t="s">
        <v>60</v>
      </c>
      <c r="V967" s="14" t="s">
        <v>6</v>
      </c>
      <c r="W967" s="14" t="s">
        <v>4287</v>
      </c>
      <c r="X967" s="14" t="s">
        <v>60</v>
      </c>
    </row>
    <row r="968" spans="1:24" ht="15" x14ac:dyDescent="0.3">
      <c r="A968" s="3">
        <v>11</v>
      </c>
      <c r="B968" s="3" t="s">
        <v>7790</v>
      </c>
      <c r="C968" s="14" t="s">
        <v>710</v>
      </c>
      <c r="D968" s="14" t="s">
        <v>2373</v>
      </c>
      <c r="E968" s="14" t="s">
        <v>7791</v>
      </c>
      <c r="F968" s="14" t="s">
        <v>2374</v>
      </c>
      <c r="G968" s="14" t="s">
        <v>3</v>
      </c>
      <c r="H968" s="14" t="s">
        <v>7792</v>
      </c>
      <c r="I968" s="14" t="s">
        <v>2375</v>
      </c>
      <c r="J968" s="14" t="s">
        <v>60</v>
      </c>
      <c r="K968" s="14" t="s">
        <v>60</v>
      </c>
      <c r="L968" s="14" t="s">
        <v>60</v>
      </c>
      <c r="M968" s="14" t="s">
        <v>2376</v>
      </c>
      <c r="N968" s="14" t="s">
        <v>60</v>
      </c>
      <c r="O968" s="14" t="s">
        <v>193</v>
      </c>
      <c r="P968" s="14" t="s">
        <v>7793</v>
      </c>
      <c r="Q968" s="14" t="s">
        <v>588</v>
      </c>
      <c r="R968" s="3">
        <v>0</v>
      </c>
      <c r="S968" s="3">
        <f t="shared" si="50"/>
        <v>900</v>
      </c>
      <c r="T968" s="3">
        <f t="shared" si="51"/>
        <v>0</v>
      </c>
      <c r="U968" s="3" t="s">
        <v>60</v>
      </c>
      <c r="V968" s="14" t="s">
        <v>4208</v>
      </c>
      <c r="W968" s="14" t="s">
        <v>7206</v>
      </c>
      <c r="X968" s="14" t="s">
        <v>60</v>
      </c>
    </row>
    <row r="969" spans="1:24" ht="15" x14ac:dyDescent="0.3">
      <c r="A969" s="3">
        <v>12</v>
      </c>
      <c r="B969" s="3" t="s">
        <v>7794</v>
      </c>
      <c r="C969" s="14" t="s">
        <v>0</v>
      </c>
      <c r="D969" s="14" t="s">
        <v>2377</v>
      </c>
      <c r="E969" s="14" t="s">
        <v>7795</v>
      </c>
      <c r="F969" s="14" t="s">
        <v>2378</v>
      </c>
      <c r="G969" s="14" t="s">
        <v>3</v>
      </c>
      <c r="H969" s="14" t="s">
        <v>2379</v>
      </c>
      <c r="I969" s="14" t="s">
        <v>2380</v>
      </c>
      <c r="J969" s="14" t="s">
        <v>60</v>
      </c>
      <c r="K969" s="14" t="s">
        <v>60</v>
      </c>
      <c r="L969" s="14" t="s">
        <v>60</v>
      </c>
      <c r="M969" s="14" t="s">
        <v>2381</v>
      </c>
      <c r="N969" s="14" t="s">
        <v>60</v>
      </c>
      <c r="O969" s="14" t="s">
        <v>255</v>
      </c>
      <c r="P969" s="14" t="s">
        <v>7796</v>
      </c>
      <c r="Q969" s="14" t="s">
        <v>11</v>
      </c>
      <c r="R969" s="3">
        <v>0</v>
      </c>
      <c r="S969" s="3">
        <f t="shared" si="50"/>
        <v>550</v>
      </c>
      <c r="T969" s="3">
        <f t="shared" si="51"/>
        <v>0</v>
      </c>
      <c r="U969" s="3" t="s">
        <v>60</v>
      </c>
      <c r="V969" s="14" t="s">
        <v>6</v>
      </c>
      <c r="W969" s="14" t="s">
        <v>7797</v>
      </c>
      <c r="X969" s="14" t="s">
        <v>7798</v>
      </c>
    </row>
    <row r="970" spans="1:24" ht="15" x14ac:dyDescent="0.3">
      <c r="A970" s="3">
        <v>13</v>
      </c>
      <c r="B970" s="3" t="s">
        <v>7799</v>
      </c>
      <c r="C970" s="14" t="s">
        <v>0</v>
      </c>
      <c r="D970" s="14" t="s">
        <v>2382</v>
      </c>
      <c r="E970" s="14" t="s">
        <v>7800</v>
      </c>
      <c r="F970" s="14" t="s">
        <v>2383</v>
      </c>
      <c r="G970" s="14" t="s">
        <v>3</v>
      </c>
      <c r="H970" s="14" t="s">
        <v>7801</v>
      </c>
      <c r="I970" s="14" t="s">
        <v>2384</v>
      </c>
      <c r="J970" s="14" t="s">
        <v>60</v>
      </c>
      <c r="K970" s="14" t="s">
        <v>60</v>
      </c>
      <c r="L970" s="14" t="s">
        <v>60</v>
      </c>
      <c r="M970" s="14" t="s">
        <v>2385</v>
      </c>
      <c r="N970" s="14" t="s">
        <v>60</v>
      </c>
      <c r="O970" s="14" t="s">
        <v>59</v>
      </c>
      <c r="P970" s="14" t="s">
        <v>7802</v>
      </c>
      <c r="Q970" s="14" t="s">
        <v>11</v>
      </c>
      <c r="R970" s="3">
        <v>0</v>
      </c>
      <c r="S970" s="3">
        <f t="shared" si="50"/>
        <v>550</v>
      </c>
      <c r="T970" s="3">
        <f t="shared" si="51"/>
        <v>0</v>
      </c>
      <c r="U970" s="3" t="s">
        <v>60</v>
      </c>
      <c r="V970" s="14" t="s">
        <v>4208</v>
      </c>
      <c r="W970" s="14" t="s">
        <v>7206</v>
      </c>
      <c r="X970" s="14" t="s">
        <v>60</v>
      </c>
    </row>
    <row r="971" spans="1:24" ht="15" x14ac:dyDescent="0.3">
      <c r="A971" s="3">
        <v>14</v>
      </c>
      <c r="B971" s="3" t="s">
        <v>7803</v>
      </c>
      <c r="C971" s="14" t="s">
        <v>0</v>
      </c>
      <c r="D971" s="14" t="s">
        <v>2386</v>
      </c>
      <c r="E971" s="14" t="s">
        <v>4293</v>
      </c>
      <c r="F971" s="14" t="s">
        <v>2387</v>
      </c>
      <c r="G971" s="14" t="s">
        <v>3</v>
      </c>
      <c r="H971" s="14" t="s">
        <v>2388</v>
      </c>
      <c r="I971" s="14" t="s">
        <v>2389</v>
      </c>
      <c r="J971" s="14" t="s">
        <v>60</v>
      </c>
      <c r="K971" s="14" t="s">
        <v>60</v>
      </c>
      <c r="L971" s="14" t="s">
        <v>60</v>
      </c>
      <c r="M971" s="14" t="s">
        <v>2390</v>
      </c>
      <c r="N971" s="14" t="s">
        <v>60</v>
      </c>
      <c r="O971" s="14" t="s">
        <v>255</v>
      </c>
      <c r="P971" s="14" t="s">
        <v>7804</v>
      </c>
      <c r="Q971" s="14" t="s">
        <v>11</v>
      </c>
      <c r="R971" s="3">
        <v>0</v>
      </c>
      <c r="S971" s="3">
        <f t="shared" si="50"/>
        <v>550</v>
      </c>
      <c r="T971" s="3">
        <f t="shared" si="51"/>
        <v>0</v>
      </c>
      <c r="U971" s="3" t="s">
        <v>60</v>
      </c>
      <c r="V971" s="14" t="s">
        <v>3889</v>
      </c>
      <c r="W971" s="14" t="s">
        <v>7206</v>
      </c>
      <c r="X971" s="14" t="s">
        <v>6866</v>
      </c>
    </row>
    <row r="972" spans="1:24" ht="15" x14ac:dyDescent="0.3">
      <c r="A972" s="3">
        <v>15</v>
      </c>
      <c r="B972" s="3" t="s">
        <v>7805</v>
      </c>
      <c r="C972" s="14" t="s">
        <v>0</v>
      </c>
      <c r="D972" s="14" t="s">
        <v>2391</v>
      </c>
      <c r="E972" s="14" t="s">
        <v>4195</v>
      </c>
      <c r="F972" s="14" t="s">
        <v>2392</v>
      </c>
      <c r="G972" s="14" t="s">
        <v>3</v>
      </c>
      <c r="H972" s="14" t="s">
        <v>2393</v>
      </c>
      <c r="I972" s="14" t="s">
        <v>2394</v>
      </c>
      <c r="J972" s="14" t="s">
        <v>60</v>
      </c>
      <c r="K972" s="14" t="s">
        <v>60</v>
      </c>
      <c r="L972" s="14" t="s">
        <v>60</v>
      </c>
      <c r="M972" s="14" t="s">
        <v>2395</v>
      </c>
      <c r="N972" s="14" t="s">
        <v>60</v>
      </c>
      <c r="O972" s="14" t="s">
        <v>255</v>
      </c>
      <c r="P972" s="14" t="s">
        <v>7806</v>
      </c>
      <c r="Q972" s="14" t="s">
        <v>11</v>
      </c>
      <c r="R972" s="3">
        <v>0</v>
      </c>
      <c r="S972" s="3">
        <f t="shared" si="50"/>
        <v>550</v>
      </c>
      <c r="T972" s="3">
        <f t="shared" si="51"/>
        <v>0</v>
      </c>
      <c r="U972" s="3" t="s">
        <v>60</v>
      </c>
      <c r="V972" s="14" t="s">
        <v>3889</v>
      </c>
      <c r="W972" s="14" t="s">
        <v>7206</v>
      </c>
      <c r="X972" s="14" t="s">
        <v>7798</v>
      </c>
    </row>
    <row r="973" spans="1:24" ht="15" x14ac:dyDescent="0.3">
      <c r="A973" s="3">
        <v>16</v>
      </c>
      <c r="B973" s="3" t="s">
        <v>7807</v>
      </c>
      <c r="C973" s="14" t="s">
        <v>0</v>
      </c>
      <c r="D973" s="14" t="s">
        <v>1610</v>
      </c>
      <c r="E973" s="14" t="s">
        <v>4293</v>
      </c>
      <c r="F973" s="14" t="s">
        <v>2396</v>
      </c>
      <c r="G973" s="14" t="s">
        <v>3</v>
      </c>
      <c r="H973" s="14" t="s">
        <v>2397</v>
      </c>
      <c r="I973" s="14" t="s">
        <v>2398</v>
      </c>
      <c r="J973" s="14" t="s">
        <v>60</v>
      </c>
      <c r="K973" s="14" t="s">
        <v>60</v>
      </c>
      <c r="L973" s="14" t="s">
        <v>60</v>
      </c>
      <c r="M973" s="14" t="s">
        <v>2399</v>
      </c>
      <c r="N973" s="14" t="s">
        <v>60</v>
      </c>
      <c r="O973" s="14" t="s">
        <v>255</v>
      </c>
      <c r="P973" s="14" t="s">
        <v>7808</v>
      </c>
      <c r="Q973" s="14" t="s">
        <v>11</v>
      </c>
      <c r="R973" s="3">
        <v>0</v>
      </c>
      <c r="S973" s="3">
        <f t="shared" si="50"/>
        <v>550</v>
      </c>
      <c r="T973" s="3">
        <f t="shared" si="51"/>
        <v>0</v>
      </c>
      <c r="U973" s="3" t="s">
        <v>60</v>
      </c>
      <c r="V973" s="14" t="s">
        <v>3889</v>
      </c>
      <c r="W973" s="14" t="s">
        <v>7206</v>
      </c>
      <c r="X973" s="14" t="s">
        <v>60</v>
      </c>
    </row>
    <row r="974" spans="1:24" ht="15" x14ac:dyDescent="0.3">
      <c r="A974" s="3">
        <v>17</v>
      </c>
      <c r="B974" s="3" t="s">
        <v>7809</v>
      </c>
      <c r="C974" s="14" t="s">
        <v>0</v>
      </c>
      <c r="D974" s="14" t="s">
        <v>2400</v>
      </c>
      <c r="E974" s="14" t="s">
        <v>5073</v>
      </c>
      <c r="F974" s="14" t="s">
        <v>2401</v>
      </c>
      <c r="G974" s="14" t="s">
        <v>3</v>
      </c>
      <c r="H974" s="14" t="s">
        <v>2402</v>
      </c>
      <c r="I974" s="14" t="s">
        <v>2403</v>
      </c>
      <c r="J974" s="14" t="s">
        <v>60</v>
      </c>
      <c r="K974" s="14" t="s">
        <v>60</v>
      </c>
      <c r="L974" s="14" t="s">
        <v>60</v>
      </c>
      <c r="M974" s="14" t="s">
        <v>2404</v>
      </c>
      <c r="N974" s="14" t="s">
        <v>60</v>
      </c>
      <c r="O974" s="14" t="s">
        <v>255</v>
      </c>
      <c r="P974" s="14" t="s">
        <v>7810</v>
      </c>
      <c r="Q974" s="14" t="s">
        <v>11</v>
      </c>
      <c r="R974" s="3">
        <v>0</v>
      </c>
      <c r="S974" s="3">
        <f t="shared" si="50"/>
        <v>550</v>
      </c>
      <c r="T974" s="3">
        <f t="shared" si="51"/>
        <v>0</v>
      </c>
      <c r="U974" s="3" t="s">
        <v>60</v>
      </c>
      <c r="V974" s="14" t="s">
        <v>3889</v>
      </c>
      <c r="W974" s="14" t="s">
        <v>7206</v>
      </c>
      <c r="X974" s="14" t="s">
        <v>7798</v>
      </c>
    </row>
    <row r="975" spans="1:24" ht="15" x14ac:dyDescent="0.3">
      <c r="A975" s="3">
        <v>18</v>
      </c>
      <c r="B975" s="3" t="s">
        <v>7811</v>
      </c>
      <c r="C975" s="14" t="s">
        <v>3967</v>
      </c>
      <c r="D975" s="14" t="s">
        <v>2405</v>
      </c>
      <c r="E975" s="14" t="s">
        <v>4562</v>
      </c>
      <c r="F975" s="14" t="s">
        <v>2406</v>
      </c>
      <c r="G975" s="14" t="s">
        <v>3</v>
      </c>
      <c r="H975" s="14" t="s">
        <v>2407</v>
      </c>
      <c r="I975" s="14" t="s">
        <v>2408</v>
      </c>
      <c r="J975" s="14" t="s">
        <v>60</v>
      </c>
      <c r="K975" s="14" t="s">
        <v>60</v>
      </c>
      <c r="L975" s="14" t="s">
        <v>60</v>
      </c>
      <c r="M975" s="14" t="s">
        <v>2409</v>
      </c>
      <c r="N975" s="14" t="s">
        <v>60</v>
      </c>
      <c r="O975" s="14" t="s">
        <v>255</v>
      </c>
      <c r="P975" s="14" t="s">
        <v>7812</v>
      </c>
      <c r="Q975" s="14" t="s">
        <v>11</v>
      </c>
      <c r="R975" s="3">
        <v>0</v>
      </c>
      <c r="S975" s="3">
        <f t="shared" si="50"/>
        <v>640</v>
      </c>
      <c r="T975" s="3">
        <f t="shared" si="51"/>
        <v>0</v>
      </c>
      <c r="U975" s="3" t="s">
        <v>60</v>
      </c>
      <c r="V975" s="14" t="s">
        <v>3889</v>
      </c>
      <c r="W975" s="14" t="s">
        <v>7206</v>
      </c>
      <c r="X975" s="14" t="s">
        <v>60</v>
      </c>
    </row>
    <row r="976" spans="1:24" ht="15" x14ac:dyDescent="0.3">
      <c r="A976" s="3">
        <v>19</v>
      </c>
      <c r="B976" s="3" t="s">
        <v>7813</v>
      </c>
      <c r="C976" s="14" t="s">
        <v>0</v>
      </c>
      <c r="D976" s="14" t="s">
        <v>2410</v>
      </c>
      <c r="E976" s="14" t="s">
        <v>7814</v>
      </c>
      <c r="F976" s="14" t="s">
        <v>824</v>
      </c>
      <c r="G976" s="14" t="s">
        <v>3</v>
      </c>
      <c r="H976" s="14" t="s">
        <v>7815</v>
      </c>
      <c r="I976" s="14" t="s">
        <v>2411</v>
      </c>
      <c r="J976" s="14" t="s">
        <v>60</v>
      </c>
      <c r="K976" s="14" t="s">
        <v>60</v>
      </c>
      <c r="L976" s="14" t="s">
        <v>60</v>
      </c>
      <c r="M976" s="14" t="s">
        <v>2412</v>
      </c>
      <c r="N976" s="14" t="s">
        <v>60</v>
      </c>
      <c r="O976" s="14" t="s">
        <v>255</v>
      </c>
      <c r="P976" s="14" t="s">
        <v>7816</v>
      </c>
      <c r="Q976" s="14" t="s">
        <v>11</v>
      </c>
      <c r="R976" s="3">
        <v>0</v>
      </c>
      <c r="S976" s="3">
        <f t="shared" si="50"/>
        <v>550</v>
      </c>
      <c r="T976" s="3">
        <f t="shared" si="51"/>
        <v>0</v>
      </c>
      <c r="U976" s="3" t="s">
        <v>60</v>
      </c>
      <c r="V976" s="14" t="s">
        <v>4208</v>
      </c>
      <c r="W976" s="14" t="s">
        <v>7206</v>
      </c>
      <c r="X976" s="14" t="s">
        <v>60</v>
      </c>
    </row>
    <row r="977" spans="1:24" ht="15" x14ac:dyDescent="0.3">
      <c r="A977" s="3">
        <v>20</v>
      </c>
      <c r="B977" s="3" t="s">
        <v>7817</v>
      </c>
      <c r="C977" s="14" t="s">
        <v>0</v>
      </c>
      <c r="D977" s="14" t="s">
        <v>2413</v>
      </c>
      <c r="E977" s="14" t="s">
        <v>4293</v>
      </c>
      <c r="F977" s="14" t="s">
        <v>2414</v>
      </c>
      <c r="G977" s="14" t="s">
        <v>3</v>
      </c>
      <c r="H977" s="14" t="s">
        <v>2415</v>
      </c>
      <c r="I977" s="14" t="s">
        <v>2416</v>
      </c>
      <c r="J977" s="14" t="s">
        <v>60</v>
      </c>
      <c r="K977" s="14" t="s">
        <v>60</v>
      </c>
      <c r="L977" s="14" t="s">
        <v>60</v>
      </c>
      <c r="M977" s="14" t="s">
        <v>2417</v>
      </c>
      <c r="N977" s="14" t="s">
        <v>60</v>
      </c>
      <c r="O977" s="14" t="s">
        <v>255</v>
      </c>
      <c r="P977" s="14" t="s">
        <v>7818</v>
      </c>
      <c r="Q977" s="14" t="s">
        <v>11</v>
      </c>
      <c r="R977" s="3">
        <v>0</v>
      </c>
      <c r="S977" s="3">
        <f t="shared" si="50"/>
        <v>550</v>
      </c>
      <c r="T977" s="3">
        <f t="shared" si="51"/>
        <v>0</v>
      </c>
      <c r="U977" s="3" t="s">
        <v>7819</v>
      </c>
      <c r="V977" s="14" t="s">
        <v>3889</v>
      </c>
      <c r="W977" s="14" t="s">
        <v>7206</v>
      </c>
      <c r="X977" s="14" t="s">
        <v>60</v>
      </c>
    </row>
    <row r="978" spans="1:24" ht="15" x14ac:dyDescent="0.3">
      <c r="A978" s="3">
        <v>21</v>
      </c>
      <c r="B978" s="3" t="s">
        <v>7820</v>
      </c>
      <c r="C978" s="14" t="s">
        <v>0</v>
      </c>
      <c r="D978" s="14" t="s">
        <v>2418</v>
      </c>
      <c r="E978" s="14" t="s">
        <v>2419</v>
      </c>
      <c r="F978" s="14" t="s">
        <v>2420</v>
      </c>
      <c r="G978" s="14" t="s">
        <v>3</v>
      </c>
      <c r="H978" s="14" t="s">
        <v>7821</v>
      </c>
      <c r="I978" s="14" t="s">
        <v>2421</v>
      </c>
      <c r="J978" s="14" t="s">
        <v>60</v>
      </c>
      <c r="K978" s="14" t="s">
        <v>60</v>
      </c>
      <c r="L978" s="14" t="s">
        <v>60</v>
      </c>
      <c r="M978" s="14" t="s">
        <v>2422</v>
      </c>
      <c r="N978" s="14" t="s">
        <v>60</v>
      </c>
      <c r="O978" s="14" t="s">
        <v>255</v>
      </c>
      <c r="P978" s="14" t="s">
        <v>7822</v>
      </c>
      <c r="Q978" s="14" t="s">
        <v>11</v>
      </c>
      <c r="R978" s="3">
        <v>0</v>
      </c>
      <c r="S978" s="3">
        <f t="shared" si="50"/>
        <v>550</v>
      </c>
      <c r="T978" s="3">
        <f t="shared" si="51"/>
        <v>0</v>
      </c>
      <c r="U978" s="3" t="s">
        <v>60</v>
      </c>
      <c r="V978" s="14" t="s">
        <v>4208</v>
      </c>
      <c r="W978" s="14" t="s">
        <v>7206</v>
      </c>
      <c r="X978" s="14" t="s">
        <v>60</v>
      </c>
    </row>
    <row r="979" spans="1:24" ht="15" x14ac:dyDescent="0.3">
      <c r="A979" s="3">
        <v>22</v>
      </c>
      <c r="B979" s="3" t="s">
        <v>7823</v>
      </c>
      <c r="C979" s="14" t="s">
        <v>0</v>
      </c>
      <c r="D979" s="14" t="s">
        <v>2423</v>
      </c>
      <c r="E979" s="14" t="s">
        <v>7824</v>
      </c>
      <c r="F979" s="14" t="s">
        <v>2424</v>
      </c>
      <c r="G979" s="14" t="s">
        <v>3</v>
      </c>
      <c r="H979" s="14" t="s">
        <v>7825</v>
      </c>
      <c r="I979" s="14" t="s">
        <v>2425</v>
      </c>
      <c r="J979" s="14" t="s">
        <v>60</v>
      </c>
      <c r="K979" s="14" t="s">
        <v>60</v>
      </c>
      <c r="L979" s="14" t="s">
        <v>60</v>
      </c>
      <c r="M979" s="14" t="s">
        <v>2426</v>
      </c>
      <c r="N979" s="14" t="s">
        <v>60</v>
      </c>
      <c r="O979" s="14" t="s">
        <v>255</v>
      </c>
      <c r="P979" s="14" t="s">
        <v>7826</v>
      </c>
      <c r="Q979" s="14" t="s">
        <v>11</v>
      </c>
      <c r="R979" s="3">
        <v>0</v>
      </c>
      <c r="S979" s="3">
        <f t="shared" si="50"/>
        <v>550</v>
      </c>
      <c r="T979" s="3">
        <f t="shared" si="51"/>
        <v>0</v>
      </c>
      <c r="U979" s="3" t="s">
        <v>60</v>
      </c>
      <c r="V979" s="14" t="s">
        <v>4208</v>
      </c>
      <c r="W979" s="14" t="s">
        <v>7206</v>
      </c>
      <c r="X979" s="14" t="s">
        <v>60</v>
      </c>
    </row>
    <row r="980" spans="1:24" ht="15" x14ac:dyDescent="0.3">
      <c r="A980" s="3">
        <v>23</v>
      </c>
      <c r="B980" s="3" t="s">
        <v>7827</v>
      </c>
      <c r="C980" s="14" t="s">
        <v>14</v>
      </c>
      <c r="D980" s="14" t="s">
        <v>2427</v>
      </c>
      <c r="E980" s="14" t="s">
        <v>7828</v>
      </c>
      <c r="F980" s="14" t="s">
        <v>2428</v>
      </c>
      <c r="G980" s="14" t="s">
        <v>3</v>
      </c>
      <c r="H980" s="14" t="s">
        <v>7829</v>
      </c>
      <c r="I980" s="14" t="s">
        <v>2429</v>
      </c>
      <c r="J980" s="14" t="s">
        <v>60</v>
      </c>
      <c r="K980" s="14" t="s">
        <v>60</v>
      </c>
      <c r="L980" s="14" t="s">
        <v>60</v>
      </c>
      <c r="M980" s="14" t="s">
        <v>2430</v>
      </c>
      <c r="N980" s="14" t="s">
        <v>60</v>
      </c>
      <c r="O980" s="14" t="s">
        <v>485</v>
      </c>
      <c r="P980" s="14" t="s">
        <v>7830</v>
      </c>
      <c r="Q980" s="14" t="s">
        <v>11</v>
      </c>
      <c r="R980" s="3">
        <v>0</v>
      </c>
      <c r="S980" s="3">
        <f t="shared" si="50"/>
        <v>640</v>
      </c>
      <c r="T980" s="3">
        <f t="shared" si="51"/>
        <v>0</v>
      </c>
      <c r="U980" s="3" t="s">
        <v>60</v>
      </c>
      <c r="V980" s="14" t="s">
        <v>6</v>
      </c>
      <c r="W980" s="14" t="s">
        <v>5240</v>
      </c>
      <c r="X980" s="14" t="s">
        <v>60</v>
      </c>
    </row>
    <row r="981" spans="1:24" ht="15" x14ac:dyDescent="0.3">
      <c r="A981" s="3">
        <v>24</v>
      </c>
      <c r="B981" s="3" t="s">
        <v>7831</v>
      </c>
      <c r="C981" s="14" t="s">
        <v>14</v>
      </c>
      <c r="D981" s="14" t="s">
        <v>2431</v>
      </c>
      <c r="E981" s="14" t="s">
        <v>7832</v>
      </c>
      <c r="F981" s="14" t="s">
        <v>2432</v>
      </c>
      <c r="G981" s="14" t="s">
        <v>3</v>
      </c>
      <c r="H981" s="14" t="s">
        <v>7833</v>
      </c>
      <c r="I981" s="14" t="s">
        <v>2433</v>
      </c>
      <c r="J981" s="14" t="s">
        <v>228</v>
      </c>
      <c r="K981" s="14" t="s">
        <v>60</v>
      </c>
      <c r="L981" s="14" t="s">
        <v>60</v>
      </c>
      <c r="M981" s="14" t="s">
        <v>60</v>
      </c>
      <c r="N981" s="14" t="s">
        <v>60</v>
      </c>
      <c r="O981" s="14" t="s">
        <v>59</v>
      </c>
      <c r="P981" s="14" t="s">
        <v>7834</v>
      </c>
      <c r="Q981" s="14" t="s">
        <v>11</v>
      </c>
      <c r="R981" s="3">
        <v>0</v>
      </c>
      <c r="S981" s="3">
        <f t="shared" si="50"/>
        <v>640</v>
      </c>
      <c r="T981" s="3">
        <f t="shared" si="51"/>
        <v>0</v>
      </c>
      <c r="U981" s="3" t="s">
        <v>60</v>
      </c>
      <c r="V981" s="14" t="s">
        <v>6</v>
      </c>
      <c r="W981" s="14" t="s">
        <v>4287</v>
      </c>
      <c r="X981" s="14" t="s">
        <v>60</v>
      </c>
    </row>
    <row r="982" spans="1:24" ht="15" x14ac:dyDescent="0.3">
      <c r="A982" s="3">
        <v>25</v>
      </c>
      <c r="B982" s="3" t="s">
        <v>7835</v>
      </c>
      <c r="C982" s="14" t="s">
        <v>0</v>
      </c>
      <c r="D982" s="14" t="s">
        <v>2434</v>
      </c>
      <c r="E982" s="14" t="s">
        <v>7836</v>
      </c>
      <c r="F982" s="14" t="s">
        <v>2435</v>
      </c>
      <c r="G982" s="14" t="s">
        <v>121</v>
      </c>
      <c r="H982" s="14" t="s">
        <v>7837</v>
      </c>
      <c r="I982" s="14" t="s">
        <v>2436</v>
      </c>
      <c r="J982" s="14" t="s">
        <v>60</v>
      </c>
      <c r="K982" s="14" t="s">
        <v>60</v>
      </c>
      <c r="L982" s="14" t="s">
        <v>60</v>
      </c>
      <c r="M982" s="14" t="s">
        <v>60</v>
      </c>
      <c r="N982" s="14" t="s">
        <v>60</v>
      </c>
      <c r="O982" s="14" t="s">
        <v>261</v>
      </c>
      <c r="P982" s="14" t="s">
        <v>7838</v>
      </c>
      <c r="Q982" s="14" t="s">
        <v>185</v>
      </c>
      <c r="R982" s="3">
        <v>0</v>
      </c>
      <c r="S982" s="3">
        <f t="shared" si="50"/>
        <v>550</v>
      </c>
      <c r="T982" s="3">
        <f t="shared" si="51"/>
        <v>0</v>
      </c>
      <c r="U982" s="3" t="s">
        <v>60</v>
      </c>
      <c r="V982" s="14" t="s">
        <v>4301</v>
      </c>
      <c r="W982" s="14" t="s">
        <v>4202</v>
      </c>
      <c r="X982" s="14" t="s">
        <v>60</v>
      </c>
    </row>
    <row r="983" spans="1:24" ht="15" x14ac:dyDescent="0.3">
      <c r="A983" s="3">
        <v>26</v>
      </c>
      <c r="B983" s="3" t="s">
        <v>7839</v>
      </c>
      <c r="C983" s="14" t="s">
        <v>0</v>
      </c>
      <c r="D983" s="14" t="s">
        <v>2437</v>
      </c>
      <c r="E983" s="14" t="s">
        <v>7840</v>
      </c>
      <c r="F983" s="14" t="s">
        <v>2438</v>
      </c>
      <c r="G983" s="14" t="s">
        <v>121</v>
      </c>
      <c r="H983" s="14" t="s">
        <v>7841</v>
      </c>
      <c r="I983" s="14" t="s">
        <v>2439</v>
      </c>
      <c r="J983" s="14" t="s">
        <v>60</v>
      </c>
      <c r="K983" s="14" t="s">
        <v>60</v>
      </c>
      <c r="L983" s="14" t="s">
        <v>60</v>
      </c>
      <c r="M983" s="14" t="s">
        <v>2440</v>
      </c>
      <c r="N983" s="14" t="s">
        <v>60</v>
      </c>
      <c r="O983" s="14" t="s">
        <v>261</v>
      </c>
      <c r="P983" s="14" t="s">
        <v>7842</v>
      </c>
      <c r="Q983" s="14" t="s">
        <v>11</v>
      </c>
      <c r="R983" s="3">
        <v>0</v>
      </c>
      <c r="S983" s="3">
        <f t="shared" si="50"/>
        <v>550</v>
      </c>
      <c r="T983" s="3">
        <f t="shared" si="51"/>
        <v>0</v>
      </c>
      <c r="U983" s="3" t="s">
        <v>60</v>
      </c>
      <c r="V983" s="14" t="s">
        <v>4301</v>
      </c>
      <c r="W983" s="14" t="s">
        <v>4202</v>
      </c>
      <c r="X983" s="14" t="s">
        <v>60</v>
      </c>
    </row>
    <row r="984" spans="1:24" ht="15" x14ac:dyDescent="0.3">
      <c r="A984" s="3">
        <v>27</v>
      </c>
      <c r="B984" s="3" t="s">
        <v>7843</v>
      </c>
      <c r="C984" s="14" t="s">
        <v>0</v>
      </c>
      <c r="D984" s="14" t="s">
        <v>2441</v>
      </c>
      <c r="E984" s="14" t="s">
        <v>7844</v>
      </c>
      <c r="F984" s="14" t="s">
        <v>565</v>
      </c>
      <c r="G984" s="14" t="s">
        <v>121</v>
      </c>
      <c r="H984" s="14" t="s">
        <v>7845</v>
      </c>
      <c r="I984" s="14" t="s">
        <v>2442</v>
      </c>
      <c r="J984" s="14" t="s">
        <v>60</v>
      </c>
      <c r="K984" s="14" t="s">
        <v>60</v>
      </c>
      <c r="L984" s="14" t="s">
        <v>60</v>
      </c>
      <c r="M984" s="14" t="s">
        <v>2443</v>
      </c>
      <c r="N984" s="14" t="s">
        <v>60</v>
      </c>
      <c r="O984" s="14" t="s">
        <v>261</v>
      </c>
      <c r="P984" s="14" t="s">
        <v>7846</v>
      </c>
      <c r="Q984" s="14" t="s">
        <v>11</v>
      </c>
      <c r="R984" s="3">
        <v>0</v>
      </c>
      <c r="S984" s="3">
        <f t="shared" si="50"/>
        <v>550</v>
      </c>
      <c r="T984" s="3">
        <f t="shared" si="51"/>
        <v>0</v>
      </c>
      <c r="U984" s="3" t="s">
        <v>60</v>
      </c>
      <c r="V984" s="14" t="s">
        <v>4301</v>
      </c>
      <c r="W984" s="14" t="s">
        <v>4202</v>
      </c>
      <c r="X984" s="14" t="s">
        <v>60</v>
      </c>
    </row>
    <row r="985" spans="1:24" ht="15" x14ac:dyDescent="0.3">
      <c r="A985" s="3">
        <v>28</v>
      </c>
      <c r="B985" s="3" t="s">
        <v>7847</v>
      </c>
      <c r="C985" s="14" t="s">
        <v>0</v>
      </c>
      <c r="D985" s="14" t="s">
        <v>2449</v>
      </c>
      <c r="E985" s="14" t="s">
        <v>7848</v>
      </c>
      <c r="F985" s="14" t="s">
        <v>2450</v>
      </c>
      <c r="G985" s="14" t="s">
        <v>121</v>
      </c>
      <c r="H985" s="14" t="s">
        <v>2451</v>
      </c>
      <c r="I985" s="14" t="s">
        <v>2452</v>
      </c>
      <c r="J985" s="14" t="s">
        <v>60</v>
      </c>
      <c r="K985" s="14" t="s">
        <v>60</v>
      </c>
      <c r="L985" s="14" t="s">
        <v>60</v>
      </c>
      <c r="M985" s="14" t="s">
        <v>2453</v>
      </c>
      <c r="N985" s="14" t="s">
        <v>60</v>
      </c>
      <c r="O985" s="14" t="s">
        <v>60</v>
      </c>
      <c r="P985" s="14" t="s">
        <v>7849</v>
      </c>
      <c r="Q985" s="14" t="s">
        <v>11</v>
      </c>
      <c r="R985" s="3">
        <v>0</v>
      </c>
      <c r="S985" s="3">
        <f t="shared" si="50"/>
        <v>550</v>
      </c>
      <c r="T985" s="3">
        <f t="shared" si="51"/>
        <v>0</v>
      </c>
      <c r="U985" s="3" t="s">
        <v>60</v>
      </c>
      <c r="V985" s="14" t="s">
        <v>6</v>
      </c>
      <c r="W985" s="14" t="s">
        <v>7850</v>
      </c>
      <c r="X985" s="14" t="s">
        <v>7851</v>
      </c>
    </row>
    <row r="986" spans="1:24" ht="15" x14ac:dyDescent="0.3">
      <c r="A986" s="3">
        <v>29</v>
      </c>
      <c r="B986" s="3" t="s">
        <v>7852</v>
      </c>
      <c r="C986" s="14" t="s">
        <v>0</v>
      </c>
      <c r="D986" s="14" t="s">
        <v>2454</v>
      </c>
      <c r="E986" s="14" t="s">
        <v>7853</v>
      </c>
      <c r="F986" s="14" t="s">
        <v>2455</v>
      </c>
      <c r="G986" s="14" t="s">
        <v>3</v>
      </c>
      <c r="H986" s="14" t="s">
        <v>2456</v>
      </c>
      <c r="I986" s="14" t="s">
        <v>2457</v>
      </c>
      <c r="J986" s="14" t="s">
        <v>60</v>
      </c>
      <c r="K986" s="14" t="s">
        <v>60</v>
      </c>
      <c r="L986" s="14" t="s">
        <v>60</v>
      </c>
      <c r="M986" s="14" t="s">
        <v>2458</v>
      </c>
      <c r="N986" s="14" t="s">
        <v>60</v>
      </c>
      <c r="O986" s="14" t="s">
        <v>60</v>
      </c>
      <c r="P986" s="14" t="s">
        <v>7854</v>
      </c>
      <c r="Q986" s="14" t="s">
        <v>11</v>
      </c>
      <c r="R986" s="3">
        <v>0</v>
      </c>
      <c r="S986" s="3">
        <f t="shared" si="50"/>
        <v>550</v>
      </c>
      <c r="T986" s="3">
        <f t="shared" si="51"/>
        <v>0</v>
      </c>
      <c r="U986" s="3" t="s">
        <v>60</v>
      </c>
      <c r="V986" s="14" t="s">
        <v>6</v>
      </c>
      <c r="W986" s="14" t="s">
        <v>7850</v>
      </c>
      <c r="X986" s="14" t="s">
        <v>7851</v>
      </c>
    </row>
    <row r="987" spans="1:24" ht="15" x14ac:dyDescent="0.3">
      <c r="A987" s="3">
        <v>30</v>
      </c>
      <c r="B987" s="3" t="s">
        <v>7855</v>
      </c>
      <c r="C987" s="14" t="s">
        <v>0</v>
      </c>
      <c r="D987" s="14" t="s">
        <v>2464</v>
      </c>
      <c r="E987" s="14" t="s">
        <v>7856</v>
      </c>
      <c r="F987" s="14" t="s">
        <v>2465</v>
      </c>
      <c r="G987" s="14" t="s">
        <v>121</v>
      </c>
      <c r="H987" s="14" t="s">
        <v>2466</v>
      </c>
      <c r="I987" s="14" t="s">
        <v>2467</v>
      </c>
      <c r="J987" s="14" t="s">
        <v>60</v>
      </c>
      <c r="K987" s="14" t="s">
        <v>60</v>
      </c>
      <c r="L987" s="14" t="s">
        <v>60</v>
      </c>
      <c r="M987" s="14" t="s">
        <v>2468</v>
      </c>
      <c r="N987" s="14" t="s">
        <v>60</v>
      </c>
      <c r="O987" s="14" t="s">
        <v>60</v>
      </c>
      <c r="P987" s="14" t="s">
        <v>7857</v>
      </c>
      <c r="Q987" s="14" t="s">
        <v>2463</v>
      </c>
      <c r="R987" s="3">
        <v>0</v>
      </c>
      <c r="S987" s="3">
        <f t="shared" si="50"/>
        <v>550</v>
      </c>
      <c r="T987" s="3">
        <f t="shared" si="51"/>
        <v>0</v>
      </c>
      <c r="U987" s="3" t="s">
        <v>60</v>
      </c>
      <c r="V987" s="14" t="s">
        <v>6</v>
      </c>
      <c r="W987" s="14" t="s">
        <v>7850</v>
      </c>
      <c r="X987" s="14" t="s">
        <v>60</v>
      </c>
    </row>
    <row r="988" spans="1:24" ht="15" x14ac:dyDescent="0.3">
      <c r="A988" s="3">
        <v>31</v>
      </c>
      <c r="B988" s="3" t="s">
        <v>7858</v>
      </c>
      <c r="C988" s="14" t="s">
        <v>0</v>
      </c>
      <c r="D988" s="14" t="s">
        <v>2473</v>
      </c>
      <c r="E988" s="14" t="s">
        <v>4200</v>
      </c>
      <c r="F988" s="14" t="s">
        <v>2474</v>
      </c>
      <c r="G988" s="14" t="s">
        <v>121</v>
      </c>
      <c r="H988" s="14" t="s">
        <v>2475</v>
      </c>
      <c r="I988" s="14" t="s">
        <v>2476</v>
      </c>
      <c r="J988" s="14" t="s">
        <v>60</v>
      </c>
      <c r="K988" s="14" t="s">
        <v>60</v>
      </c>
      <c r="L988" s="14" t="s">
        <v>60</v>
      </c>
      <c r="M988" s="14" t="s">
        <v>2477</v>
      </c>
      <c r="N988" s="14" t="s">
        <v>60</v>
      </c>
      <c r="O988" s="14" t="s">
        <v>60</v>
      </c>
      <c r="P988" s="14" t="s">
        <v>7859</v>
      </c>
      <c r="Q988" s="14" t="s">
        <v>2463</v>
      </c>
      <c r="R988" s="3">
        <v>0</v>
      </c>
      <c r="S988" s="3">
        <f t="shared" si="50"/>
        <v>550</v>
      </c>
      <c r="T988" s="3">
        <f t="shared" si="51"/>
        <v>0</v>
      </c>
      <c r="U988" s="3" t="s">
        <v>60</v>
      </c>
      <c r="V988" s="14" t="s">
        <v>6</v>
      </c>
      <c r="W988" s="14" t="s">
        <v>7850</v>
      </c>
      <c r="X988" s="14" t="s">
        <v>60</v>
      </c>
    </row>
    <row r="989" spans="1:24" ht="15" x14ac:dyDescent="0.3">
      <c r="A989" s="3">
        <v>32</v>
      </c>
      <c r="B989" s="3" t="s">
        <v>7860</v>
      </c>
      <c r="C989" s="14" t="s">
        <v>0</v>
      </c>
      <c r="D989" s="14" t="s">
        <v>2478</v>
      </c>
      <c r="E989" s="14" t="s">
        <v>7861</v>
      </c>
      <c r="F989" s="14" t="s">
        <v>2479</v>
      </c>
      <c r="G989" s="14" t="s">
        <v>121</v>
      </c>
      <c r="H989" s="14" t="s">
        <v>2480</v>
      </c>
      <c r="I989" s="14" t="s">
        <v>2481</v>
      </c>
      <c r="J989" s="14" t="s">
        <v>60</v>
      </c>
      <c r="K989" s="14" t="s">
        <v>60</v>
      </c>
      <c r="L989" s="14" t="s">
        <v>60</v>
      </c>
      <c r="M989" s="14" t="s">
        <v>2482</v>
      </c>
      <c r="N989" s="14" t="s">
        <v>60</v>
      </c>
      <c r="O989" s="14" t="s">
        <v>60</v>
      </c>
      <c r="P989" s="14" t="s">
        <v>2483</v>
      </c>
      <c r="Q989" s="14" t="s">
        <v>2484</v>
      </c>
      <c r="R989" s="3">
        <v>0</v>
      </c>
      <c r="S989" s="3">
        <f t="shared" si="50"/>
        <v>550</v>
      </c>
      <c r="T989" s="3">
        <f t="shared" si="51"/>
        <v>0</v>
      </c>
      <c r="U989" s="3" t="s">
        <v>60</v>
      </c>
      <c r="V989" s="14" t="s">
        <v>6</v>
      </c>
      <c r="W989" s="14" t="s">
        <v>7850</v>
      </c>
      <c r="X989" s="14" t="s">
        <v>7862</v>
      </c>
    </row>
    <row r="990" spans="1:24" ht="15" x14ac:dyDescent="0.3">
      <c r="A990" s="3">
        <v>33</v>
      </c>
      <c r="B990" s="3" t="s">
        <v>7863</v>
      </c>
      <c r="C990" s="14" t="s">
        <v>0</v>
      </c>
      <c r="D990" s="14" t="s">
        <v>2489</v>
      </c>
      <c r="E990" s="14" t="s">
        <v>7864</v>
      </c>
      <c r="F990" s="14" t="s">
        <v>2490</v>
      </c>
      <c r="G990" s="14" t="s">
        <v>3</v>
      </c>
      <c r="H990" s="14" t="s">
        <v>2491</v>
      </c>
      <c r="I990" s="14" t="s">
        <v>2492</v>
      </c>
      <c r="J990" s="14" t="s">
        <v>60</v>
      </c>
      <c r="K990" s="14" t="s">
        <v>60</v>
      </c>
      <c r="L990" s="14" t="s">
        <v>60</v>
      </c>
      <c r="M990" s="14" t="s">
        <v>2493</v>
      </c>
      <c r="N990" s="14" t="s">
        <v>60</v>
      </c>
      <c r="O990" s="14" t="s">
        <v>60</v>
      </c>
      <c r="P990" s="14" t="s">
        <v>7865</v>
      </c>
      <c r="Q990" s="14" t="s">
        <v>2463</v>
      </c>
      <c r="R990" s="3">
        <v>0</v>
      </c>
      <c r="S990" s="3">
        <f t="shared" si="50"/>
        <v>550</v>
      </c>
      <c r="T990" s="3">
        <f t="shared" si="51"/>
        <v>0</v>
      </c>
      <c r="U990" s="3" t="s">
        <v>60</v>
      </c>
      <c r="V990" s="14" t="s">
        <v>6</v>
      </c>
      <c r="W990" s="14" t="s">
        <v>7866</v>
      </c>
      <c r="X990" s="14" t="s">
        <v>60</v>
      </c>
    </row>
    <row r="991" spans="1:24" ht="15" x14ac:dyDescent="0.3">
      <c r="A991" s="3">
        <v>34</v>
      </c>
      <c r="B991" s="3" t="s">
        <v>7867</v>
      </c>
      <c r="C991" s="14" t="s">
        <v>0</v>
      </c>
      <c r="D991" s="14" t="s">
        <v>2494</v>
      </c>
      <c r="E991" s="14" t="s">
        <v>7868</v>
      </c>
      <c r="F991" s="14" t="s">
        <v>2495</v>
      </c>
      <c r="G991" s="14" t="s">
        <v>3</v>
      </c>
      <c r="H991" s="14" t="s">
        <v>2496</v>
      </c>
      <c r="I991" s="14" t="s">
        <v>2497</v>
      </c>
      <c r="J991" s="14" t="s">
        <v>60</v>
      </c>
      <c r="K991" s="14" t="s">
        <v>60</v>
      </c>
      <c r="L991" s="14" t="s">
        <v>60</v>
      </c>
      <c r="M991" s="14" t="s">
        <v>2498</v>
      </c>
      <c r="N991" s="14" t="s">
        <v>60</v>
      </c>
      <c r="O991" s="14" t="s">
        <v>60</v>
      </c>
      <c r="P991" s="14" t="s">
        <v>7869</v>
      </c>
      <c r="Q991" s="14" t="s">
        <v>11</v>
      </c>
      <c r="R991" s="3">
        <v>0</v>
      </c>
      <c r="S991" s="3">
        <f t="shared" si="50"/>
        <v>550</v>
      </c>
      <c r="T991" s="3">
        <f t="shared" si="51"/>
        <v>0</v>
      </c>
      <c r="U991" s="3" t="s">
        <v>60</v>
      </c>
      <c r="V991" s="14" t="s">
        <v>6</v>
      </c>
      <c r="W991" s="14" t="s">
        <v>7866</v>
      </c>
      <c r="X991" s="14" t="s">
        <v>60</v>
      </c>
    </row>
    <row r="992" spans="1:24" ht="15" x14ac:dyDescent="0.3">
      <c r="A992" s="3">
        <v>35</v>
      </c>
      <c r="B992" s="3" t="s">
        <v>7870</v>
      </c>
      <c r="C992" s="14" t="s">
        <v>0</v>
      </c>
      <c r="D992" s="14" t="s">
        <v>2499</v>
      </c>
      <c r="E992" s="14" t="s">
        <v>7871</v>
      </c>
      <c r="F992" s="14" t="s">
        <v>2500</v>
      </c>
      <c r="G992" s="14" t="s">
        <v>3</v>
      </c>
      <c r="H992" s="14" t="s">
        <v>2501</v>
      </c>
      <c r="I992" s="14" t="s">
        <v>2502</v>
      </c>
      <c r="J992" s="14" t="s">
        <v>60</v>
      </c>
      <c r="K992" s="14" t="s">
        <v>60</v>
      </c>
      <c r="L992" s="14" t="s">
        <v>60</v>
      </c>
      <c r="M992" s="14" t="s">
        <v>2503</v>
      </c>
      <c r="N992" s="14" t="s">
        <v>60</v>
      </c>
      <c r="O992" s="14" t="s">
        <v>60</v>
      </c>
      <c r="P992" s="14" t="s">
        <v>7872</v>
      </c>
      <c r="Q992" s="14" t="s">
        <v>11</v>
      </c>
      <c r="R992" s="3">
        <v>0</v>
      </c>
      <c r="S992" s="3">
        <f t="shared" si="50"/>
        <v>550</v>
      </c>
      <c r="T992" s="3">
        <f t="shared" si="51"/>
        <v>0</v>
      </c>
      <c r="U992" s="3" t="s">
        <v>60</v>
      </c>
      <c r="V992" s="14" t="s">
        <v>6</v>
      </c>
      <c r="W992" s="14" t="s">
        <v>7866</v>
      </c>
      <c r="X992" s="14" t="s">
        <v>60</v>
      </c>
    </row>
    <row r="993" spans="1:24" ht="15" x14ac:dyDescent="0.3">
      <c r="A993" s="3">
        <v>36</v>
      </c>
      <c r="B993" s="3" t="s">
        <v>7873</v>
      </c>
      <c r="C993" s="14" t="s">
        <v>0</v>
      </c>
      <c r="D993" s="14" t="s">
        <v>2508</v>
      </c>
      <c r="E993" s="14" t="s">
        <v>7874</v>
      </c>
      <c r="F993" s="14" t="s">
        <v>2509</v>
      </c>
      <c r="G993" s="14" t="s">
        <v>3</v>
      </c>
      <c r="H993" s="14" t="s">
        <v>7875</v>
      </c>
      <c r="I993" s="14" t="s">
        <v>2510</v>
      </c>
      <c r="J993" s="14" t="s">
        <v>60</v>
      </c>
      <c r="K993" s="14" t="s">
        <v>60</v>
      </c>
      <c r="L993" s="14" t="s">
        <v>60</v>
      </c>
      <c r="M993" s="14" t="s">
        <v>2511</v>
      </c>
      <c r="N993" s="14" t="s">
        <v>60</v>
      </c>
      <c r="O993" s="14" t="s">
        <v>60</v>
      </c>
      <c r="P993" s="14" t="s">
        <v>7876</v>
      </c>
      <c r="Q993" s="14" t="s">
        <v>11</v>
      </c>
      <c r="R993" s="3">
        <v>0</v>
      </c>
      <c r="S993" s="3">
        <f t="shared" si="50"/>
        <v>550</v>
      </c>
      <c r="T993" s="3">
        <f t="shared" si="51"/>
        <v>0</v>
      </c>
      <c r="U993" s="3" t="s">
        <v>60</v>
      </c>
      <c r="V993" s="14" t="s">
        <v>6</v>
      </c>
      <c r="W993" s="14" t="s">
        <v>7866</v>
      </c>
      <c r="X993" s="14" t="s">
        <v>60</v>
      </c>
    </row>
    <row r="994" spans="1:24" ht="15" x14ac:dyDescent="0.3">
      <c r="A994" s="3">
        <v>37</v>
      </c>
      <c r="B994" s="3" t="s">
        <v>7877</v>
      </c>
      <c r="C994" s="14" t="s">
        <v>0</v>
      </c>
      <c r="D994" s="14" t="s">
        <v>2512</v>
      </c>
      <c r="E994" s="14" t="s">
        <v>5258</v>
      </c>
      <c r="F994" s="14" t="s">
        <v>2513</v>
      </c>
      <c r="G994" s="14" t="s">
        <v>3</v>
      </c>
      <c r="H994" s="14" t="s">
        <v>2514</v>
      </c>
      <c r="I994" s="14" t="s">
        <v>2515</v>
      </c>
      <c r="J994" s="14" t="s">
        <v>60</v>
      </c>
      <c r="K994" s="14" t="s">
        <v>60</v>
      </c>
      <c r="L994" s="14" t="s">
        <v>60</v>
      </c>
      <c r="M994" s="14" t="s">
        <v>2516</v>
      </c>
      <c r="N994" s="14" t="s">
        <v>60</v>
      </c>
      <c r="O994" s="14" t="s">
        <v>60</v>
      </c>
      <c r="P994" s="14" t="s">
        <v>7878</v>
      </c>
      <c r="Q994" s="14" t="s">
        <v>2463</v>
      </c>
      <c r="R994" s="3">
        <v>0</v>
      </c>
      <c r="S994" s="3">
        <f t="shared" si="50"/>
        <v>550</v>
      </c>
      <c r="T994" s="3">
        <f t="shared" si="51"/>
        <v>0</v>
      </c>
      <c r="U994" s="3" t="s">
        <v>60</v>
      </c>
      <c r="V994" s="14" t="s">
        <v>6</v>
      </c>
      <c r="W994" s="14" t="s">
        <v>7866</v>
      </c>
      <c r="X994" s="14" t="s">
        <v>60</v>
      </c>
    </row>
    <row r="995" spans="1:24" ht="15" x14ac:dyDescent="0.3">
      <c r="A995" s="3">
        <v>38</v>
      </c>
      <c r="B995" s="3" t="s">
        <v>7879</v>
      </c>
      <c r="C995" s="14" t="s">
        <v>0</v>
      </c>
      <c r="D995" s="14" t="s">
        <v>2517</v>
      </c>
      <c r="E995" s="14" t="s">
        <v>7880</v>
      </c>
      <c r="F995" s="14" t="s">
        <v>823</v>
      </c>
      <c r="G995" s="14" t="s">
        <v>3</v>
      </c>
      <c r="H995" s="14" t="s">
        <v>7881</v>
      </c>
      <c r="I995" s="14" t="s">
        <v>2518</v>
      </c>
      <c r="J995" s="14" t="s">
        <v>60</v>
      </c>
      <c r="K995" s="14" t="s">
        <v>60</v>
      </c>
      <c r="L995" s="14" t="s">
        <v>60</v>
      </c>
      <c r="M995" s="14" t="s">
        <v>2519</v>
      </c>
      <c r="N995" s="14" t="s">
        <v>60</v>
      </c>
      <c r="O995" s="14" t="s">
        <v>487</v>
      </c>
      <c r="P995" s="14" t="s">
        <v>7882</v>
      </c>
      <c r="Q995" s="14" t="s">
        <v>11</v>
      </c>
      <c r="R995" s="3">
        <v>0</v>
      </c>
      <c r="S995" s="3">
        <f t="shared" si="50"/>
        <v>550</v>
      </c>
      <c r="T995" s="3">
        <f t="shared" si="51"/>
        <v>0</v>
      </c>
      <c r="U995" s="3" t="s">
        <v>60</v>
      </c>
      <c r="V995" s="14" t="s">
        <v>6</v>
      </c>
      <c r="W995" s="14" t="s">
        <v>6318</v>
      </c>
      <c r="X995" s="14" t="s">
        <v>60</v>
      </c>
    </row>
    <row r="996" spans="1:24" ht="15" x14ac:dyDescent="0.3">
      <c r="A996" s="3">
        <v>39</v>
      </c>
      <c r="B996" s="3" t="s">
        <v>7883</v>
      </c>
      <c r="C996" s="14" t="s">
        <v>0</v>
      </c>
      <c r="D996" s="14" t="s">
        <v>2520</v>
      </c>
      <c r="E996" s="14" t="s">
        <v>7884</v>
      </c>
      <c r="F996" s="14" t="s">
        <v>2444</v>
      </c>
      <c r="G996" s="14" t="s">
        <v>3</v>
      </c>
      <c r="H996" s="14" t="s">
        <v>7885</v>
      </c>
      <c r="I996" s="14" t="s">
        <v>2521</v>
      </c>
      <c r="J996" s="14" t="s">
        <v>60</v>
      </c>
      <c r="K996" s="14" t="s">
        <v>60</v>
      </c>
      <c r="L996" s="14" t="s">
        <v>60</v>
      </c>
      <c r="M996" s="14" t="s">
        <v>2522</v>
      </c>
      <c r="N996" s="14" t="s">
        <v>60</v>
      </c>
      <c r="O996" s="14" t="s">
        <v>388</v>
      </c>
      <c r="P996" s="14" t="s">
        <v>7886</v>
      </c>
      <c r="Q996" s="14" t="s">
        <v>11</v>
      </c>
      <c r="R996" s="3">
        <v>0</v>
      </c>
      <c r="S996" s="3">
        <f t="shared" si="50"/>
        <v>550</v>
      </c>
      <c r="T996" s="3">
        <f t="shared" si="51"/>
        <v>0</v>
      </c>
      <c r="U996" s="3" t="s">
        <v>60</v>
      </c>
      <c r="V996" s="14" t="s">
        <v>6</v>
      </c>
      <c r="W996" s="14" t="s">
        <v>6925</v>
      </c>
      <c r="X996" s="14" t="s">
        <v>60</v>
      </c>
    </row>
    <row r="997" spans="1:24" ht="15" x14ac:dyDescent="0.3">
      <c r="A997" s="3">
        <v>40</v>
      </c>
      <c r="B997" s="3" t="s">
        <v>7887</v>
      </c>
      <c r="C997" s="14" t="s">
        <v>0</v>
      </c>
      <c r="D997" s="14" t="s">
        <v>2509</v>
      </c>
      <c r="E997" s="14" t="s">
        <v>7888</v>
      </c>
      <c r="F997" s="14" t="s">
        <v>2499</v>
      </c>
      <c r="G997" s="14" t="s">
        <v>3</v>
      </c>
      <c r="H997" s="14" t="s">
        <v>2523</v>
      </c>
      <c r="I997" s="14" t="s">
        <v>2524</v>
      </c>
      <c r="J997" s="14" t="s">
        <v>60</v>
      </c>
      <c r="K997" s="14" t="s">
        <v>60</v>
      </c>
      <c r="L997" s="14" t="s">
        <v>60</v>
      </c>
      <c r="M997" s="14" t="s">
        <v>60</v>
      </c>
      <c r="N997" s="14" t="s">
        <v>60</v>
      </c>
      <c r="O997" s="14" t="s">
        <v>388</v>
      </c>
      <c r="P997" s="14" t="s">
        <v>7889</v>
      </c>
      <c r="Q997" s="14" t="s">
        <v>11</v>
      </c>
      <c r="R997" s="3">
        <v>0</v>
      </c>
      <c r="S997" s="3">
        <f t="shared" si="50"/>
        <v>550</v>
      </c>
      <c r="T997" s="3">
        <f t="shared" si="51"/>
        <v>0</v>
      </c>
      <c r="U997" s="3" t="s">
        <v>7890</v>
      </c>
      <c r="V997" s="14" t="s">
        <v>6</v>
      </c>
      <c r="W997" s="14" t="s">
        <v>6925</v>
      </c>
      <c r="X997" s="14" t="s">
        <v>60</v>
      </c>
    </row>
    <row r="998" spans="1:24" ht="15" x14ac:dyDescent="0.3">
      <c r="A998" s="3">
        <v>41</v>
      </c>
      <c r="B998" s="3" t="s">
        <v>7891</v>
      </c>
      <c r="C998" s="14" t="s">
        <v>0</v>
      </c>
      <c r="D998" s="14" t="s">
        <v>1282</v>
      </c>
      <c r="E998" s="14" t="s">
        <v>6442</v>
      </c>
      <c r="F998" s="14" t="s">
        <v>2525</v>
      </c>
      <c r="G998" s="14" t="s">
        <v>3</v>
      </c>
      <c r="H998" s="14" t="s">
        <v>7892</v>
      </c>
      <c r="I998" s="14" t="s">
        <v>2526</v>
      </c>
      <c r="J998" s="14" t="s">
        <v>60</v>
      </c>
      <c r="K998" s="14" t="s">
        <v>60</v>
      </c>
      <c r="L998" s="14" t="s">
        <v>60</v>
      </c>
      <c r="M998" s="14" t="s">
        <v>2527</v>
      </c>
      <c r="N998" s="14" t="s">
        <v>60</v>
      </c>
      <c r="O998" s="14" t="s">
        <v>388</v>
      </c>
      <c r="P998" s="14" t="s">
        <v>7893</v>
      </c>
      <c r="Q998" s="14" t="s">
        <v>11</v>
      </c>
      <c r="R998" s="3">
        <v>0</v>
      </c>
      <c r="S998" s="3">
        <f t="shared" si="50"/>
        <v>550</v>
      </c>
      <c r="T998" s="3">
        <f t="shared" si="51"/>
        <v>0</v>
      </c>
      <c r="U998" s="3" t="s">
        <v>60</v>
      </c>
      <c r="V998" s="14" t="s">
        <v>6</v>
      </c>
      <c r="W998" s="14" t="s">
        <v>6925</v>
      </c>
      <c r="X998" s="14" t="s">
        <v>60</v>
      </c>
    </row>
    <row r="999" spans="1:24" ht="15" x14ac:dyDescent="0.3">
      <c r="A999" s="3">
        <v>42</v>
      </c>
      <c r="B999" s="3" t="s">
        <v>7894</v>
      </c>
      <c r="C999" s="14" t="s">
        <v>0</v>
      </c>
      <c r="D999" s="14" t="s">
        <v>3602</v>
      </c>
      <c r="E999" s="14" t="s">
        <v>7895</v>
      </c>
      <c r="F999" s="14" t="s">
        <v>3603</v>
      </c>
      <c r="G999" s="14" t="s">
        <v>3</v>
      </c>
      <c r="H999" s="14" t="s">
        <v>7896</v>
      </c>
      <c r="I999" s="14" t="s">
        <v>3845</v>
      </c>
      <c r="J999" s="14" t="s">
        <v>60</v>
      </c>
      <c r="K999" s="14" t="s">
        <v>60</v>
      </c>
      <c r="L999" s="14" t="s">
        <v>60</v>
      </c>
      <c r="M999" s="14" t="s">
        <v>3846</v>
      </c>
      <c r="N999" s="14" t="s">
        <v>60</v>
      </c>
      <c r="O999" s="14" t="s">
        <v>60</v>
      </c>
      <c r="P999" s="14" t="s">
        <v>7897</v>
      </c>
      <c r="Q999" s="14" t="s">
        <v>11</v>
      </c>
      <c r="R999" s="3">
        <v>0</v>
      </c>
      <c r="S999" s="3">
        <f t="shared" si="50"/>
        <v>550</v>
      </c>
      <c r="T999" s="3">
        <f t="shared" si="51"/>
        <v>0</v>
      </c>
      <c r="U999" s="3" t="s">
        <v>60</v>
      </c>
      <c r="V999" s="14" t="s">
        <v>6</v>
      </c>
      <c r="W999" s="14" t="s">
        <v>4444</v>
      </c>
      <c r="X999" s="14" t="s">
        <v>60</v>
      </c>
    </row>
    <row r="1000" spans="1:24" ht="15" x14ac:dyDescent="0.3">
      <c r="A1000" s="3">
        <v>43</v>
      </c>
      <c r="B1000" s="3" t="s">
        <v>7898</v>
      </c>
      <c r="C1000" s="14" t="s">
        <v>0</v>
      </c>
      <c r="D1000" s="14" t="s">
        <v>2528</v>
      </c>
      <c r="E1000" s="14" t="s">
        <v>5390</v>
      </c>
      <c r="F1000" s="14" t="s">
        <v>2529</v>
      </c>
      <c r="G1000" s="14" t="s">
        <v>3</v>
      </c>
      <c r="H1000" s="14" t="s">
        <v>7899</v>
      </c>
      <c r="I1000" s="14" t="s">
        <v>60</v>
      </c>
      <c r="J1000" s="14" t="s">
        <v>60</v>
      </c>
      <c r="K1000" s="14" t="s">
        <v>60</v>
      </c>
      <c r="L1000" s="14" t="s">
        <v>60</v>
      </c>
      <c r="M1000" s="14" t="s">
        <v>2530</v>
      </c>
      <c r="N1000" s="14" t="s">
        <v>60</v>
      </c>
      <c r="O1000" s="14" t="s">
        <v>388</v>
      </c>
      <c r="P1000" s="14" t="s">
        <v>7900</v>
      </c>
      <c r="Q1000" s="14" t="s">
        <v>11</v>
      </c>
      <c r="R1000" s="3">
        <v>0</v>
      </c>
      <c r="S1000" s="3">
        <f t="shared" si="50"/>
        <v>550</v>
      </c>
      <c r="T1000" s="3">
        <f t="shared" si="51"/>
        <v>0</v>
      </c>
      <c r="U1000" s="3" t="s">
        <v>60</v>
      </c>
      <c r="V1000" s="14" t="s">
        <v>6</v>
      </c>
      <c r="W1000" s="14" t="s">
        <v>6925</v>
      </c>
      <c r="X1000" s="14" t="s">
        <v>60</v>
      </c>
    </row>
    <row r="1001" spans="1:24" ht="15" x14ac:dyDescent="0.3">
      <c r="A1001" s="3">
        <v>44</v>
      </c>
      <c r="B1001" s="3" t="s">
        <v>7901</v>
      </c>
      <c r="C1001" s="14" t="s">
        <v>0</v>
      </c>
      <c r="D1001" s="14" t="s">
        <v>2531</v>
      </c>
      <c r="E1001" s="14" t="s">
        <v>4304</v>
      </c>
      <c r="F1001" s="14" t="s">
        <v>2532</v>
      </c>
      <c r="G1001" s="14" t="s">
        <v>3</v>
      </c>
      <c r="H1001" s="14" t="s">
        <v>7902</v>
      </c>
      <c r="I1001" s="14" t="s">
        <v>2533</v>
      </c>
      <c r="J1001" s="14" t="s">
        <v>60</v>
      </c>
      <c r="K1001" s="14" t="s">
        <v>60</v>
      </c>
      <c r="L1001" s="14" t="s">
        <v>60</v>
      </c>
      <c r="M1001" s="14" t="s">
        <v>2534</v>
      </c>
      <c r="N1001" s="14" t="s">
        <v>60</v>
      </c>
      <c r="O1001" s="14" t="s">
        <v>388</v>
      </c>
      <c r="P1001" s="14" t="s">
        <v>7903</v>
      </c>
      <c r="Q1001" s="14" t="s">
        <v>11</v>
      </c>
      <c r="R1001" s="3">
        <v>0</v>
      </c>
      <c r="S1001" s="3">
        <f t="shared" si="50"/>
        <v>550</v>
      </c>
      <c r="T1001" s="3">
        <f t="shared" si="51"/>
        <v>0</v>
      </c>
      <c r="U1001" s="3" t="s">
        <v>60</v>
      </c>
      <c r="V1001" s="14" t="s">
        <v>6</v>
      </c>
      <c r="W1001" s="14" t="s">
        <v>6925</v>
      </c>
      <c r="X1001" s="14" t="s">
        <v>60</v>
      </c>
    </row>
    <row r="1002" spans="1:24" ht="15" x14ac:dyDescent="0.3">
      <c r="A1002" s="3">
        <v>45</v>
      </c>
      <c r="B1002" s="3" t="s">
        <v>7904</v>
      </c>
      <c r="C1002" s="14" t="s">
        <v>0</v>
      </c>
      <c r="D1002" s="14" t="s">
        <v>545</v>
      </c>
      <c r="E1002" s="14" t="s">
        <v>4304</v>
      </c>
      <c r="F1002" s="14" t="s">
        <v>2535</v>
      </c>
      <c r="G1002" s="14" t="s">
        <v>3</v>
      </c>
      <c r="H1002" s="14" t="s">
        <v>7905</v>
      </c>
      <c r="I1002" s="14" t="s">
        <v>2536</v>
      </c>
      <c r="J1002" s="14" t="s">
        <v>60</v>
      </c>
      <c r="K1002" s="14" t="s">
        <v>60</v>
      </c>
      <c r="L1002" s="14" t="s">
        <v>60</v>
      </c>
      <c r="M1002" s="14" t="s">
        <v>2537</v>
      </c>
      <c r="N1002" s="14" t="s">
        <v>60</v>
      </c>
      <c r="O1002" s="14" t="s">
        <v>388</v>
      </c>
      <c r="P1002" s="14" t="s">
        <v>7906</v>
      </c>
      <c r="Q1002" s="14" t="s">
        <v>11</v>
      </c>
      <c r="R1002" s="3">
        <v>0</v>
      </c>
      <c r="S1002" s="3">
        <f t="shared" si="50"/>
        <v>550</v>
      </c>
      <c r="T1002" s="3">
        <f t="shared" si="51"/>
        <v>0</v>
      </c>
      <c r="U1002" s="3" t="s">
        <v>60</v>
      </c>
      <c r="V1002" s="14" t="s">
        <v>6</v>
      </c>
      <c r="W1002" s="14" t="s">
        <v>6925</v>
      </c>
      <c r="X1002" s="14" t="s">
        <v>60</v>
      </c>
    </row>
    <row r="1003" spans="1:24" ht="15" x14ac:dyDescent="0.3">
      <c r="A1003" s="3">
        <v>46</v>
      </c>
      <c r="B1003" s="3" t="s">
        <v>7907</v>
      </c>
      <c r="C1003" s="14" t="s">
        <v>0</v>
      </c>
      <c r="D1003" s="14" t="s">
        <v>2538</v>
      </c>
      <c r="E1003" s="14" t="s">
        <v>4216</v>
      </c>
      <c r="F1003" s="14" t="s">
        <v>2539</v>
      </c>
      <c r="G1003" s="14" t="s">
        <v>3</v>
      </c>
      <c r="H1003" s="14" t="s">
        <v>7908</v>
      </c>
      <c r="I1003" s="14" t="s">
        <v>2540</v>
      </c>
      <c r="J1003" s="14" t="s">
        <v>60</v>
      </c>
      <c r="K1003" s="14" t="s">
        <v>60</v>
      </c>
      <c r="L1003" s="14" t="s">
        <v>60</v>
      </c>
      <c r="M1003" s="14" t="s">
        <v>2541</v>
      </c>
      <c r="N1003" s="14" t="s">
        <v>60</v>
      </c>
      <c r="O1003" s="14" t="s">
        <v>388</v>
      </c>
      <c r="P1003" s="14" t="s">
        <v>7909</v>
      </c>
      <c r="Q1003" s="14" t="s">
        <v>11</v>
      </c>
      <c r="R1003" s="3">
        <v>0</v>
      </c>
      <c r="S1003" s="3">
        <f t="shared" si="50"/>
        <v>550</v>
      </c>
      <c r="T1003" s="3">
        <f t="shared" si="51"/>
        <v>0</v>
      </c>
      <c r="U1003" s="3" t="s">
        <v>60</v>
      </c>
      <c r="V1003" s="14" t="s">
        <v>6</v>
      </c>
      <c r="W1003" s="14" t="s">
        <v>6925</v>
      </c>
      <c r="X1003" s="14" t="s">
        <v>60</v>
      </c>
    </row>
    <row r="1004" spans="1:24" ht="15" x14ac:dyDescent="0.3">
      <c r="A1004" s="3">
        <v>47</v>
      </c>
      <c r="B1004" s="3" t="s">
        <v>7910</v>
      </c>
      <c r="C1004" s="14" t="s">
        <v>0</v>
      </c>
      <c r="D1004" s="14" t="s">
        <v>2542</v>
      </c>
      <c r="E1004" s="14" t="s">
        <v>4200</v>
      </c>
      <c r="F1004" s="14" t="s">
        <v>486</v>
      </c>
      <c r="G1004" s="14" t="s">
        <v>3</v>
      </c>
      <c r="H1004" s="14" t="s">
        <v>7911</v>
      </c>
      <c r="I1004" s="14" t="s">
        <v>2543</v>
      </c>
      <c r="J1004" s="14" t="s">
        <v>60</v>
      </c>
      <c r="K1004" s="14" t="s">
        <v>60</v>
      </c>
      <c r="L1004" s="14" t="s">
        <v>60</v>
      </c>
      <c r="M1004" s="14" t="s">
        <v>2544</v>
      </c>
      <c r="N1004" s="14" t="s">
        <v>60</v>
      </c>
      <c r="O1004" s="14" t="s">
        <v>388</v>
      </c>
      <c r="P1004" s="14" t="s">
        <v>7912</v>
      </c>
      <c r="Q1004" s="14" t="s">
        <v>11</v>
      </c>
      <c r="R1004" s="3">
        <v>0</v>
      </c>
      <c r="S1004" s="3">
        <f t="shared" si="50"/>
        <v>550</v>
      </c>
      <c r="T1004" s="3">
        <f t="shared" si="51"/>
        <v>0</v>
      </c>
      <c r="U1004" s="3" t="s">
        <v>60</v>
      </c>
      <c r="V1004" s="14" t="s">
        <v>6</v>
      </c>
      <c r="W1004" s="14" t="s">
        <v>6925</v>
      </c>
      <c r="X1004" s="14" t="s">
        <v>60</v>
      </c>
    </row>
    <row r="1005" spans="1:24" ht="15" x14ac:dyDescent="0.3">
      <c r="A1005" s="3">
        <v>48</v>
      </c>
      <c r="B1005" s="3" t="s">
        <v>7913</v>
      </c>
      <c r="C1005" s="14" t="s">
        <v>354</v>
      </c>
      <c r="D1005" s="14" t="s">
        <v>3336</v>
      </c>
      <c r="E1005" s="14" t="s">
        <v>7914</v>
      </c>
      <c r="F1005" s="14" t="s">
        <v>3337</v>
      </c>
      <c r="G1005" s="14" t="s">
        <v>3</v>
      </c>
      <c r="H1005" s="14" t="s">
        <v>3414</v>
      </c>
      <c r="I1005" s="14" t="s">
        <v>3415</v>
      </c>
      <c r="J1005" s="14" t="s">
        <v>60</v>
      </c>
      <c r="K1005" s="14" t="s">
        <v>60</v>
      </c>
      <c r="L1005" s="14" t="s">
        <v>60</v>
      </c>
      <c r="M1005" s="14" t="s">
        <v>3416</v>
      </c>
      <c r="N1005" s="14" t="s">
        <v>60</v>
      </c>
      <c r="O1005" s="14" t="s">
        <v>60</v>
      </c>
      <c r="P1005" s="14" t="s">
        <v>7915</v>
      </c>
      <c r="Q1005" s="14" t="s">
        <v>3345</v>
      </c>
      <c r="R1005" s="3">
        <v>0</v>
      </c>
      <c r="S1005" s="3">
        <f t="shared" si="50"/>
        <v>550</v>
      </c>
      <c r="T1005" s="3">
        <f t="shared" si="51"/>
        <v>0</v>
      </c>
      <c r="U1005" s="3" t="s">
        <v>60</v>
      </c>
      <c r="V1005" s="14" t="s">
        <v>6</v>
      </c>
      <c r="W1005" s="14" t="s">
        <v>7916</v>
      </c>
      <c r="X1005" s="14" t="s">
        <v>7917</v>
      </c>
    </row>
    <row r="1006" spans="1:24" ht="15" x14ac:dyDescent="0.3">
      <c r="A1006" s="3">
        <v>49</v>
      </c>
      <c r="B1006" s="3" t="s">
        <v>7918</v>
      </c>
      <c r="C1006" s="14" t="s">
        <v>14</v>
      </c>
      <c r="D1006" s="14" t="s">
        <v>720</v>
      </c>
      <c r="E1006" s="14" t="s">
        <v>7919</v>
      </c>
      <c r="F1006" s="14" t="s">
        <v>721</v>
      </c>
      <c r="G1006" s="14" t="s">
        <v>3</v>
      </c>
      <c r="H1006" s="14" t="s">
        <v>7920</v>
      </c>
      <c r="I1006" s="14" t="s">
        <v>722</v>
      </c>
      <c r="J1006" s="14" t="s">
        <v>60</v>
      </c>
      <c r="K1006" s="14" t="s">
        <v>60</v>
      </c>
      <c r="L1006" s="14" t="s">
        <v>60</v>
      </c>
      <c r="M1006" s="14" t="s">
        <v>60</v>
      </c>
      <c r="N1006" s="14" t="s">
        <v>60</v>
      </c>
      <c r="O1006" s="14" t="s">
        <v>60</v>
      </c>
      <c r="P1006" s="14" t="s">
        <v>7921</v>
      </c>
      <c r="Q1006" s="14" t="s">
        <v>11</v>
      </c>
      <c r="R1006" s="3">
        <v>0</v>
      </c>
      <c r="S1006" s="3">
        <f t="shared" si="50"/>
        <v>640</v>
      </c>
      <c r="T1006" s="3">
        <f t="shared" si="51"/>
        <v>0</v>
      </c>
      <c r="U1006" s="3" t="s">
        <v>60</v>
      </c>
      <c r="V1006" s="14" t="s">
        <v>6</v>
      </c>
      <c r="W1006" s="14" t="s">
        <v>4287</v>
      </c>
      <c r="X1006" s="14" t="s">
        <v>60</v>
      </c>
    </row>
    <row r="1007" spans="1:24" ht="15" x14ac:dyDescent="0.3">
      <c r="A1007" s="3">
        <v>50</v>
      </c>
      <c r="B1007" s="3" t="s">
        <v>7922</v>
      </c>
      <c r="C1007" s="14" t="s">
        <v>0</v>
      </c>
      <c r="D1007" s="14" t="s">
        <v>602</v>
      </c>
      <c r="E1007" s="14" t="s">
        <v>7923</v>
      </c>
      <c r="F1007" s="14" t="s">
        <v>603</v>
      </c>
      <c r="G1007" s="14" t="s">
        <v>3</v>
      </c>
      <c r="H1007" s="14" t="s">
        <v>7924</v>
      </c>
      <c r="I1007" s="14" t="s">
        <v>604</v>
      </c>
      <c r="J1007" s="14" t="s">
        <v>60</v>
      </c>
      <c r="K1007" s="14" t="s">
        <v>60</v>
      </c>
      <c r="L1007" s="14" t="s">
        <v>60</v>
      </c>
      <c r="M1007" s="14" t="s">
        <v>605</v>
      </c>
      <c r="N1007" s="14" t="s">
        <v>60</v>
      </c>
      <c r="O1007" s="14" t="s">
        <v>558</v>
      </c>
      <c r="P1007" s="14" t="s">
        <v>7925</v>
      </c>
      <c r="Q1007" s="14" t="s">
        <v>185</v>
      </c>
      <c r="R1007" s="3">
        <v>0</v>
      </c>
      <c r="S1007" s="3">
        <f t="shared" si="50"/>
        <v>550</v>
      </c>
      <c r="T1007" s="3">
        <f t="shared" si="51"/>
        <v>0</v>
      </c>
      <c r="U1007" s="3" t="s">
        <v>60</v>
      </c>
      <c r="V1007" s="14" t="s">
        <v>6</v>
      </c>
      <c r="W1007" s="14" t="s">
        <v>4287</v>
      </c>
      <c r="X1007" s="14" t="s">
        <v>60</v>
      </c>
    </row>
    <row r="1008" spans="1:24" ht="15" x14ac:dyDescent="0.3">
      <c r="A1008" s="3">
        <v>51</v>
      </c>
      <c r="B1008" s="3" t="s">
        <v>7926</v>
      </c>
      <c r="C1008" s="14" t="s">
        <v>0</v>
      </c>
      <c r="D1008" s="14" t="s">
        <v>3601</v>
      </c>
      <c r="E1008" s="14" t="s">
        <v>7927</v>
      </c>
      <c r="F1008" s="14" t="s">
        <v>3602</v>
      </c>
      <c r="G1008" s="14" t="s">
        <v>3</v>
      </c>
      <c r="H1008" s="14" t="s">
        <v>7928</v>
      </c>
      <c r="I1008" s="14" t="s">
        <v>3843</v>
      </c>
      <c r="J1008" s="14" t="s">
        <v>60</v>
      </c>
      <c r="K1008" s="14" t="s">
        <v>60</v>
      </c>
      <c r="L1008" s="14" t="s">
        <v>60</v>
      </c>
      <c r="M1008" s="14" t="s">
        <v>3844</v>
      </c>
      <c r="N1008" s="14" t="s">
        <v>60</v>
      </c>
      <c r="O1008" s="14" t="s">
        <v>60</v>
      </c>
      <c r="P1008" s="14" t="s">
        <v>7929</v>
      </c>
      <c r="Q1008" s="14" t="s">
        <v>11</v>
      </c>
      <c r="R1008" s="3">
        <v>0</v>
      </c>
      <c r="S1008" s="3">
        <f t="shared" si="50"/>
        <v>550</v>
      </c>
      <c r="T1008" s="3">
        <f t="shared" si="51"/>
        <v>0</v>
      </c>
      <c r="U1008" s="3" t="s">
        <v>60</v>
      </c>
      <c r="V1008" s="14" t="s">
        <v>6</v>
      </c>
      <c r="W1008" s="14" t="s">
        <v>4444</v>
      </c>
      <c r="X1008" s="14" t="s">
        <v>60</v>
      </c>
    </row>
    <row r="1009" spans="1:24" ht="15" x14ac:dyDescent="0.3">
      <c r="A1009" s="3">
        <v>52</v>
      </c>
      <c r="B1009" s="3" t="s">
        <v>7930</v>
      </c>
      <c r="C1009" s="14" t="s">
        <v>0</v>
      </c>
      <c r="D1009" s="14" t="s">
        <v>3928</v>
      </c>
      <c r="E1009" s="14" t="s">
        <v>7931</v>
      </c>
      <c r="F1009" s="14" t="s">
        <v>3570</v>
      </c>
      <c r="G1009" s="14" t="s">
        <v>3</v>
      </c>
      <c r="H1009" s="14" t="s">
        <v>7932</v>
      </c>
      <c r="I1009" s="14" t="s">
        <v>3944</v>
      </c>
      <c r="J1009" s="14" t="s">
        <v>60</v>
      </c>
      <c r="K1009" s="14" t="s">
        <v>60</v>
      </c>
      <c r="L1009" s="14" t="s">
        <v>60</v>
      </c>
      <c r="M1009" s="14" t="s">
        <v>3929</v>
      </c>
      <c r="N1009" s="14" t="s">
        <v>60</v>
      </c>
      <c r="O1009" s="14" t="s">
        <v>3910</v>
      </c>
      <c r="P1009" s="14" t="s">
        <v>7933</v>
      </c>
      <c r="Q1009" s="14" t="s">
        <v>3930</v>
      </c>
      <c r="R1009" s="3">
        <v>0</v>
      </c>
      <c r="S1009" s="3">
        <f t="shared" si="50"/>
        <v>550</v>
      </c>
      <c r="T1009" s="3">
        <f t="shared" si="51"/>
        <v>0</v>
      </c>
      <c r="U1009" s="3" t="s">
        <v>60</v>
      </c>
      <c r="V1009" s="14" t="s">
        <v>6</v>
      </c>
      <c r="W1009" s="14" t="s">
        <v>5755</v>
      </c>
      <c r="X1009" s="14" t="s">
        <v>60</v>
      </c>
    </row>
    <row r="1010" spans="1:24" ht="15" x14ac:dyDescent="0.3">
      <c r="A1010" s="3">
        <v>53</v>
      </c>
      <c r="B1010" s="3" t="s">
        <v>7934</v>
      </c>
      <c r="C1010" s="14" t="s">
        <v>0</v>
      </c>
      <c r="D1010" s="14" t="s">
        <v>3931</v>
      </c>
      <c r="E1010" s="14" t="s">
        <v>7935</v>
      </c>
      <c r="F1010" s="14" t="s">
        <v>3932</v>
      </c>
      <c r="G1010" s="14" t="s">
        <v>3</v>
      </c>
      <c r="H1010" s="14" t="s">
        <v>7936</v>
      </c>
      <c r="I1010" s="14" t="s">
        <v>3943</v>
      </c>
      <c r="J1010" s="14" t="s">
        <v>60</v>
      </c>
      <c r="K1010" s="14" t="s">
        <v>60</v>
      </c>
      <c r="L1010" s="14" t="s">
        <v>60</v>
      </c>
      <c r="M1010" s="14" t="s">
        <v>3933</v>
      </c>
      <c r="N1010" s="14" t="s">
        <v>60</v>
      </c>
      <c r="O1010" s="14" t="s">
        <v>3910</v>
      </c>
      <c r="P1010" s="14" t="s">
        <v>7937</v>
      </c>
      <c r="Q1010" s="14" t="s">
        <v>11</v>
      </c>
      <c r="R1010" s="3">
        <v>0</v>
      </c>
      <c r="S1010" s="3">
        <f t="shared" si="50"/>
        <v>550</v>
      </c>
      <c r="T1010" s="3">
        <f t="shared" si="51"/>
        <v>0</v>
      </c>
      <c r="U1010" s="3" t="s">
        <v>60</v>
      </c>
      <c r="V1010" s="14" t="s">
        <v>6</v>
      </c>
      <c r="W1010" s="14" t="s">
        <v>5755</v>
      </c>
      <c r="X1010" s="14" t="s">
        <v>60</v>
      </c>
    </row>
    <row r="1011" spans="1:24" ht="15" x14ac:dyDescent="0.3">
      <c r="A1011" s="3">
        <v>54</v>
      </c>
      <c r="B1011" s="3" t="s">
        <v>7938</v>
      </c>
      <c r="C1011" s="14" t="s">
        <v>0</v>
      </c>
      <c r="D1011" s="14" t="s">
        <v>3584</v>
      </c>
      <c r="E1011" s="14" t="s">
        <v>4319</v>
      </c>
      <c r="F1011" s="14" t="s">
        <v>3592</v>
      </c>
      <c r="G1011" s="14" t="s">
        <v>121</v>
      </c>
      <c r="H1011" s="14" t="s">
        <v>7939</v>
      </c>
      <c r="I1011" s="14" t="s">
        <v>3941</v>
      </c>
      <c r="J1011" s="14" t="s">
        <v>60</v>
      </c>
      <c r="K1011" s="14" t="s">
        <v>60</v>
      </c>
      <c r="L1011" s="14" t="s">
        <v>60</v>
      </c>
      <c r="M1011" s="14" t="s">
        <v>3851</v>
      </c>
      <c r="N1011" s="14" t="s">
        <v>60</v>
      </c>
      <c r="O1011" s="14" t="s">
        <v>3910</v>
      </c>
      <c r="P1011" s="14" t="s">
        <v>7940</v>
      </c>
      <c r="Q1011" s="14" t="s">
        <v>2463</v>
      </c>
      <c r="R1011" s="3">
        <v>0</v>
      </c>
      <c r="S1011" s="3">
        <f t="shared" si="50"/>
        <v>550</v>
      </c>
      <c r="T1011" s="3">
        <f t="shared" si="51"/>
        <v>0</v>
      </c>
      <c r="U1011" s="3" t="s">
        <v>60</v>
      </c>
      <c r="V1011" s="14" t="s">
        <v>6</v>
      </c>
      <c r="W1011" s="14" t="s">
        <v>7941</v>
      </c>
      <c r="X1011" s="14" t="s">
        <v>60</v>
      </c>
    </row>
    <row r="1012" spans="1:24" ht="15" x14ac:dyDescent="0.3">
      <c r="A1012" s="3">
        <v>55</v>
      </c>
      <c r="B1012" s="3" t="s">
        <v>7942</v>
      </c>
      <c r="C1012" s="14" t="s">
        <v>0</v>
      </c>
      <c r="D1012" s="14" t="s">
        <v>138</v>
      </c>
      <c r="E1012" s="14" t="s">
        <v>7943</v>
      </c>
      <c r="F1012" s="14" t="s">
        <v>3934</v>
      </c>
      <c r="G1012" s="14" t="s">
        <v>3</v>
      </c>
      <c r="H1012" s="14" t="s">
        <v>7944</v>
      </c>
      <c r="I1012" s="14" t="s">
        <v>3942</v>
      </c>
      <c r="J1012" s="14" t="s">
        <v>60</v>
      </c>
      <c r="K1012" s="14" t="s">
        <v>60</v>
      </c>
      <c r="L1012" s="14" t="s">
        <v>60</v>
      </c>
      <c r="M1012" s="14" t="s">
        <v>3935</v>
      </c>
      <c r="N1012" s="14" t="s">
        <v>60</v>
      </c>
      <c r="O1012" s="14" t="s">
        <v>3910</v>
      </c>
      <c r="P1012" s="14" t="s">
        <v>7945</v>
      </c>
      <c r="Q1012" s="14" t="s">
        <v>11</v>
      </c>
      <c r="R1012" s="3">
        <v>0</v>
      </c>
      <c r="S1012" s="3">
        <f t="shared" si="50"/>
        <v>550</v>
      </c>
      <c r="T1012" s="3">
        <f t="shared" si="51"/>
        <v>0</v>
      </c>
      <c r="U1012" s="3" t="s">
        <v>60</v>
      </c>
      <c r="V1012" s="14" t="s">
        <v>6</v>
      </c>
      <c r="W1012" s="14" t="s">
        <v>7946</v>
      </c>
      <c r="X1012" s="14" t="s">
        <v>60</v>
      </c>
    </row>
    <row r="1013" spans="1:24" ht="15" x14ac:dyDescent="0.3">
      <c r="A1013" s="3">
        <v>56</v>
      </c>
      <c r="B1013" s="3" t="s">
        <v>7947</v>
      </c>
      <c r="C1013" s="14" t="s">
        <v>0</v>
      </c>
      <c r="D1013" s="14" t="s">
        <v>3936</v>
      </c>
      <c r="E1013" s="14" t="s">
        <v>7948</v>
      </c>
      <c r="F1013" s="14" t="s">
        <v>7949</v>
      </c>
      <c r="G1013" s="14" t="s">
        <v>121</v>
      </c>
      <c r="H1013" s="14" t="s">
        <v>7950</v>
      </c>
      <c r="I1013" s="14" t="s">
        <v>3945</v>
      </c>
      <c r="J1013" s="14" t="s">
        <v>60</v>
      </c>
      <c r="K1013" s="14" t="s">
        <v>60</v>
      </c>
      <c r="L1013" s="14" t="s">
        <v>60</v>
      </c>
      <c r="M1013" s="14" t="s">
        <v>3937</v>
      </c>
      <c r="N1013" s="14" t="s">
        <v>60</v>
      </c>
      <c r="O1013" s="14" t="s">
        <v>3910</v>
      </c>
      <c r="P1013" s="14" t="s">
        <v>7951</v>
      </c>
      <c r="Q1013" s="14" t="s">
        <v>11</v>
      </c>
      <c r="R1013" s="3">
        <v>0</v>
      </c>
      <c r="S1013" s="3">
        <f t="shared" si="50"/>
        <v>550</v>
      </c>
      <c r="T1013" s="3">
        <f t="shared" si="51"/>
        <v>0</v>
      </c>
      <c r="U1013" s="3" t="s">
        <v>60</v>
      </c>
      <c r="V1013" s="14" t="s">
        <v>6</v>
      </c>
      <c r="W1013" s="14" t="s">
        <v>7946</v>
      </c>
      <c r="X1013" s="14" t="s">
        <v>60</v>
      </c>
    </row>
    <row r="1014" spans="1:24" ht="15" x14ac:dyDescent="0.3">
      <c r="A1014" s="3">
        <v>57</v>
      </c>
      <c r="B1014" s="3" t="s">
        <v>7952</v>
      </c>
      <c r="C1014" s="14" t="s">
        <v>0</v>
      </c>
      <c r="D1014" s="14" t="s">
        <v>3938</v>
      </c>
      <c r="E1014" s="14" t="s">
        <v>4308</v>
      </c>
      <c r="F1014" s="14" t="s">
        <v>3939</v>
      </c>
      <c r="G1014" s="14" t="s">
        <v>121</v>
      </c>
      <c r="H1014" s="14" t="s">
        <v>7953</v>
      </c>
      <c r="I1014" s="14" t="s">
        <v>3946</v>
      </c>
      <c r="J1014" s="14" t="s">
        <v>60</v>
      </c>
      <c r="K1014" s="14" t="s">
        <v>60</v>
      </c>
      <c r="L1014" s="14" t="s">
        <v>60</v>
      </c>
      <c r="M1014" s="14" t="s">
        <v>3940</v>
      </c>
      <c r="N1014" s="14" t="s">
        <v>60</v>
      </c>
      <c r="O1014" s="14" t="s">
        <v>3910</v>
      </c>
      <c r="P1014" s="14" t="s">
        <v>7954</v>
      </c>
      <c r="Q1014" s="14" t="s">
        <v>2463</v>
      </c>
      <c r="R1014" s="3">
        <v>0</v>
      </c>
      <c r="S1014" s="3">
        <f t="shared" si="50"/>
        <v>550</v>
      </c>
      <c r="T1014" s="3">
        <f t="shared" si="51"/>
        <v>0</v>
      </c>
      <c r="U1014" s="3" t="s">
        <v>60</v>
      </c>
      <c r="V1014" s="14" t="s">
        <v>6</v>
      </c>
      <c r="W1014" s="14" t="s">
        <v>7946</v>
      </c>
      <c r="X1014" s="14" t="s">
        <v>60</v>
      </c>
    </row>
    <row r="1015" spans="1:24" ht="15" x14ac:dyDescent="0.3">
      <c r="A1015" s="3">
        <v>58</v>
      </c>
      <c r="B1015" s="3" t="s">
        <v>7955</v>
      </c>
      <c r="C1015" s="14" t="s">
        <v>0</v>
      </c>
      <c r="D1015" s="14" t="s">
        <v>147</v>
      </c>
      <c r="E1015" s="14" t="s">
        <v>5154</v>
      </c>
      <c r="F1015" s="14" t="s">
        <v>148</v>
      </c>
      <c r="G1015" s="14" t="s">
        <v>3</v>
      </c>
      <c r="H1015" s="14" t="s">
        <v>7956</v>
      </c>
      <c r="I1015" s="14" t="s">
        <v>149</v>
      </c>
      <c r="J1015" s="14" t="s">
        <v>60</v>
      </c>
      <c r="K1015" s="14" t="s">
        <v>60</v>
      </c>
      <c r="L1015" s="14" t="s">
        <v>60</v>
      </c>
      <c r="M1015" s="14" t="s">
        <v>150</v>
      </c>
      <c r="N1015" s="14" t="s">
        <v>60</v>
      </c>
      <c r="O1015" s="14" t="s">
        <v>3910</v>
      </c>
      <c r="P1015" s="14" t="s">
        <v>7957</v>
      </c>
      <c r="Q1015" s="14" t="s">
        <v>11</v>
      </c>
      <c r="R1015" s="3">
        <v>0</v>
      </c>
      <c r="S1015" s="3">
        <f t="shared" si="50"/>
        <v>550</v>
      </c>
      <c r="T1015" s="3">
        <f t="shared" si="51"/>
        <v>0</v>
      </c>
      <c r="U1015" s="3" t="s">
        <v>60</v>
      </c>
      <c r="V1015" s="14" t="s">
        <v>6</v>
      </c>
      <c r="W1015" s="14" t="s">
        <v>4491</v>
      </c>
      <c r="X1015" s="14" t="s">
        <v>60</v>
      </c>
    </row>
    <row r="1016" spans="1:24" ht="15.6" x14ac:dyDescent="0.3">
      <c r="A1016" s="20">
        <v>59</v>
      </c>
      <c r="B1016" s="13">
        <v>8526</v>
      </c>
      <c r="C1016" s="14" t="s">
        <v>0</v>
      </c>
      <c r="D1016" s="15" t="s">
        <v>110</v>
      </c>
      <c r="E1016" s="12">
        <v>32910</v>
      </c>
      <c r="F1016" s="12" t="s">
        <v>111</v>
      </c>
      <c r="G1016" s="5" t="s">
        <v>3</v>
      </c>
      <c r="H1016" s="5" t="s">
        <v>3947</v>
      </c>
      <c r="I1016" s="5" t="s">
        <v>112</v>
      </c>
      <c r="J1016" s="8"/>
      <c r="K1016" s="5"/>
      <c r="L1016" s="5"/>
      <c r="M1016" s="5" t="s">
        <v>113</v>
      </c>
      <c r="N1016" s="16"/>
      <c r="O1016" s="4" t="s">
        <v>3910</v>
      </c>
      <c r="P1016" s="17">
        <v>97008940504</v>
      </c>
      <c r="Q1016" s="6" t="s">
        <v>11</v>
      </c>
      <c r="R1016" s="3">
        <v>0</v>
      </c>
      <c r="S1016" s="3">
        <f t="shared" si="50"/>
        <v>550</v>
      </c>
      <c r="T1016" s="3">
        <f t="shared" si="51"/>
        <v>0</v>
      </c>
      <c r="U1016" s="7"/>
      <c r="V1016" s="9" t="s">
        <v>6</v>
      </c>
      <c r="W1016" s="11">
        <v>46252</v>
      </c>
      <c r="X1016" s="11"/>
    </row>
    <row r="1017" spans="1:24" ht="15" x14ac:dyDescent="0.3">
      <c r="A1017" s="3">
        <v>60</v>
      </c>
      <c r="B1017" s="3" t="s">
        <v>7958</v>
      </c>
      <c r="C1017" s="14" t="s">
        <v>3915</v>
      </c>
      <c r="D1017" s="14" t="s">
        <v>2504</v>
      </c>
      <c r="E1017" s="14" t="s">
        <v>7959</v>
      </c>
      <c r="F1017" s="14" t="s">
        <v>2445</v>
      </c>
      <c r="G1017" s="14" t="s">
        <v>3</v>
      </c>
      <c r="H1017" s="14" t="s">
        <v>2505</v>
      </c>
      <c r="I1017" s="14" t="s">
        <v>2506</v>
      </c>
      <c r="J1017" s="14" t="s">
        <v>60</v>
      </c>
      <c r="K1017" s="14" t="s">
        <v>60</v>
      </c>
      <c r="L1017" s="14" t="s">
        <v>60</v>
      </c>
      <c r="M1017" s="14" t="s">
        <v>2507</v>
      </c>
      <c r="N1017" s="14" t="s">
        <v>60</v>
      </c>
      <c r="O1017" s="14" t="s">
        <v>60</v>
      </c>
      <c r="P1017" s="14" t="s">
        <v>7960</v>
      </c>
      <c r="Q1017" s="14" t="s">
        <v>11</v>
      </c>
      <c r="R1017" s="3">
        <v>0</v>
      </c>
      <c r="S1017" s="3">
        <f t="shared" si="50"/>
        <v>770</v>
      </c>
      <c r="T1017" s="3">
        <f t="shared" si="51"/>
        <v>0</v>
      </c>
      <c r="U1017" s="3" t="s">
        <v>60</v>
      </c>
      <c r="V1017" s="14" t="s">
        <v>6</v>
      </c>
      <c r="W1017" s="14" t="s">
        <v>7866</v>
      </c>
      <c r="X1017" s="14" t="s">
        <v>60</v>
      </c>
    </row>
    <row r="1018" spans="1:24" ht="15" x14ac:dyDescent="0.3">
      <c r="A1018" s="3">
        <v>61</v>
      </c>
      <c r="B1018" s="3" t="s">
        <v>7961</v>
      </c>
      <c r="C1018" s="14" t="s">
        <v>91</v>
      </c>
      <c r="D1018" s="14" t="s">
        <v>2485</v>
      </c>
      <c r="E1018" s="14" t="s">
        <v>7962</v>
      </c>
      <c r="F1018" s="14" t="s">
        <v>2486</v>
      </c>
      <c r="G1018" s="14" t="s">
        <v>3</v>
      </c>
      <c r="H1018" s="14" t="s">
        <v>7963</v>
      </c>
      <c r="I1018" s="14" t="s">
        <v>2487</v>
      </c>
      <c r="J1018" s="14" t="s">
        <v>60</v>
      </c>
      <c r="K1018" s="14" t="s">
        <v>60</v>
      </c>
      <c r="L1018" s="14" t="s">
        <v>60</v>
      </c>
      <c r="M1018" s="14" t="s">
        <v>2488</v>
      </c>
      <c r="N1018" s="14" t="s">
        <v>60</v>
      </c>
      <c r="O1018" s="14" t="s">
        <v>60</v>
      </c>
      <c r="P1018" s="14" t="s">
        <v>7964</v>
      </c>
      <c r="Q1018" s="14" t="s">
        <v>2463</v>
      </c>
      <c r="R1018" s="3">
        <v>0</v>
      </c>
      <c r="S1018" s="3">
        <f t="shared" si="50"/>
        <v>770</v>
      </c>
      <c r="T1018" s="3">
        <f t="shared" si="51"/>
        <v>0</v>
      </c>
      <c r="U1018" s="3" t="s">
        <v>7965</v>
      </c>
      <c r="V1018" s="14" t="s">
        <v>6</v>
      </c>
      <c r="W1018" s="14" t="s">
        <v>7866</v>
      </c>
      <c r="X1018" s="14" t="s">
        <v>60</v>
      </c>
    </row>
    <row r="1019" spans="1:24" ht="15" x14ac:dyDescent="0.3">
      <c r="A1019" s="3">
        <v>62</v>
      </c>
      <c r="B1019" s="3" t="s">
        <v>7966</v>
      </c>
      <c r="C1019" s="14" t="s">
        <v>0</v>
      </c>
      <c r="D1019" s="14" t="s">
        <v>4056</v>
      </c>
      <c r="E1019" s="14" t="s">
        <v>7967</v>
      </c>
      <c r="F1019" s="14" t="s">
        <v>4057</v>
      </c>
      <c r="G1019" s="14" t="s">
        <v>3</v>
      </c>
      <c r="H1019" s="14" t="s">
        <v>4072</v>
      </c>
      <c r="I1019" s="14" t="s">
        <v>4073</v>
      </c>
      <c r="J1019" s="14" t="s">
        <v>60</v>
      </c>
      <c r="K1019" s="14" t="s">
        <v>60</v>
      </c>
      <c r="L1019" s="14" t="s">
        <v>60</v>
      </c>
      <c r="M1019" s="14" t="s">
        <v>4066</v>
      </c>
      <c r="N1019" s="14" t="s">
        <v>60</v>
      </c>
      <c r="O1019" s="14" t="s">
        <v>3910</v>
      </c>
      <c r="P1019" s="14" t="s">
        <v>4074</v>
      </c>
      <c r="Q1019" s="14" t="s">
        <v>4058</v>
      </c>
      <c r="R1019" s="3">
        <v>0</v>
      </c>
      <c r="S1019" s="3">
        <f t="shared" si="50"/>
        <v>550</v>
      </c>
      <c r="T1019" s="3">
        <f t="shared" si="51"/>
        <v>0</v>
      </c>
      <c r="U1019" s="3" t="s">
        <v>60</v>
      </c>
      <c r="V1019" s="14" t="s">
        <v>6</v>
      </c>
      <c r="W1019" s="14" t="s">
        <v>4483</v>
      </c>
      <c r="X1019" s="14" t="s">
        <v>60</v>
      </c>
    </row>
    <row r="1020" spans="1:24" ht="15.6" x14ac:dyDescent="0.3">
      <c r="A1020" s="3">
        <v>63</v>
      </c>
      <c r="B1020" s="25" t="s">
        <v>7968</v>
      </c>
      <c r="C1020" s="14" t="s">
        <v>0</v>
      </c>
      <c r="D1020" s="14" t="s">
        <v>2459</v>
      </c>
      <c r="E1020" s="14" t="s">
        <v>7969</v>
      </c>
      <c r="F1020" s="14" t="s">
        <v>2460</v>
      </c>
      <c r="G1020" s="14" t="s">
        <v>3</v>
      </c>
      <c r="H1020" s="14" t="s">
        <v>7970</v>
      </c>
      <c r="I1020" s="14" t="s">
        <v>2461</v>
      </c>
      <c r="J1020" s="14" t="s">
        <v>60</v>
      </c>
      <c r="K1020" s="14" t="s">
        <v>60</v>
      </c>
      <c r="L1020" s="14" t="s">
        <v>60</v>
      </c>
      <c r="M1020" s="14" t="s">
        <v>2462</v>
      </c>
      <c r="N1020" s="14" t="s">
        <v>60</v>
      </c>
      <c r="O1020" s="14" t="s">
        <v>60</v>
      </c>
      <c r="P1020" s="14" t="s">
        <v>7971</v>
      </c>
      <c r="Q1020" s="14" t="s">
        <v>2463</v>
      </c>
      <c r="R1020" s="3">
        <v>0</v>
      </c>
      <c r="S1020" s="3">
        <f t="shared" si="50"/>
        <v>550</v>
      </c>
      <c r="T1020" s="3">
        <f t="shared" si="51"/>
        <v>0</v>
      </c>
      <c r="U1020" s="3" t="s">
        <v>60</v>
      </c>
      <c r="V1020" s="14" t="s">
        <v>6</v>
      </c>
      <c r="W1020" s="14" t="s">
        <v>4495</v>
      </c>
      <c r="X1020" s="14" t="s">
        <v>60</v>
      </c>
    </row>
    <row r="1021" spans="1:24" ht="15.6" x14ac:dyDescent="0.3">
      <c r="A1021" s="3">
        <v>64</v>
      </c>
      <c r="B1021" s="25" t="s">
        <v>7972</v>
      </c>
      <c r="C1021" s="14" t="s">
        <v>0</v>
      </c>
      <c r="D1021" s="14" t="s">
        <v>7973</v>
      </c>
      <c r="E1021" s="14" t="s">
        <v>7974</v>
      </c>
      <c r="F1021" s="14" t="s">
        <v>7975</v>
      </c>
      <c r="G1021" s="14" t="s">
        <v>3</v>
      </c>
      <c r="H1021" s="14" t="s">
        <v>7976</v>
      </c>
      <c r="I1021" s="14" t="s">
        <v>7977</v>
      </c>
      <c r="J1021" s="14" t="s">
        <v>60</v>
      </c>
      <c r="K1021" s="14" t="s">
        <v>60</v>
      </c>
      <c r="L1021" s="14" t="s">
        <v>60</v>
      </c>
      <c r="M1021" s="14" t="s">
        <v>7978</v>
      </c>
      <c r="N1021" s="14" t="s">
        <v>60</v>
      </c>
      <c r="O1021" s="14" t="s">
        <v>60</v>
      </c>
      <c r="P1021" s="14" t="s">
        <v>7979</v>
      </c>
      <c r="Q1021" s="14" t="s">
        <v>11</v>
      </c>
      <c r="R1021" s="3">
        <v>0</v>
      </c>
      <c r="S1021" s="3">
        <f t="shared" si="50"/>
        <v>550</v>
      </c>
      <c r="T1021" s="3">
        <f t="shared" si="51"/>
        <v>0</v>
      </c>
      <c r="U1021" s="3" t="s">
        <v>60</v>
      </c>
      <c r="V1021" s="14" t="s">
        <v>6</v>
      </c>
      <c r="W1021" s="14" t="s">
        <v>7980</v>
      </c>
      <c r="X1021" s="14" t="s">
        <v>60</v>
      </c>
    </row>
    <row r="1022" spans="1:24" ht="45" x14ac:dyDescent="0.3">
      <c r="A1022" s="3">
        <v>65</v>
      </c>
      <c r="B1022" s="25" t="s">
        <v>7981</v>
      </c>
      <c r="C1022" s="14" t="s">
        <v>0</v>
      </c>
      <c r="D1022" s="14" t="s">
        <v>7982</v>
      </c>
      <c r="E1022" s="14" t="s">
        <v>5258</v>
      </c>
      <c r="F1022" s="14" t="s">
        <v>7983</v>
      </c>
      <c r="G1022" s="14" t="s">
        <v>3</v>
      </c>
      <c r="H1022" s="14" t="s">
        <v>7984</v>
      </c>
      <c r="I1022" s="33" t="s">
        <v>7985</v>
      </c>
      <c r="J1022" s="14" t="s">
        <v>60</v>
      </c>
      <c r="K1022" s="14" t="s">
        <v>60</v>
      </c>
      <c r="L1022" s="14" t="s">
        <v>60</v>
      </c>
      <c r="M1022" s="14" t="s">
        <v>7986</v>
      </c>
      <c r="N1022" s="14" t="s">
        <v>60</v>
      </c>
      <c r="O1022" s="14" t="s">
        <v>60</v>
      </c>
      <c r="P1022" s="14" t="s">
        <v>7987</v>
      </c>
      <c r="Q1022" s="14" t="s">
        <v>7988</v>
      </c>
      <c r="R1022" s="3">
        <v>0</v>
      </c>
      <c r="S1022" s="3">
        <f t="shared" ref="S1022:S1023" si="52">IF(RIGHT(C1022,3)="MAZ",550,IF(RIGHT(C1022,4)="MATE",570,IF(RIGHT(C1022,7)="SKD-III",640,IF(RIGHT(C1022,6)="SKD-II",770,IF(RIGHT(C1022,5)="SKD-I",900,IF(RIGHT(C1022,5)="CPDVR",770,""))))))</f>
        <v>550</v>
      </c>
      <c r="T1022" s="3">
        <f t="shared" ref="T1022:T1023" si="53">R1022*S1022</f>
        <v>0</v>
      </c>
      <c r="U1022" s="3" t="s">
        <v>60</v>
      </c>
      <c r="V1022" s="14" t="s">
        <v>6</v>
      </c>
      <c r="W1022" s="14" t="s">
        <v>7980</v>
      </c>
      <c r="X1022" s="14" t="s">
        <v>60</v>
      </c>
    </row>
    <row r="1023" spans="1:24" ht="15.6" x14ac:dyDescent="0.3">
      <c r="A1023" s="3">
        <v>66</v>
      </c>
      <c r="B1023" s="25" t="s">
        <v>7989</v>
      </c>
      <c r="C1023" s="14" t="s">
        <v>0</v>
      </c>
      <c r="D1023" s="14" t="s">
        <v>7990</v>
      </c>
      <c r="E1023" s="14" t="s">
        <v>7991</v>
      </c>
      <c r="F1023" s="14" t="s">
        <v>7992</v>
      </c>
      <c r="G1023" s="14" t="s">
        <v>3</v>
      </c>
      <c r="H1023" s="14" t="s">
        <v>7993</v>
      </c>
      <c r="I1023" s="14" t="s">
        <v>7994</v>
      </c>
      <c r="J1023" s="14" t="s">
        <v>60</v>
      </c>
      <c r="K1023" s="14" t="s">
        <v>60</v>
      </c>
      <c r="L1023" s="14" t="s">
        <v>60</v>
      </c>
      <c r="M1023" s="14" t="s">
        <v>7995</v>
      </c>
      <c r="N1023" s="14" t="s">
        <v>60</v>
      </c>
      <c r="O1023" s="14" t="s">
        <v>60</v>
      </c>
      <c r="P1023" s="14" t="s">
        <v>7996</v>
      </c>
      <c r="Q1023" s="14" t="s">
        <v>7997</v>
      </c>
      <c r="R1023" s="3">
        <v>0</v>
      </c>
      <c r="S1023" s="3">
        <f t="shared" si="52"/>
        <v>550</v>
      </c>
      <c r="T1023" s="3">
        <f t="shared" si="53"/>
        <v>0</v>
      </c>
      <c r="U1023" s="3" t="s">
        <v>7998</v>
      </c>
      <c r="V1023" s="14" t="s">
        <v>6</v>
      </c>
      <c r="W1023" s="14" t="s">
        <v>7999</v>
      </c>
      <c r="X1023" s="14" t="s">
        <v>60</v>
      </c>
    </row>
    <row r="1024" spans="1:24" ht="15.6" x14ac:dyDescent="0.3">
      <c r="A1024" s="26" t="s">
        <v>60</v>
      </c>
      <c r="B1024" s="26" t="s">
        <v>60</v>
      </c>
      <c r="C1024" s="27" t="s">
        <v>60</v>
      </c>
      <c r="D1024" s="27" t="s">
        <v>60</v>
      </c>
      <c r="E1024" s="27" t="s">
        <v>60</v>
      </c>
      <c r="F1024" s="27" t="s">
        <v>60</v>
      </c>
      <c r="G1024" s="27" t="s">
        <v>60</v>
      </c>
      <c r="H1024" s="27" t="s">
        <v>60</v>
      </c>
      <c r="I1024" s="27" t="s">
        <v>60</v>
      </c>
      <c r="J1024" s="27" t="s">
        <v>60</v>
      </c>
      <c r="K1024" s="27" t="s">
        <v>60</v>
      </c>
      <c r="L1024" s="27" t="s">
        <v>60</v>
      </c>
      <c r="M1024" s="27" t="s">
        <v>60</v>
      </c>
      <c r="N1024" s="27" t="s">
        <v>60</v>
      </c>
      <c r="O1024" s="27" t="s">
        <v>60</v>
      </c>
      <c r="P1024" s="27" t="s">
        <v>60</v>
      </c>
      <c r="Q1024" s="27" t="s">
        <v>60</v>
      </c>
      <c r="R1024" s="35" t="s">
        <v>2009</v>
      </c>
      <c r="S1024" s="35" t="s">
        <v>60</v>
      </c>
      <c r="T1024" s="26">
        <f>SUM(T957:T1023)</f>
        <v>0</v>
      </c>
      <c r="U1024" s="26" t="s">
        <v>8000</v>
      </c>
      <c r="V1024" s="27" t="s">
        <v>60</v>
      </c>
      <c r="W1024" s="27" t="s">
        <v>60</v>
      </c>
      <c r="X1024" s="27" t="s">
        <v>60</v>
      </c>
    </row>
    <row r="1025" spans="1:24" ht="15.6" x14ac:dyDescent="0.3">
      <c r="A1025" s="34" t="s">
        <v>8001</v>
      </c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</row>
    <row r="1026" spans="1:24" ht="109.2" x14ac:dyDescent="0.3">
      <c r="A1026" s="23" t="s">
        <v>42</v>
      </c>
      <c r="B1026" s="23" t="s">
        <v>43</v>
      </c>
      <c r="C1026" s="24" t="s">
        <v>44</v>
      </c>
      <c r="D1026" s="24" t="s">
        <v>4154</v>
      </c>
      <c r="E1026" s="24" t="s">
        <v>4155</v>
      </c>
      <c r="F1026" s="24" t="s">
        <v>4156</v>
      </c>
      <c r="G1026" s="24" t="s">
        <v>45</v>
      </c>
      <c r="H1026" s="24" t="s">
        <v>4157</v>
      </c>
      <c r="I1026" s="24" t="s">
        <v>46</v>
      </c>
      <c r="J1026" s="24" t="s">
        <v>4158</v>
      </c>
      <c r="K1026" s="24" t="s">
        <v>4159</v>
      </c>
      <c r="L1026" s="24" t="s">
        <v>4160</v>
      </c>
      <c r="M1026" s="24" t="s">
        <v>4161</v>
      </c>
      <c r="N1026" s="24" t="s">
        <v>47</v>
      </c>
      <c r="O1026" s="24" t="s">
        <v>48</v>
      </c>
      <c r="P1026" s="24" t="s">
        <v>49</v>
      </c>
      <c r="Q1026" s="24" t="s">
        <v>50</v>
      </c>
      <c r="R1026" s="23" t="s">
        <v>4162</v>
      </c>
      <c r="S1026" s="23" t="s">
        <v>4163</v>
      </c>
      <c r="T1026" s="23" t="s">
        <v>4164</v>
      </c>
      <c r="U1026" s="23" t="s">
        <v>4165</v>
      </c>
      <c r="V1026" s="24" t="s">
        <v>51</v>
      </c>
      <c r="W1026" s="24" t="s">
        <v>52</v>
      </c>
      <c r="X1026" s="24" t="s">
        <v>53</v>
      </c>
    </row>
    <row r="1027" spans="1:24" ht="15" x14ac:dyDescent="0.3">
      <c r="A1027" s="3">
        <v>1</v>
      </c>
      <c r="B1027" s="3" t="s">
        <v>8002</v>
      </c>
      <c r="C1027" s="14" t="s">
        <v>26</v>
      </c>
      <c r="D1027" s="14" t="s">
        <v>2469</v>
      </c>
      <c r="E1027" s="14" t="s">
        <v>8003</v>
      </c>
      <c r="F1027" s="14" t="s">
        <v>2470</v>
      </c>
      <c r="G1027" s="14" t="s">
        <v>3</v>
      </c>
      <c r="H1027" s="14" t="s">
        <v>8004</v>
      </c>
      <c r="I1027" s="14" t="s">
        <v>2471</v>
      </c>
      <c r="J1027" s="14" t="s">
        <v>60</v>
      </c>
      <c r="K1027" s="14" t="s">
        <v>60</v>
      </c>
      <c r="L1027" s="14" t="s">
        <v>60</v>
      </c>
      <c r="M1027" s="14" t="s">
        <v>2472</v>
      </c>
      <c r="N1027" s="14" t="s">
        <v>60</v>
      </c>
      <c r="O1027" s="14" t="s">
        <v>60</v>
      </c>
      <c r="P1027" s="14" t="s">
        <v>8005</v>
      </c>
      <c r="Q1027" s="14" t="s">
        <v>2463</v>
      </c>
      <c r="R1027" s="3">
        <v>0</v>
      </c>
      <c r="S1027" s="3">
        <f t="shared" ref="S1027:S1062" si="54">IF(RIGHT(C1027,3)="MAZ",550,IF(RIGHT(C1027,4)="MATE",570,IF(RIGHT(C1027,7)="SKD-III",640,IF(RIGHT(C1027,6)="SKD-II",770,IF(RIGHT(C1027,5)="SKD-I",900,IF(RIGHT(C1027,5)="CPDVR",770,""))))))</f>
        <v>770</v>
      </c>
      <c r="T1027" s="3">
        <f t="shared" ref="T1027:T1062" si="55">R1027*S1027</f>
        <v>0</v>
      </c>
      <c r="U1027" s="3" t="s">
        <v>60</v>
      </c>
      <c r="V1027" s="14" t="s">
        <v>6</v>
      </c>
      <c r="W1027" s="14" t="s">
        <v>7850</v>
      </c>
      <c r="X1027" s="14" t="s">
        <v>60</v>
      </c>
    </row>
    <row r="1028" spans="1:24" ht="15" x14ac:dyDescent="0.3">
      <c r="A1028" s="3">
        <v>2</v>
      </c>
      <c r="B1028" s="3" t="s">
        <v>8006</v>
      </c>
      <c r="C1028" s="14" t="s">
        <v>0</v>
      </c>
      <c r="D1028" s="14" t="s">
        <v>2547</v>
      </c>
      <c r="E1028" s="14" t="s">
        <v>4440</v>
      </c>
      <c r="F1028" s="14" t="s">
        <v>2548</v>
      </c>
      <c r="G1028" s="14" t="s">
        <v>3</v>
      </c>
      <c r="H1028" s="14" t="s">
        <v>8007</v>
      </c>
      <c r="I1028" s="14" t="s">
        <v>2549</v>
      </c>
      <c r="J1028" s="14" t="s">
        <v>60</v>
      </c>
      <c r="K1028" s="14" t="s">
        <v>60</v>
      </c>
      <c r="L1028" s="14" t="s">
        <v>60</v>
      </c>
      <c r="M1028" s="14" t="s">
        <v>2550</v>
      </c>
      <c r="N1028" s="14" t="s">
        <v>60</v>
      </c>
      <c r="O1028" s="14" t="s">
        <v>388</v>
      </c>
      <c r="P1028" s="14" t="s">
        <v>8008</v>
      </c>
      <c r="Q1028" s="14" t="s">
        <v>11</v>
      </c>
      <c r="R1028" s="3">
        <v>0</v>
      </c>
      <c r="S1028" s="3">
        <f t="shared" si="54"/>
        <v>550</v>
      </c>
      <c r="T1028" s="3">
        <f t="shared" si="55"/>
        <v>0</v>
      </c>
      <c r="U1028" s="3" t="s">
        <v>60</v>
      </c>
      <c r="V1028" s="14" t="s">
        <v>6</v>
      </c>
      <c r="W1028" s="14" t="s">
        <v>6925</v>
      </c>
      <c r="X1028" s="14" t="s">
        <v>60</v>
      </c>
    </row>
    <row r="1029" spans="1:24" ht="15" x14ac:dyDescent="0.3">
      <c r="A1029" s="3">
        <v>3</v>
      </c>
      <c r="B1029" s="3" t="s">
        <v>8009</v>
      </c>
      <c r="C1029" s="14" t="s">
        <v>0</v>
      </c>
      <c r="D1029" s="14" t="s">
        <v>2551</v>
      </c>
      <c r="E1029" s="14" t="s">
        <v>8010</v>
      </c>
      <c r="F1029" s="14" t="s">
        <v>2552</v>
      </c>
      <c r="G1029" s="14" t="s">
        <v>3</v>
      </c>
      <c r="H1029" s="14" t="s">
        <v>8011</v>
      </c>
      <c r="I1029" s="14" t="s">
        <v>2553</v>
      </c>
      <c r="J1029" s="14" t="s">
        <v>60</v>
      </c>
      <c r="K1029" s="14" t="s">
        <v>60</v>
      </c>
      <c r="L1029" s="14" t="s">
        <v>60</v>
      </c>
      <c r="M1029" s="14" t="s">
        <v>2554</v>
      </c>
      <c r="N1029" s="14" t="s">
        <v>60</v>
      </c>
      <c r="O1029" s="14" t="s">
        <v>388</v>
      </c>
      <c r="P1029" s="14" t="s">
        <v>8012</v>
      </c>
      <c r="Q1029" s="14" t="s">
        <v>11</v>
      </c>
      <c r="R1029" s="3">
        <v>0</v>
      </c>
      <c r="S1029" s="3">
        <f t="shared" si="54"/>
        <v>550</v>
      </c>
      <c r="T1029" s="3">
        <f t="shared" si="55"/>
        <v>0</v>
      </c>
      <c r="U1029" s="3" t="s">
        <v>60</v>
      </c>
      <c r="V1029" s="14" t="s">
        <v>6</v>
      </c>
      <c r="W1029" s="14" t="s">
        <v>6925</v>
      </c>
      <c r="X1029" s="14" t="s">
        <v>60</v>
      </c>
    </row>
    <row r="1030" spans="1:24" ht="15" x14ac:dyDescent="0.3">
      <c r="A1030" s="3">
        <v>4</v>
      </c>
      <c r="B1030" s="3" t="s">
        <v>8013</v>
      </c>
      <c r="C1030" s="14" t="s">
        <v>0</v>
      </c>
      <c r="D1030" s="14" t="s">
        <v>2555</v>
      </c>
      <c r="E1030" s="14" t="s">
        <v>4430</v>
      </c>
      <c r="F1030" s="14" t="s">
        <v>2556</v>
      </c>
      <c r="G1030" s="14" t="s">
        <v>3</v>
      </c>
      <c r="H1030" s="14" t="s">
        <v>8014</v>
      </c>
      <c r="I1030" s="14" t="s">
        <v>2557</v>
      </c>
      <c r="J1030" s="14" t="s">
        <v>60</v>
      </c>
      <c r="K1030" s="14" t="s">
        <v>60</v>
      </c>
      <c r="L1030" s="14" t="s">
        <v>60</v>
      </c>
      <c r="M1030" s="14" t="s">
        <v>2558</v>
      </c>
      <c r="N1030" s="14" t="s">
        <v>60</v>
      </c>
      <c r="O1030" s="14" t="s">
        <v>388</v>
      </c>
      <c r="P1030" s="14" t="s">
        <v>8015</v>
      </c>
      <c r="Q1030" s="14" t="s">
        <v>11</v>
      </c>
      <c r="R1030" s="3">
        <v>0</v>
      </c>
      <c r="S1030" s="3">
        <f t="shared" si="54"/>
        <v>550</v>
      </c>
      <c r="T1030" s="3">
        <f t="shared" si="55"/>
        <v>0</v>
      </c>
      <c r="U1030" s="3" t="s">
        <v>60</v>
      </c>
      <c r="V1030" s="14" t="s">
        <v>6</v>
      </c>
      <c r="W1030" s="14" t="s">
        <v>6925</v>
      </c>
      <c r="X1030" s="14" t="s">
        <v>60</v>
      </c>
    </row>
    <row r="1031" spans="1:24" ht="15" x14ac:dyDescent="0.3">
      <c r="A1031" s="3">
        <v>5</v>
      </c>
      <c r="B1031" s="3" t="s">
        <v>8016</v>
      </c>
      <c r="C1031" s="14" t="s">
        <v>0</v>
      </c>
      <c r="D1031" s="14" t="s">
        <v>2559</v>
      </c>
      <c r="E1031" s="14" t="s">
        <v>4778</v>
      </c>
      <c r="F1031" s="14" t="s">
        <v>2560</v>
      </c>
      <c r="G1031" s="14" t="s">
        <v>3</v>
      </c>
      <c r="H1031" s="14" t="s">
        <v>8017</v>
      </c>
      <c r="I1031" s="14" t="s">
        <v>2561</v>
      </c>
      <c r="J1031" s="14" t="s">
        <v>60</v>
      </c>
      <c r="K1031" s="14" t="s">
        <v>60</v>
      </c>
      <c r="L1031" s="14" t="s">
        <v>60</v>
      </c>
      <c r="M1031" s="14" t="s">
        <v>2562</v>
      </c>
      <c r="N1031" s="14" t="s">
        <v>60</v>
      </c>
      <c r="O1031" s="14" t="s">
        <v>388</v>
      </c>
      <c r="P1031" s="14" t="s">
        <v>8018</v>
      </c>
      <c r="Q1031" s="14" t="s">
        <v>11</v>
      </c>
      <c r="R1031" s="3">
        <v>0</v>
      </c>
      <c r="S1031" s="3">
        <f t="shared" si="54"/>
        <v>550</v>
      </c>
      <c r="T1031" s="3">
        <f t="shared" si="55"/>
        <v>0</v>
      </c>
      <c r="U1031" s="3" t="s">
        <v>60</v>
      </c>
      <c r="V1031" s="14" t="s">
        <v>6</v>
      </c>
      <c r="W1031" s="14" t="s">
        <v>6925</v>
      </c>
      <c r="X1031" s="14" t="s">
        <v>60</v>
      </c>
    </row>
    <row r="1032" spans="1:24" ht="15" x14ac:dyDescent="0.3">
      <c r="A1032" s="3">
        <v>6</v>
      </c>
      <c r="B1032" s="3" t="s">
        <v>8019</v>
      </c>
      <c r="C1032" s="14" t="s">
        <v>0</v>
      </c>
      <c r="D1032" s="14" t="s">
        <v>2563</v>
      </c>
      <c r="E1032" s="14" t="s">
        <v>6442</v>
      </c>
      <c r="F1032" s="14" t="s">
        <v>2564</v>
      </c>
      <c r="G1032" s="14" t="s">
        <v>3</v>
      </c>
      <c r="H1032" s="14" t="s">
        <v>8020</v>
      </c>
      <c r="I1032" s="14" t="s">
        <v>2565</v>
      </c>
      <c r="J1032" s="14" t="s">
        <v>60</v>
      </c>
      <c r="K1032" s="14" t="s">
        <v>60</v>
      </c>
      <c r="L1032" s="14" t="s">
        <v>60</v>
      </c>
      <c r="M1032" s="14" t="s">
        <v>2566</v>
      </c>
      <c r="N1032" s="14" t="s">
        <v>60</v>
      </c>
      <c r="O1032" s="14" t="s">
        <v>388</v>
      </c>
      <c r="P1032" s="14" t="s">
        <v>8021</v>
      </c>
      <c r="Q1032" s="14" t="s">
        <v>11</v>
      </c>
      <c r="R1032" s="3">
        <v>0</v>
      </c>
      <c r="S1032" s="3">
        <f t="shared" si="54"/>
        <v>550</v>
      </c>
      <c r="T1032" s="3">
        <f t="shared" si="55"/>
        <v>0</v>
      </c>
      <c r="U1032" s="3" t="s">
        <v>60</v>
      </c>
      <c r="V1032" s="14" t="s">
        <v>6</v>
      </c>
      <c r="W1032" s="14" t="s">
        <v>6925</v>
      </c>
      <c r="X1032" s="14" t="s">
        <v>60</v>
      </c>
    </row>
    <row r="1033" spans="1:24" ht="15" x14ac:dyDescent="0.3">
      <c r="A1033" s="3">
        <v>7</v>
      </c>
      <c r="B1033" s="3" t="s">
        <v>8022</v>
      </c>
      <c r="C1033" s="14" t="s">
        <v>0</v>
      </c>
      <c r="D1033" s="14" t="s">
        <v>2567</v>
      </c>
      <c r="E1033" s="14" t="s">
        <v>5258</v>
      </c>
      <c r="F1033" s="14" t="s">
        <v>2568</v>
      </c>
      <c r="G1033" s="14" t="s">
        <v>3</v>
      </c>
      <c r="H1033" s="14" t="s">
        <v>8023</v>
      </c>
      <c r="I1033" s="14" t="s">
        <v>2569</v>
      </c>
      <c r="J1033" s="14" t="s">
        <v>60</v>
      </c>
      <c r="K1033" s="14" t="s">
        <v>60</v>
      </c>
      <c r="L1033" s="14" t="s">
        <v>60</v>
      </c>
      <c r="M1033" s="14" t="s">
        <v>2570</v>
      </c>
      <c r="N1033" s="14" t="s">
        <v>60</v>
      </c>
      <c r="O1033" s="14" t="s">
        <v>388</v>
      </c>
      <c r="P1033" s="14" t="s">
        <v>8024</v>
      </c>
      <c r="Q1033" s="14" t="s">
        <v>11</v>
      </c>
      <c r="R1033" s="3">
        <v>0</v>
      </c>
      <c r="S1033" s="3">
        <f t="shared" si="54"/>
        <v>550</v>
      </c>
      <c r="T1033" s="3">
        <f t="shared" si="55"/>
        <v>0</v>
      </c>
      <c r="U1033" s="3" t="s">
        <v>60</v>
      </c>
      <c r="V1033" s="14" t="s">
        <v>6</v>
      </c>
      <c r="W1033" s="14" t="s">
        <v>6925</v>
      </c>
      <c r="X1033" s="14" t="s">
        <v>60</v>
      </c>
    </row>
    <row r="1034" spans="1:24" ht="15" x14ac:dyDescent="0.3">
      <c r="A1034" s="3">
        <v>8</v>
      </c>
      <c r="B1034" s="3" t="s">
        <v>8025</v>
      </c>
      <c r="C1034" s="14" t="s">
        <v>0</v>
      </c>
      <c r="D1034" s="14" t="s">
        <v>2571</v>
      </c>
      <c r="E1034" s="14" t="s">
        <v>5390</v>
      </c>
      <c r="F1034" s="14" t="s">
        <v>2572</v>
      </c>
      <c r="G1034" s="14" t="s">
        <v>3</v>
      </c>
      <c r="H1034" s="14" t="s">
        <v>8026</v>
      </c>
      <c r="I1034" s="14" t="s">
        <v>2573</v>
      </c>
      <c r="J1034" s="14" t="s">
        <v>60</v>
      </c>
      <c r="K1034" s="14" t="s">
        <v>60</v>
      </c>
      <c r="L1034" s="14" t="s">
        <v>60</v>
      </c>
      <c r="M1034" s="14" t="s">
        <v>2574</v>
      </c>
      <c r="N1034" s="14" t="s">
        <v>60</v>
      </c>
      <c r="O1034" s="14" t="s">
        <v>388</v>
      </c>
      <c r="P1034" s="14" t="s">
        <v>8027</v>
      </c>
      <c r="Q1034" s="14" t="s">
        <v>11</v>
      </c>
      <c r="R1034" s="3">
        <v>0</v>
      </c>
      <c r="S1034" s="3">
        <f t="shared" si="54"/>
        <v>550</v>
      </c>
      <c r="T1034" s="3">
        <f t="shared" si="55"/>
        <v>0</v>
      </c>
      <c r="U1034" s="3" t="s">
        <v>60</v>
      </c>
      <c r="V1034" s="14" t="s">
        <v>6</v>
      </c>
      <c r="W1034" s="14" t="s">
        <v>8028</v>
      </c>
      <c r="X1034" s="14" t="s">
        <v>60</v>
      </c>
    </row>
    <row r="1035" spans="1:24" ht="15" x14ac:dyDescent="0.3">
      <c r="A1035" s="3">
        <v>9</v>
      </c>
      <c r="B1035" s="3" t="s">
        <v>8029</v>
      </c>
      <c r="C1035" s="14" t="s">
        <v>0</v>
      </c>
      <c r="D1035" s="14" t="s">
        <v>2578</v>
      </c>
      <c r="E1035" s="14" t="s">
        <v>8030</v>
      </c>
      <c r="F1035" s="14" t="s">
        <v>2469</v>
      </c>
      <c r="G1035" s="14" t="s">
        <v>3</v>
      </c>
      <c r="H1035" s="14" t="s">
        <v>8031</v>
      </c>
      <c r="I1035" s="14" t="s">
        <v>2579</v>
      </c>
      <c r="J1035" s="14" t="s">
        <v>60</v>
      </c>
      <c r="K1035" s="14" t="s">
        <v>60</v>
      </c>
      <c r="L1035" s="14" t="s">
        <v>60</v>
      </c>
      <c r="M1035" s="14" t="s">
        <v>2580</v>
      </c>
      <c r="N1035" s="14" t="s">
        <v>60</v>
      </c>
      <c r="O1035" s="14" t="s">
        <v>60</v>
      </c>
      <c r="P1035" s="14" t="s">
        <v>8032</v>
      </c>
      <c r="Q1035" s="14" t="s">
        <v>2463</v>
      </c>
      <c r="R1035" s="3">
        <v>0</v>
      </c>
      <c r="S1035" s="3">
        <f t="shared" si="54"/>
        <v>550</v>
      </c>
      <c r="T1035" s="3">
        <f t="shared" si="55"/>
        <v>0</v>
      </c>
      <c r="U1035" s="3" t="s">
        <v>60</v>
      </c>
      <c r="V1035" s="14" t="s">
        <v>6</v>
      </c>
      <c r="W1035" s="14" t="s">
        <v>8033</v>
      </c>
      <c r="X1035" s="14" t="s">
        <v>60</v>
      </c>
    </row>
    <row r="1036" spans="1:24" ht="15" x14ac:dyDescent="0.3">
      <c r="A1036" s="3">
        <v>10</v>
      </c>
      <c r="B1036" s="3" t="s">
        <v>8034</v>
      </c>
      <c r="C1036" s="14" t="s">
        <v>0</v>
      </c>
      <c r="D1036" s="14" t="s">
        <v>2581</v>
      </c>
      <c r="E1036" s="14" t="s">
        <v>8035</v>
      </c>
      <c r="F1036" s="14" t="s">
        <v>2535</v>
      </c>
      <c r="G1036" s="14" t="s">
        <v>3</v>
      </c>
      <c r="H1036" s="14" t="s">
        <v>8036</v>
      </c>
      <c r="I1036" s="14" t="s">
        <v>2582</v>
      </c>
      <c r="J1036" s="14" t="s">
        <v>60</v>
      </c>
      <c r="K1036" s="14" t="s">
        <v>60</v>
      </c>
      <c r="L1036" s="14" t="s">
        <v>60</v>
      </c>
      <c r="M1036" s="14" t="s">
        <v>2583</v>
      </c>
      <c r="N1036" s="14" t="s">
        <v>60</v>
      </c>
      <c r="O1036" s="14"/>
      <c r="P1036" s="14">
        <v>97017449027</v>
      </c>
      <c r="Q1036" s="14" t="s">
        <v>11</v>
      </c>
      <c r="R1036" s="3">
        <v>0</v>
      </c>
      <c r="S1036" s="3">
        <f t="shared" si="54"/>
        <v>550</v>
      </c>
      <c r="T1036" s="3">
        <f t="shared" si="55"/>
        <v>0</v>
      </c>
      <c r="U1036" s="3" t="s">
        <v>60</v>
      </c>
      <c r="V1036" s="14" t="s">
        <v>6</v>
      </c>
      <c r="W1036" s="14" t="s">
        <v>8037</v>
      </c>
      <c r="X1036" s="14" t="s">
        <v>60</v>
      </c>
    </row>
    <row r="1037" spans="1:24" ht="15" x14ac:dyDescent="0.3">
      <c r="A1037" s="3">
        <v>11</v>
      </c>
      <c r="B1037" s="3" t="s">
        <v>8038</v>
      </c>
      <c r="C1037" s="14" t="s">
        <v>0</v>
      </c>
      <c r="D1037" s="14" t="s">
        <v>2584</v>
      </c>
      <c r="E1037" s="14" t="s">
        <v>4195</v>
      </c>
      <c r="F1037" s="14" t="s">
        <v>2585</v>
      </c>
      <c r="G1037" s="14" t="s">
        <v>3</v>
      </c>
      <c r="H1037" s="14" t="s">
        <v>8039</v>
      </c>
      <c r="I1037" s="14" t="s">
        <v>2586</v>
      </c>
      <c r="J1037" s="14" t="s">
        <v>60</v>
      </c>
      <c r="K1037" s="14" t="s">
        <v>60</v>
      </c>
      <c r="L1037" s="14" t="s">
        <v>60</v>
      </c>
      <c r="M1037" s="14" t="s">
        <v>2587</v>
      </c>
      <c r="N1037" s="14" t="s">
        <v>60</v>
      </c>
      <c r="O1037" s="14" t="s">
        <v>60</v>
      </c>
      <c r="P1037" s="14" t="s">
        <v>8040</v>
      </c>
      <c r="Q1037" s="14" t="s">
        <v>11</v>
      </c>
      <c r="R1037" s="3">
        <v>0</v>
      </c>
      <c r="S1037" s="3">
        <f t="shared" si="54"/>
        <v>550</v>
      </c>
      <c r="T1037" s="3">
        <f t="shared" si="55"/>
        <v>0</v>
      </c>
      <c r="U1037" s="3" t="s">
        <v>60</v>
      </c>
      <c r="V1037" s="14" t="s">
        <v>6</v>
      </c>
      <c r="W1037" s="14" t="s">
        <v>8037</v>
      </c>
      <c r="X1037" s="14" t="s">
        <v>60</v>
      </c>
    </row>
    <row r="1038" spans="1:24" ht="15" x14ac:dyDescent="0.3">
      <c r="A1038" s="3">
        <v>12</v>
      </c>
      <c r="B1038" s="3" t="s">
        <v>8041</v>
      </c>
      <c r="C1038" s="14" t="s">
        <v>0</v>
      </c>
      <c r="D1038" s="14" t="s">
        <v>2588</v>
      </c>
      <c r="E1038" s="14" t="s">
        <v>8042</v>
      </c>
      <c r="F1038" s="14" t="s">
        <v>533</v>
      </c>
      <c r="G1038" s="14" t="s">
        <v>3</v>
      </c>
      <c r="H1038" s="14" t="s">
        <v>8043</v>
      </c>
      <c r="I1038" s="14" t="s">
        <v>2589</v>
      </c>
      <c r="J1038" s="14" t="s">
        <v>60</v>
      </c>
      <c r="K1038" s="14" t="s">
        <v>60</v>
      </c>
      <c r="L1038" s="14" t="s">
        <v>60</v>
      </c>
      <c r="M1038" s="14" t="s">
        <v>2590</v>
      </c>
      <c r="N1038" s="14" t="s">
        <v>60</v>
      </c>
      <c r="O1038" s="14" t="s">
        <v>60</v>
      </c>
      <c r="P1038" s="14" t="s">
        <v>8044</v>
      </c>
      <c r="Q1038" s="14" t="s">
        <v>11</v>
      </c>
      <c r="R1038" s="3">
        <v>0</v>
      </c>
      <c r="S1038" s="3">
        <f t="shared" si="54"/>
        <v>550</v>
      </c>
      <c r="T1038" s="3">
        <f t="shared" si="55"/>
        <v>0</v>
      </c>
      <c r="U1038" s="3" t="s">
        <v>60</v>
      </c>
      <c r="V1038" s="14" t="s">
        <v>6</v>
      </c>
      <c r="W1038" s="14" t="s">
        <v>8045</v>
      </c>
      <c r="X1038" s="14" t="s">
        <v>60</v>
      </c>
    </row>
    <row r="1039" spans="1:24" ht="15" x14ac:dyDescent="0.3">
      <c r="A1039" s="3">
        <v>13</v>
      </c>
      <c r="B1039" s="3" t="s">
        <v>8046</v>
      </c>
      <c r="C1039" s="14" t="s">
        <v>0</v>
      </c>
      <c r="D1039" s="14" t="s">
        <v>2591</v>
      </c>
      <c r="E1039" s="14" t="s">
        <v>4658</v>
      </c>
      <c r="F1039" s="14" t="s">
        <v>1713</v>
      </c>
      <c r="G1039" s="14" t="s">
        <v>3</v>
      </c>
      <c r="H1039" s="14" t="s">
        <v>8047</v>
      </c>
      <c r="I1039" s="14" t="s">
        <v>2592</v>
      </c>
      <c r="J1039" s="14" t="s">
        <v>60</v>
      </c>
      <c r="K1039" s="14" t="s">
        <v>60</v>
      </c>
      <c r="L1039" s="14" t="s">
        <v>60</v>
      </c>
      <c r="M1039" s="14" t="s">
        <v>2593</v>
      </c>
      <c r="N1039" s="14" t="s">
        <v>60</v>
      </c>
      <c r="O1039" s="14" t="s">
        <v>60</v>
      </c>
      <c r="P1039" s="14" t="s">
        <v>8048</v>
      </c>
      <c r="Q1039" s="14" t="s">
        <v>11</v>
      </c>
      <c r="R1039" s="3">
        <v>0</v>
      </c>
      <c r="S1039" s="3">
        <f t="shared" si="54"/>
        <v>550</v>
      </c>
      <c r="T1039" s="3">
        <f t="shared" si="55"/>
        <v>0</v>
      </c>
      <c r="U1039" s="3" t="s">
        <v>60</v>
      </c>
      <c r="V1039" s="14" t="s">
        <v>6</v>
      </c>
      <c r="W1039" s="14" t="s">
        <v>8045</v>
      </c>
      <c r="X1039" s="14" t="s">
        <v>60</v>
      </c>
    </row>
    <row r="1040" spans="1:24" ht="15" x14ac:dyDescent="0.3">
      <c r="A1040" s="3">
        <v>14</v>
      </c>
      <c r="B1040" s="3" t="s">
        <v>8049</v>
      </c>
      <c r="C1040" s="14" t="s">
        <v>0</v>
      </c>
      <c r="D1040" s="14" t="s">
        <v>2594</v>
      </c>
      <c r="E1040" s="14" t="s">
        <v>5073</v>
      </c>
      <c r="F1040" s="14" t="s">
        <v>2595</v>
      </c>
      <c r="G1040" s="14" t="s">
        <v>3</v>
      </c>
      <c r="H1040" s="14" t="s">
        <v>8050</v>
      </c>
      <c r="I1040" s="14" t="s">
        <v>2596</v>
      </c>
      <c r="J1040" s="14" t="s">
        <v>60</v>
      </c>
      <c r="K1040" s="14" t="s">
        <v>60</v>
      </c>
      <c r="L1040" s="14" t="s">
        <v>60</v>
      </c>
      <c r="M1040" s="14" t="s">
        <v>2597</v>
      </c>
      <c r="N1040" s="14" t="s">
        <v>60</v>
      </c>
      <c r="O1040" s="14" t="s">
        <v>60</v>
      </c>
      <c r="P1040" s="14" t="s">
        <v>8051</v>
      </c>
      <c r="Q1040" s="14" t="s">
        <v>11</v>
      </c>
      <c r="R1040" s="3">
        <v>0</v>
      </c>
      <c r="S1040" s="3">
        <f t="shared" si="54"/>
        <v>550</v>
      </c>
      <c r="T1040" s="3">
        <f t="shared" si="55"/>
        <v>0</v>
      </c>
      <c r="U1040" s="3" t="s">
        <v>60</v>
      </c>
      <c r="V1040" s="14" t="s">
        <v>6</v>
      </c>
      <c r="W1040" s="14" t="s">
        <v>8045</v>
      </c>
      <c r="X1040" s="14" t="s">
        <v>60</v>
      </c>
    </row>
    <row r="1041" spans="1:24" ht="15" x14ac:dyDescent="0.3">
      <c r="A1041" s="3">
        <v>15</v>
      </c>
      <c r="B1041" s="3" t="s">
        <v>8052</v>
      </c>
      <c r="C1041" s="14" t="s">
        <v>0</v>
      </c>
      <c r="D1041" s="14" t="s">
        <v>2598</v>
      </c>
      <c r="E1041" s="14" t="s">
        <v>8053</v>
      </c>
      <c r="F1041" s="14" t="s">
        <v>2599</v>
      </c>
      <c r="G1041" s="14" t="s">
        <v>3</v>
      </c>
      <c r="H1041" s="14" t="s">
        <v>8054</v>
      </c>
      <c r="I1041" s="14" t="s">
        <v>2600</v>
      </c>
      <c r="J1041" s="14" t="s">
        <v>60</v>
      </c>
      <c r="K1041" s="14" t="s">
        <v>60</v>
      </c>
      <c r="L1041" s="14" t="s">
        <v>60</v>
      </c>
      <c r="M1041" s="14" t="s">
        <v>2601</v>
      </c>
      <c r="N1041" s="14" t="s">
        <v>60</v>
      </c>
      <c r="O1041" s="14" t="s">
        <v>60</v>
      </c>
      <c r="P1041" s="14" t="s">
        <v>8055</v>
      </c>
      <c r="Q1041" s="14" t="s">
        <v>11</v>
      </c>
      <c r="R1041" s="3">
        <v>0</v>
      </c>
      <c r="S1041" s="3">
        <f t="shared" si="54"/>
        <v>550</v>
      </c>
      <c r="T1041" s="3">
        <f t="shared" si="55"/>
        <v>0</v>
      </c>
      <c r="U1041" s="3" t="s">
        <v>60</v>
      </c>
      <c r="V1041" s="14" t="s">
        <v>6</v>
      </c>
      <c r="W1041" s="14" t="s">
        <v>8045</v>
      </c>
      <c r="X1041" s="14" t="s">
        <v>60</v>
      </c>
    </row>
    <row r="1042" spans="1:24" ht="15" x14ac:dyDescent="0.3">
      <c r="A1042" s="3">
        <v>16</v>
      </c>
      <c r="B1042" s="3" t="s">
        <v>8056</v>
      </c>
      <c r="C1042" s="14" t="s">
        <v>0</v>
      </c>
      <c r="D1042" s="14" t="s">
        <v>2602</v>
      </c>
      <c r="E1042" s="14" t="s">
        <v>4778</v>
      </c>
      <c r="F1042" s="14" t="s">
        <v>2410</v>
      </c>
      <c r="G1042" s="14" t="s">
        <v>3</v>
      </c>
      <c r="H1042" s="14" t="s">
        <v>8057</v>
      </c>
      <c r="I1042" s="14" t="s">
        <v>2603</v>
      </c>
      <c r="J1042" s="14" t="s">
        <v>60</v>
      </c>
      <c r="K1042" s="14" t="s">
        <v>60</v>
      </c>
      <c r="L1042" s="14" t="s">
        <v>60</v>
      </c>
      <c r="M1042" s="14" t="s">
        <v>2604</v>
      </c>
      <c r="N1042" s="14" t="s">
        <v>60</v>
      </c>
      <c r="O1042" s="14" t="s">
        <v>60</v>
      </c>
      <c r="P1042" s="14" t="s">
        <v>8058</v>
      </c>
      <c r="Q1042" s="14" t="s">
        <v>11</v>
      </c>
      <c r="R1042" s="3">
        <v>0</v>
      </c>
      <c r="S1042" s="3">
        <f t="shared" si="54"/>
        <v>550</v>
      </c>
      <c r="T1042" s="3">
        <f t="shared" si="55"/>
        <v>0</v>
      </c>
      <c r="U1042" s="3" t="s">
        <v>60</v>
      </c>
      <c r="V1042" s="14" t="s">
        <v>6</v>
      </c>
      <c r="W1042" s="14" t="s">
        <v>8045</v>
      </c>
      <c r="X1042" s="14" t="s">
        <v>60</v>
      </c>
    </row>
    <row r="1043" spans="1:24" ht="15" x14ac:dyDescent="0.3">
      <c r="A1043" s="3">
        <v>17</v>
      </c>
      <c r="B1043" s="3" t="s">
        <v>8059</v>
      </c>
      <c r="C1043" s="14" t="s">
        <v>0</v>
      </c>
      <c r="D1043" s="14" t="s">
        <v>2605</v>
      </c>
      <c r="E1043" s="14" t="s">
        <v>8060</v>
      </c>
      <c r="F1043" s="14" t="s">
        <v>2606</v>
      </c>
      <c r="G1043" s="14" t="s">
        <v>3</v>
      </c>
      <c r="H1043" s="14" t="s">
        <v>8061</v>
      </c>
      <c r="I1043" s="14" t="s">
        <v>2607</v>
      </c>
      <c r="J1043" s="14" t="s">
        <v>60</v>
      </c>
      <c r="K1043" s="14" t="s">
        <v>60</v>
      </c>
      <c r="L1043" s="14" t="s">
        <v>60</v>
      </c>
      <c r="M1043" s="14" t="s">
        <v>2608</v>
      </c>
      <c r="N1043" s="14" t="s">
        <v>60</v>
      </c>
      <c r="O1043" s="14" t="s">
        <v>60</v>
      </c>
      <c r="P1043" s="14" t="s">
        <v>8062</v>
      </c>
      <c r="Q1043" s="14" t="s">
        <v>11</v>
      </c>
      <c r="R1043" s="3">
        <v>0</v>
      </c>
      <c r="S1043" s="3">
        <f t="shared" si="54"/>
        <v>550</v>
      </c>
      <c r="T1043" s="3">
        <f t="shared" si="55"/>
        <v>0</v>
      </c>
      <c r="U1043" s="3" t="s">
        <v>60</v>
      </c>
      <c r="V1043" s="14" t="s">
        <v>6</v>
      </c>
      <c r="W1043" s="14" t="s">
        <v>8063</v>
      </c>
      <c r="X1043" s="14" t="s">
        <v>60</v>
      </c>
    </row>
    <row r="1044" spans="1:24" ht="15" x14ac:dyDescent="0.3">
      <c r="A1044" s="3">
        <v>18</v>
      </c>
      <c r="B1044" s="3" t="s">
        <v>8064</v>
      </c>
      <c r="C1044" s="14" t="s">
        <v>26</v>
      </c>
      <c r="D1044" s="14" t="s">
        <v>2319</v>
      </c>
      <c r="E1044" s="14" t="s">
        <v>8065</v>
      </c>
      <c r="F1044" s="14" t="s">
        <v>2320</v>
      </c>
      <c r="G1044" s="14" t="s">
        <v>3</v>
      </c>
      <c r="H1044" s="14" t="s">
        <v>8066</v>
      </c>
      <c r="I1044" s="14" t="s">
        <v>2321</v>
      </c>
      <c r="J1044" s="14" t="s">
        <v>60</v>
      </c>
      <c r="K1044" s="14" t="s">
        <v>60</v>
      </c>
      <c r="L1044" s="14" t="s">
        <v>60</v>
      </c>
      <c r="M1044" s="14" t="s">
        <v>2322</v>
      </c>
      <c r="N1044" s="14" t="s">
        <v>60</v>
      </c>
      <c r="O1044" s="14" t="s">
        <v>8067</v>
      </c>
      <c r="P1044" s="14" t="s">
        <v>8068</v>
      </c>
      <c r="Q1044" s="14" t="s">
        <v>2266</v>
      </c>
      <c r="R1044" s="3">
        <v>0</v>
      </c>
      <c r="S1044" s="3">
        <f t="shared" si="54"/>
        <v>770</v>
      </c>
      <c r="T1044" s="3">
        <f t="shared" si="55"/>
        <v>0</v>
      </c>
      <c r="U1044" s="3" t="s">
        <v>60</v>
      </c>
      <c r="V1044" s="14" t="s">
        <v>6</v>
      </c>
      <c r="W1044" s="14" t="s">
        <v>4287</v>
      </c>
      <c r="X1044" s="14" t="s">
        <v>60</v>
      </c>
    </row>
    <row r="1045" spans="1:24" ht="15" x14ac:dyDescent="0.3">
      <c r="A1045" s="3">
        <v>19</v>
      </c>
      <c r="B1045" s="3" t="s">
        <v>8069</v>
      </c>
      <c r="C1045" s="14" t="s">
        <v>69</v>
      </c>
      <c r="D1045" s="14" t="s">
        <v>2609</v>
      </c>
      <c r="E1045" s="14" t="s">
        <v>8070</v>
      </c>
      <c r="F1045" s="14" t="s">
        <v>2610</v>
      </c>
      <c r="G1045" s="14" t="s">
        <v>3</v>
      </c>
      <c r="H1045" s="14" t="s">
        <v>2611</v>
      </c>
      <c r="I1045" s="14" t="s">
        <v>2612</v>
      </c>
      <c r="J1045" s="14" t="s">
        <v>60</v>
      </c>
      <c r="K1045" s="14" t="s">
        <v>60</v>
      </c>
      <c r="L1045" s="14" t="s">
        <v>60</v>
      </c>
      <c r="M1045" s="14" t="s">
        <v>2613</v>
      </c>
      <c r="N1045" s="14" t="s">
        <v>60</v>
      </c>
      <c r="O1045" s="14" t="s">
        <v>60</v>
      </c>
      <c r="P1045" s="14" t="s">
        <v>8071</v>
      </c>
      <c r="Q1045" s="14" t="s">
        <v>11</v>
      </c>
      <c r="R1045" s="3">
        <v>0</v>
      </c>
      <c r="S1045" s="3">
        <f t="shared" si="54"/>
        <v>570</v>
      </c>
      <c r="T1045" s="3">
        <f t="shared" si="55"/>
        <v>0</v>
      </c>
      <c r="U1045" s="3" t="s">
        <v>60</v>
      </c>
      <c r="V1045" s="14" t="s">
        <v>6</v>
      </c>
      <c r="W1045" s="14" t="s">
        <v>6825</v>
      </c>
      <c r="X1045" s="14" t="s">
        <v>60</v>
      </c>
    </row>
    <row r="1046" spans="1:24" ht="15" x14ac:dyDescent="0.3">
      <c r="A1046" s="3">
        <v>20</v>
      </c>
      <c r="B1046" s="3" t="s">
        <v>8072</v>
      </c>
      <c r="C1046" s="14" t="s">
        <v>0</v>
      </c>
      <c r="D1046" s="14" t="s">
        <v>3582</v>
      </c>
      <c r="E1046" s="14" t="s">
        <v>8073</v>
      </c>
      <c r="F1046" s="14" t="s">
        <v>3628</v>
      </c>
      <c r="G1046" s="14" t="s">
        <v>3</v>
      </c>
      <c r="H1046" s="14" t="s">
        <v>8074</v>
      </c>
      <c r="I1046" s="14" t="s">
        <v>3847</v>
      </c>
      <c r="J1046" s="14" t="s">
        <v>60</v>
      </c>
      <c r="K1046" s="14" t="s">
        <v>60</v>
      </c>
      <c r="L1046" s="14" t="s">
        <v>60</v>
      </c>
      <c r="M1046" s="14" t="s">
        <v>3848</v>
      </c>
      <c r="N1046" s="14" t="s">
        <v>60</v>
      </c>
      <c r="O1046" s="14" t="s">
        <v>60</v>
      </c>
      <c r="P1046" s="14" t="s">
        <v>8075</v>
      </c>
      <c r="Q1046" s="14" t="s">
        <v>2463</v>
      </c>
      <c r="R1046" s="3">
        <v>0</v>
      </c>
      <c r="S1046" s="3">
        <f t="shared" si="54"/>
        <v>550</v>
      </c>
      <c r="T1046" s="3">
        <f t="shared" si="55"/>
        <v>0</v>
      </c>
      <c r="U1046" s="3" t="s">
        <v>8076</v>
      </c>
      <c r="V1046" s="14" t="s">
        <v>6</v>
      </c>
      <c r="W1046" s="14" t="s">
        <v>4444</v>
      </c>
      <c r="X1046" s="14" t="s">
        <v>60</v>
      </c>
    </row>
    <row r="1047" spans="1:24" ht="15" x14ac:dyDescent="0.3">
      <c r="A1047" s="3">
        <v>21</v>
      </c>
      <c r="B1047" s="3" t="s">
        <v>8077</v>
      </c>
      <c r="C1047" s="14" t="s">
        <v>0</v>
      </c>
      <c r="D1047" s="14" t="s">
        <v>3583</v>
      </c>
      <c r="E1047" s="14" t="s">
        <v>8078</v>
      </c>
      <c r="F1047" s="14" t="s">
        <v>3591</v>
      </c>
      <c r="G1047" s="14" t="s">
        <v>121</v>
      </c>
      <c r="H1047" s="14" t="s">
        <v>8079</v>
      </c>
      <c r="I1047" s="14" t="s">
        <v>3849</v>
      </c>
      <c r="J1047" s="14" t="s">
        <v>60</v>
      </c>
      <c r="K1047" s="14" t="s">
        <v>60</v>
      </c>
      <c r="L1047" s="14" t="s">
        <v>60</v>
      </c>
      <c r="M1047" s="14" t="s">
        <v>3850</v>
      </c>
      <c r="N1047" s="14" t="s">
        <v>60</v>
      </c>
      <c r="O1047" s="14" t="s">
        <v>60</v>
      </c>
      <c r="P1047" s="14" t="s">
        <v>8080</v>
      </c>
      <c r="Q1047" s="14" t="s">
        <v>2463</v>
      </c>
      <c r="R1047" s="3">
        <v>0</v>
      </c>
      <c r="S1047" s="3">
        <f t="shared" si="54"/>
        <v>550</v>
      </c>
      <c r="T1047" s="3">
        <f t="shared" si="55"/>
        <v>0</v>
      </c>
      <c r="U1047" s="3" t="s">
        <v>60</v>
      </c>
      <c r="V1047" s="14" t="s">
        <v>6</v>
      </c>
      <c r="W1047" s="14" t="s">
        <v>4444</v>
      </c>
      <c r="X1047" s="14" t="s">
        <v>60</v>
      </c>
    </row>
    <row r="1048" spans="1:24" ht="15" x14ac:dyDescent="0.3">
      <c r="A1048" s="3">
        <v>22</v>
      </c>
      <c r="B1048" s="3" t="s">
        <v>8081</v>
      </c>
      <c r="C1048" s="14" t="s">
        <v>0</v>
      </c>
      <c r="D1048" s="14" t="s">
        <v>3585</v>
      </c>
      <c r="E1048" s="14" t="s">
        <v>8082</v>
      </c>
      <c r="F1048" s="14" t="s">
        <v>3593</v>
      </c>
      <c r="G1048" s="14" t="s">
        <v>121</v>
      </c>
      <c r="H1048" s="14" t="s">
        <v>8083</v>
      </c>
      <c r="I1048" s="14" t="s">
        <v>3852</v>
      </c>
      <c r="J1048" s="14" t="s">
        <v>60</v>
      </c>
      <c r="K1048" s="14" t="s">
        <v>60</v>
      </c>
      <c r="L1048" s="14" t="s">
        <v>60</v>
      </c>
      <c r="M1048" s="14" t="s">
        <v>3853</v>
      </c>
      <c r="N1048" s="14" t="s">
        <v>60</v>
      </c>
      <c r="O1048" s="14" t="s">
        <v>60</v>
      </c>
      <c r="P1048" s="14" t="s">
        <v>8084</v>
      </c>
      <c r="Q1048" s="14" t="s">
        <v>11</v>
      </c>
      <c r="R1048" s="3">
        <v>0</v>
      </c>
      <c r="S1048" s="3">
        <f t="shared" si="54"/>
        <v>550</v>
      </c>
      <c r="T1048" s="3">
        <f t="shared" si="55"/>
        <v>0</v>
      </c>
      <c r="U1048" s="3" t="s">
        <v>60</v>
      </c>
      <c r="V1048" s="14" t="s">
        <v>6</v>
      </c>
      <c r="W1048" s="14" t="s">
        <v>4444</v>
      </c>
      <c r="X1048" s="14" t="s">
        <v>60</v>
      </c>
    </row>
    <row r="1049" spans="1:24" ht="15" x14ac:dyDescent="0.3">
      <c r="A1049" s="3">
        <v>23</v>
      </c>
      <c r="B1049" s="3" t="s">
        <v>8085</v>
      </c>
      <c r="C1049" s="14" t="s">
        <v>0</v>
      </c>
      <c r="D1049" s="14" t="s">
        <v>3420</v>
      </c>
      <c r="E1049" s="14" t="s">
        <v>8086</v>
      </c>
      <c r="F1049" s="14" t="s">
        <v>3593</v>
      </c>
      <c r="G1049" s="14" t="s">
        <v>121</v>
      </c>
      <c r="H1049" s="14" t="s">
        <v>8087</v>
      </c>
      <c r="I1049" s="14" t="s">
        <v>3854</v>
      </c>
      <c r="J1049" s="14" t="s">
        <v>60</v>
      </c>
      <c r="K1049" s="14" t="s">
        <v>60</v>
      </c>
      <c r="L1049" s="14" t="s">
        <v>60</v>
      </c>
      <c r="M1049" s="14" t="s">
        <v>3855</v>
      </c>
      <c r="N1049" s="14" t="s">
        <v>60</v>
      </c>
      <c r="O1049" s="14" t="s">
        <v>60</v>
      </c>
      <c r="P1049" s="14" t="s">
        <v>8088</v>
      </c>
      <c r="Q1049" s="14" t="s">
        <v>11</v>
      </c>
      <c r="R1049" s="3">
        <v>0</v>
      </c>
      <c r="S1049" s="3">
        <f t="shared" si="54"/>
        <v>550</v>
      </c>
      <c r="T1049" s="3">
        <f t="shared" si="55"/>
        <v>0</v>
      </c>
      <c r="U1049" s="3" t="s">
        <v>60</v>
      </c>
      <c r="V1049" s="14" t="s">
        <v>6</v>
      </c>
      <c r="W1049" s="14" t="s">
        <v>4444</v>
      </c>
      <c r="X1049" s="14" t="s">
        <v>60</v>
      </c>
    </row>
    <row r="1050" spans="1:24" ht="15" x14ac:dyDescent="0.3">
      <c r="A1050" s="3">
        <v>24</v>
      </c>
      <c r="B1050" s="3" t="s">
        <v>8089</v>
      </c>
      <c r="C1050" s="14" t="s">
        <v>3614</v>
      </c>
      <c r="D1050" s="14" t="s">
        <v>3586</v>
      </c>
      <c r="E1050" s="14" t="s">
        <v>8090</v>
      </c>
      <c r="F1050" s="14" t="s">
        <v>3594</v>
      </c>
      <c r="G1050" s="14" t="s">
        <v>3</v>
      </c>
      <c r="H1050" s="14" t="s">
        <v>3856</v>
      </c>
      <c r="I1050" s="14" t="s">
        <v>3857</v>
      </c>
      <c r="J1050" s="14" t="s">
        <v>60</v>
      </c>
      <c r="K1050" s="14" t="s">
        <v>60</v>
      </c>
      <c r="L1050" s="14" t="s">
        <v>60</v>
      </c>
      <c r="M1050" s="14" t="s">
        <v>3858</v>
      </c>
      <c r="N1050" s="14" t="s">
        <v>60</v>
      </c>
      <c r="O1050" s="14" t="s">
        <v>60</v>
      </c>
      <c r="P1050" s="14" t="s">
        <v>8091</v>
      </c>
      <c r="Q1050" s="14" t="s">
        <v>3624</v>
      </c>
      <c r="R1050" s="3">
        <v>0</v>
      </c>
      <c r="S1050" s="3">
        <f t="shared" si="54"/>
        <v>770</v>
      </c>
      <c r="T1050" s="3">
        <f t="shared" si="55"/>
        <v>0</v>
      </c>
      <c r="U1050" s="3" t="s">
        <v>60</v>
      </c>
      <c r="V1050" s="14" t="s">
        <v>6</v>
      </c>
      <c r="W1050" s="14" t="s">
        <v>4444</v>
      </c>
      <c r="X1050" s="14" t="s">
        <v>60</v>
      </c>
    </row>
    <row r="1051" spans="1:24" ht="15" x14ac:dyDescent="0.3">
      <c r="A1051" s="3">
        <v>25</v>
      </c>
      <c r="B1051" s="3" t="s">
        <v>8092</v>
      </c>
      <c r="C1051" s="14" t="s">
        <v>14</v>
      </c>
      <c r="D1051" s="14" t="s">
        <v>3587</v>
      </c>
      <c r="E1051" s="14" t="s">
        <v>8093</v>
      </c>
      <c r="F1051" s="14" t="s">
        <v>3595</v>
      </c>
      <c r="G1051" s="14" t="s">
        <v>3</v>
      </c>
      <c r="H1051" s="14" t="s">
        <v>8094</v>
      </c>
      <c r="I1051" s="14" t="s">
        <v>3859</v>
      </c>
      <c r="J1051" s="14" t="s">
        <v>60</v>
      </c>
      <c r="K1051" s="14" t="s">
        <v>60</v>
      </c>
      <c r="L1051" s="14" t="s">
        <v>60</v>
      </c>
      <c r="M1051" s="14" t="s">
        <v>3860</v>
      </c>
      <c r="N1051" s="14" t="s">
        <v>60</v>
      </c>
      <c r="O1051" s="14" t="s">
        <v>60</v>
      </c>
      <c r="P1051" s="14" t="s">
        <v>3622</v>
      </c>
      <c r="Q1051" s="14" t="s">
        <v>3623</v>
      </c>
      <c r="R1051" s="3">
        <v>0</v>
      </c>
      <c r="S1051" s="3">
        <f t="shared" si="54"/>
        <v>640</v>
      </c>
      <c r="T1051" s="3">
        <f t="shared" si="55"/>
        <v>0</v>
      </c>
      <c r="U1051" s="3" t="s">
        <v>60</v>
      </c>
      <c r="V1051" s="14" t="s">
        <v>6</v>
      </c>
      <c r="W1051" s="14" t="s">
        <v>4444</v>
      </c>
      <c r="X1051" s="14" t="s">
        <v>60</v>
      </c>
    </row>
    <row r="1052" spans="1:24" ht="15" x14ac:dyDescent="0.3">
      <c r="A1052" s="3">
        <v>26</v>
      </c>
      <c r="B1052" s="3" t="s">
        <v>8095</v>
      </c>
      <c r="C1052" s="14" t="s">
        <v>0</v>
      </c>
      <c r="D1052" s="14" t="s">
        <v>3588</v>
      </c>
      <c r="E1052" s="14" t="s">
        <v>8096</v>
      </c>
      <c r="F1052" s="14" t="s">
        <v>3596</v>
      </c>
      <c r="G1052" s="14" t="s">
        <v>3</v>
      </c>
      <c r="H1052" s="14" t="s">
        <v>8097</v>
      </c>
      <c r="I1052" s="14" t="s">
        <v>3861</v>
      </c>
      <c r="J1052" s="14" t="s">
        <v>60</v>
      </c>
      <c r="K1052" s="14" t="s">
        <v>60</v>
      </c>
      <c r="L1052" s="14" t="s">
        <v>60</v>
      </c>
      <c r="M1052" s="14" t="s">
        <v>3862</v>
      </c>
      <c r="N1052" s="14" t="s">
        <v>60</v>
      </c>
      <c r="O1052" s="14" t="s">
        <v>60</v>
      </c>
      <c r="P1052" s="14" t="s">
        <v>3626</v>
      </c>
      <c r="Q1052" s="14" t="s">
        <v>3627</v>
      </c>
      <c r="R1052" s="3">
        <v>0</v>
      </c>
      <c r="S1052" s="3">
        <f t="shared" si="54"/>
        <v>550</v>
      </c>
      <c r="T1052" s="3">
        <f t="shared" si="55"/>
        <v>0</v>
      </c>
      <c r="U1052" s="3" t="s">
        <v>60</v>
      </c>
      <c r="V1052" s="14" t="s">
        <v>6</v>
      </c>
      <c r="W1052" s="14" t="s">
        <v>4444</v>
      </c>
      <c r="X1052" s="14" t="s">
        <v>60</v>
      </c>
    </row>
    <row r="1053" spans="1:24" ht="15" x14ac:dyDescent="0.3">
      <c r="A1053" s="3">
        <v>27</v>
      </c>
      <c r="B1053" s="3" t="s">
        <v>8098</v>
      </c>
      <c r="C1053" s="14" t="s">
        <v>0</v>
      </c>
      <c r="D1053" s="14" t="s">
        <v>3589</v>
      </c>
      <c r="E1053" s="14" t="s">
        <v>8099</v>
      </c>
      <c r="F1053" s="14" t="s">
        <v>3597</v>
      </c>
      <c r="G1053" s="14" t="s">
        <v>3</v>
      </c>
      <c r="H1053" s="14" t="s">
        <v>8100</v>
      </c>
      <c r="I1053" s="14" t="s">
        <v>3863</v>
      </c>
      <c r="J1053" s="14" t="s">
        <v>60</v>
      </c>
      <c r="K1053" s="14" t="s">
        <v>60</v>
      </c>
      <c r="L1053" s="14" t="s">
        <v>60</v>
      </c>
      <c r="M1053" s="14" t="s">
        <v>3864</v>
      </c>
      <c r="N1053" s="14" t="s">
        <v>60</v>
      </c>
      <c r="O1053" s="14" t="s">
        <v>60</v>
      </c>
      <c r="P1053" s="14" t="s">
        <v>8101</v>
      </c>
      <c r="Q1053" s="14" t="s">
        <v>11</v>
      </c>
      <c r="R1053" s="3">
        <v>0</v>
      </c>
      <c r="S1053" s="3">
        <f t="shared" si="54"/>
        <v>550</v>
      </c>
      <c r="T1053" s="3">
        <f t="shared" si="55"/>
        <v>0</v>
      </c>
      <c r="U1053" s="3" t="s">
        <v>60</v>
      </c>
      <c r="V1053" s="14" t="s">
        <v>6</v>
      </c>
      <c r="W1053" s="14" t="s">
        <v>4444</v>
      </c>
      <c r="X1053" s="14" t="s">
        <v>60</v>
      </c>
    </row>
    <row r="1054" spans="1:24" ht="15" x14ac:dyDescent="0.3">
      <c r="A1054" s="3">
        <v>28</v>
      </c>
      <c r="B1054" s="3" t="s">
        <v>8102</v>
      </c>
      <c r="C1054" s="14" t="s">
        <v>0</v>
      </c>
      <c r="D1054" s="14" t="s">
        <v>3590</v>
      </c>
      <c r="E1054" s="14" t="s">
        <v>8103</v>
      </c>
      <c r="F1054" s="14" t="s">
        <v>3598</v>
      </c>
      <c r="G1054" s="14" t="s">
        <v>3</v>
      </c>
      <c r="H1054" s="14" t="s">
        <v>8104</v>
      </c>
      <c r="I1054" s="14" t="s">
        <v>3865</v>
      </c>
      <c r="J1054" s="14" t="s">
        <v>60</v>
      </c>
      <c r="K1054" s="14" t="s">
        <v>60</v>
      </c>
      <c r="L1054" s="14" t="s">
        <v>60</v>
      </c>
      <c r="M1054" s="14" t="s">
        <v>3866</v>
      </c>
      <c r="N1054" s="14" t="s">
        <v>60</v>
      </c>
      <c r="O1054" s="14" t="s">
        <v>60</v>
      </c>
      <c r="P1054" s="14" t="s">
        <v>8105</v>
      </c>
      <c r="Q1054" s="14" t="s">
        <v>11</v>
      </c>
      <c r="R1054" s="3">
        <v>0</v>
      </c>
      <c r="S1054" s="3">
        <f t="shared" si="54"/>
        <v>550</v>
      </c>
      <c r="T1054" s="3">
        <f t="shared" si="55"/>
        <v>0</v>
      </c>
      <c r="U1054" s="3" t="s">
        <v>60</v>
      </c>
      <c r="V1054" s="14" t="s">
        <v>6</v>
      </c>
      <c r="W1054" s="14" t="s">
        <v>4454</v>
      </c>
      <c r="X1054" s="14" t="s">
        <v>60</v>
      </c>
    </row>
    <row r="1055" spans="1:24" ht="15" x14ac:dyDescent="0.3">
      <c r="A1055" s="3">
        <v>29</v>
      </c>
      <c r="B1055" s="3" t="s">
        <v>8106</v>
      </c>
      <c r="C1055" s="14" t="s">
        <v>0</v>
      </c>
      <c r="D1055" s="14" t="s">
        <v>3625</v>
      </c>
      <c r="E1055" s="14" t="s">
        <v>8107</v>
      </c>
      <c r="F1055" s="14" t="s">
        <v>3599</v>
      </c>
      <c r="G1055" s="14" t="s">
        <v>3</v>
      </c>
      <c r="H1055" s="14" t="s">
        <v>8108</v>
      </c>
      <c r="I1055" s="14" t="s">
        <v>3867</v>
      </c>
      <c r="J1055" s="14" t="s">
        <v>60</v>
      </c>
      <c r="K1055" s="14" t="s">
        <v>60</v>
      </c>
      <c r="L1055" s="14" t="s">
        <v>60</v>
      </c>
      <c r="M1055" s="14" t="s">
        <v>3868</v>
      </c>
      <c r="N1055" s="14" t="s">
        <v>60</v>
      </c>
      <c r="O1055" s="14" t="s">
        <v>60</v>
      </c>
      <c r="P1055" s="14" t="s">
        <v>8109</v>
      </c>
      <c r="Q1055" s="14" t="s">
        <v>11</v>
      </c>
      <c r="R1055" s="3">
        <v>0</v>
      </c>
      <c r="S1055" s="3">
        <f t="shared" si="54"/>
        <v>550</v>
      </c>
      <c r="T1055" s="3">
        <f t="shared" si="55"/>
        <v>0</v>
      </c>
      <c r="U1055" s="3" t="s">
        <v>60</v>
      </c>
      <c r="V1055" s="14" t="s">
        <v>6</v>
      </c>
      <c r="W1055" s="14" t="s">
        <v>4454</v>
      </c>
      <c r="X1055" s="14" t="s">
        <v>60</v>
      </c>
    </row>
    <row r="1056" spans="1:24" ht="15" x14ac:dyDescent="0.3">
      <c r="A1056" s="3">
        <v>30</v>
      </c>
      <c r="B1056" s="3" t="s">
        <v>8110</v>
      </c>
      <c r="C1056" s="14" t="s">
        <v>0</v>
      </c>
      <c r="D1056" s="14" t="s">
        <v>219</v>
      </c>
      <c r="E1056" s="14" t="s">
        <v>8111</v>
      </c>
      <c r="F1056" s="14" t="s">
        <v>3600</v>
      </c>
      <c r="G1056" s="14" t="s">
        <v>3</v>
      </c>
      <c r="H1056" s="14" t="s">
        <v>8112</v>
      </c>
      <c r="I1056" s="14" t="s">
        <v>3869</v>
      </c>
      <c r="J1056" s="14" t="s">
        <v>60</v>
      </c>
      <c r="K1056" s="14" t="s">
        <v>60</v>
      </c>
      <c r="L1056" s="14" t="s">
        <v>60</v>
      </c>
      <c r="M1056" s="14" t="s">
        <v>3870</v>
      </c>
      <c r="N1056" s="14" t="s">
        <v>60</v>
      </c>
      <c r="O1056" s="14" t="s">
        <v>60</v>
      </c>
      <c r="P1056" s="14" t="s">
        <v>8113</v>
      </c>
      <c r="Q1056" s="14" t="s">
        <v>11</v>
      </c>
      <c r="R1056" s="3">
        <v>0</v>
      </c>
      <c r="S1056" s="3">
        <f t="shared" si="54"/>
        <v>550</v>
      </c>
      <c r="T1056" s="3">
        <f t="shared" si="55"/>
        <v>0</v>
      </c>
      <c r="U1056" s="3" t="s">
        <v>60</v>
      </c>
      <c r="V1056" s="14" t="s">
        <v>6</v>
      </c>
      <c r="W1056" s="14" t="s">
        <v>4454</v>
      </c>
      <c r="X1056" s="14" t="s">
        <v>60</v>
      </c>
    </row>
    <row r="1057" spans="1:24" ht="15" x14ac:dyDescent="0.3">
      <c r="A1057" s="3">
        <v>31</v>
      </c>
      <c r="B1057" s="3" t="s">
        <v>8114</v>
      </c>
      <c r="C1057" s="14" t="s">
        <v>0</v>
      </c>
      <c r="D1057" s="14" t="s">
        <v>670</v>
      </c>
      <c r="E1057" s="14" t="s">
        <v>8115</v>
      </c>
      <c r="F1057" s="14" t="s">
        <v>3918</v>
      </c>
      <c r="G1057" s="14" t="s">
        <v>3</v>
      </c>
      <c r="H1057" s="14" t="s">
        <v>8116</v>
      </c>
      <c r="I1057" s="14" t="s">
        <v>3923</v>
      </c>
      <c r="J1057" s="14" t="s">
        <v>60</v>
      </c>
      <c r="K1057" s="14" t="s">
        <v>60</v>
      </c>
      <c r="L1057" s="14" t="s">
        <v>60</v>
      </c>
      <c r="M1057" s="14" t="s">
        <v>3919</v>
      </c>
      <c r="N1057" s="14" t="s">
        <v>60</v>
      </c>
      <c r="O1057" s="14" t="s">
        <v>3910</v>
      </c>
      <c r="P1057" s="14" t="s">
        <v>8117</v>
      </c>
      <c r="Q1057" s="14" t="s">
        <v>185</v>
      </c>
      <c r="R1057" s="3">
        <v>0</v>
      </c>
      <c r="S1057" s="3">
        <f t="shared" si="54"/>
        <v>550</v>
      </c>
      <c r="T1057" s="3">
        <f t="shared" si="55"/>
        <v>0</v>
      </c>
      <c r="U1057" s="3" t="s">
        <v>60</v>
      </c>
      <c r="V1057" s="14" t="s">
        <v>6</v>
      </c>
      <c r="W1057" s="14" t="s">
        <v>8118</v>
      </c>
      <c r="X1057" s="14" t="s">
        <v>60</v>
      </c>
    </row>
    <row r="1058" spans="1:24" ht="15" x14ac:dyDescent="0.3">
      <c r="A1058" s="3">
        <v>32</v>
      </c>
      <c r="B1058" s="3" t="s">
        <v>8119</v>
      </c>
      <c r="C1058" s="14" t="s">
        <v>0</v>
      </c>
      <c r="D1058" s="14" t="s">
        <v>3920</v>
      </c>
      <c r="E1058" s="14" t="s">
        <v>8120</v>
      </c>
      <c r="F1058" s="14" t="s">
        <v>3921</v>
      </c>
      <c r="G1058" s="14" t="s">
        <v>3</v>
      </c>
      <c r="H1058" s="14" t="s">
        <v>8121</v>
      </c>
      <c r="I1058" s="14" t="s">
        <v>4102</v>
      </c>
      <c r="J1058" s="14" t="s">
        <v>60</v>
      </c>
      <c r="K1058" s="14" t="s">
        <v>60</v>
      </c>
      <c r="L1058" s="14" t="s">
        <v>60</v>
      </c>
      <c r="M1058" s="14" t="s">
        <v>3922</v>
      </c>
      <c r="N1058" s="14" t="s">
        <v>60</v>
      </c>
      <c r="O1058" s="14" t="s">
        <v>3910</v>
      </c>
      <c r="P1058" s="14" t="s">
        <v>8122</v>
      </c>
      <c r="Q1058" s="14" t="s">
        <v>11</v>
      </c>
      <c r="R1058" s="3">
        <v>0</v>
      </c>
      <c r="S1058" s="3">
        <f t="shared" si="54"/>
        <v>550</v>
      </c>
      <c r="T1058" s="3">
        <f t="shared" si="55"/>
        <v>0</v>
      </c>
      <c r="U1058" s="3" t="s">
        <v>60</v>
      </c>
      <c r="V1058" s="14" t="s">
        <v>6</v>
      </c>
      <c r="W1058" s="14" t="s">
        <v>7300</v>
      </c>
      <c r="X1058" s="14" t="s">
        <v>60</v>
      </c>
    </row>
    <row r="1059" spans="1:24" ht="15" x14ac:dyDescent="0.3">
      <c r="A1059" s="3">
        <v>33</v>
      </c>
      <c r="B1059" s="3" t="s">
        <v>8123</v>
      </c>
      <c r="C1059" s="14" t="s">
        <v>0</v>
      </c>
      <c r="D1059" s="14" t="s">
        <v>3924</v>
      </c>
      <c r="E1059" s="14" t="s">
        <v>5008</v>
      </c>
      <c r="F1059" s="14" t="s">
        <v>2459</v>
      </c>
      <c r="G1059" s="14" t="s">
        <v>3</v>
      </c>
      <c r="H1059" s="14" t="s">
        <v>8124</v>
      </c>
      <c r="I1059" s="14" t="s">
        <v>3926</v>
      </c>
      <c r="J1059" s="14" t="s">
        <v>60</v>
      </c>
      <c r="K1059" s="14" t="s">
        <v>60</v>
      </c>
      <c r="L1059" s="14" t="s">
        <v>60</v>
      </c>
      <c r="M1059" s="14" t="s">
        <v>3925</v>
      </c>
      <c r="N1059" s="14" t="s">
        <v>60</v>
      </c>
      <c r="O1059" s="14" t="s">
        <v>3910</v>
      </c>
      <c r="P1059" s="14" t="s">
        <v>3927</v>
      </c>
      <c r="Q1059" s="14" t="s">
        <v>2484</v>
      </c>
      <c r="R1059" s="3">
        <v>0</v>
      </c>
      <c r="S1059" s="3">
        <f t="shared" si="54"/>
        <v>550</v>
      </c>
      <c r="T1059" s="3">
        <f t="shared" si="55"/>
        <v>0</v>
      </c>
      <c r="U1059" s="3" t="s">
        <v>60</v>
      </c>
      <c r="V1059" s="14" t="s">
        <v>6</v>
      </c>
      <c r="W1059" s="14" t="s">
        <v>7946</v>
      </c>
      <c r="X1059" s="14" t="s">
        <v>60</v>
      </c>
    </row>
    <row r="1060" spans="1:24" ht="15" x14ac:dyDescent="0.3">
      <c r="A1060" s="3">
        <v>34</v>
      </c>
      <c r="B1060" s="3" t="s">
        <v>8125</v>
      </c>
      <c r="C1060" s="14" t="s">
        <v>91</v>
      </c>
      <c r="D1060" s="14" t="s">
        <v>2444</v>
      </c>
      <c r="E1060" s="14" t="s">
        <v>8126</v>
      </c>
      <c r="F1060" s="14" t="s">
        <v>2445</v>
      </c>
      <c r="G1060" s="14" t="s">
        <v>3</v>
      </c>
      <c r="H1060" s="14" t="s">
        <v>2446</v>
      </c>
      <c r="I1060" s="14" t="s">
        <v>2447</v>
      </c>
      <c r="J1060" s="14" t="s">
        <v>60</v>
      </c>
      <c r="K1060" s="14" t="s">
        <v>60</v>
      </c>
      <c r="L1060" s="14" t="s">
        <v>60</v>
      </c>
      <c r="M1060" s="14" t="s">
        <v>2448</v>
      </c>
      <c r="N1060" s="14" t="s">
        <v>60</v>
      </c>
      <c r="O1060" s="14" t="s">
        <v>60</v>
      </c>
      <c r="P1060" s="14" t="s">
        <v>8127</v>
      </c>
      <c r="Q1060" s="14" t="s">
        <v>11</v>
      </c>
      <c r="R1060" s="3">
        <v>0</v>
      </c>
      <c r="S1060" s="3">
        <f t="shared" si="54"/>
        <v>770</v>
      </c>
      <c r="T1060" s="3">
        <f t="shared" si="55"/>
        <v>0</v>
      </c>
      <c r="U1060" s="3" t="s">
        <v>60</v>
      </c>
      <c r="V1060" s="14" t="s">
        <v>6</v>
      </c>
      <c r="W1060" s="14" t="s">
        <v>7850</v>
      </c>
      <c r="X1060" s="14" t="s">
        <v>60</v>
      </c>
    </row>
    <row r="1061" spans="1:24" ht="15.6" x14ac:dyDescent="0.3">
      <c r="A1061" s="3">
        <v>35</v>
      </c>
      <c r="B1061" s="25" t="s">
        <v>8128</v>
      </c>
      <c r="C1061" s="14" t="s">
        <v>0</v>
      </c>
      <c r="D1061" s="14" t="s">
        <v>8129</v>
      </c>
      <c r="E1061" s="31">
        <v>28126</v>
      </c>
      <c r="F1061" s="14" t="s">
        <v>8130</v>
      </c>
      <c r="G1061" s="14" t="s">
        <v>3</v>
      </c>
      <c r="H1061" s="14" t="s">
        <v>8131</v>
      </c>
      <c r="I1061" s="14" t="s">
        <v>8132</v>
      </c>
      <c r="J1061" s="14" t="s">
        <v>60</v>
      </c>
      <c r="K1061" s="14" t="s">
        <v>60</v>
      </c>
      <c r="L1061" s="14" t="s">
        <v>60</v>
      </c>
      <c r="M1061" s="14" t="s">
        <v>8133</v>
      </c>
      <c r="N1061" s="14" t="s">
        <v>60</v>
      </c>
      <c r="O1061" s="14" t="s">
        <v>60</v>
      </c>
      <c r="P1061" s="14" t="s">
        <v>8134</v>
      </c>
      <c r="Q1061" s="14" t="s">
        <v>11</v>
      </c>
      <c r="R1061" s="3">
        <v>0</v>
      </c>
      <c r="S1061" s="3">
        <f t="shared" si="54"/>
        <v>550</v>
      </c>
      <c r="T1061" s="3">
        <f t="shared" si="55"/>
        <v>0</v>
      </c>
      <c r="U1061" s="3" t="s">
        <v>60</v>
      </c>
      <c r="V1061" s="14" t="s">
        <v>6</v>
      </c>
      <c r="W1061" s="14" t="s">
        <v>8135</v>
      </c>
      <c r="X1061" s="14" t="s">
        <v>60</v>
      </c>
    </row>
    <row r="1062" spans="1:24" ht="15.6" x14ac:dyDescent="0.3">
      <c r="A1062" s="3">
        <v>36</v>
      </c>
      <c r="B1062" s="25" t="s">
        <v>8136</v>
      </c>
      <c r="C1062" s="14" t="s">
        <v>0</v>
      </c>
      <c r="D1062" s="14" t="s">
        <v>8137</v>
      </c>
      <c r="E1062" s="31">
        <v>36526</v>
      </c>
      <c r="F1062" s="14" t="s">
        <v>8138</v>
      </c>
      <c r="G1062" s="14" t="s">
        <v>3</v>
      </c>
      <c r="H1062" s="14" t="s">
        <v>8139</v>
      </c>
      <c r="I1062" s="14" t="s">
        <v>8140</v>
      </c>
      <c r="J1062" s="14" t="s">
        <v>60</v>
      </c>
      <c r="K1062" s="14" t="s">
        <v>60</v>
      </c>
      <c r="L1062" s="14" t="s">
        <v>60</v>
      </c>
      <c r="M1062" s="14" t="s">
        <v>8141</v>
      </c>
      <c r="N1062" s="14" t="s">
        <v>60</v>
      </c>
      <c r="O1062" s="14" t="s">
        <v>60</v>
      </c>
      <c r="P1062" s="14" t="s">
        <v>8142</v>
      </c>
      <c r="Q1062" s="14" t="s">
        <v>8143</v>
      </c>
      <c r="R1062" s="3">
        <v>0</v>
      </c>
      <c r="S1062" s="3">
        <f t="shared" si="54"/>
        <v>550</v>
      </c>
      <c r="T1062" s="3">
        <f t="shared" si="55"/>
        <v>0</v>
      </c>
      <c r="U1062" s="3" t="s">
        <v>8144</v>
      </c>
      <c r="V1062" s="14" t="s">
        <v>6</v>
      </c>
      <c r="W1062" s="14" t="s">
        <v>8135</v>
      </c>
      <c r="X1062" s="14" t="s">
        <v>60</v>
      </c>
    </row>
    <row r="1063" spans="1:24" ht="15.6" x14ac:dyDescent="0.3">
      <c r="A1063" s="26" t="s">
        <v>60</v>
      </c>
      <c r="B1063" s="26" t="s">
        <v>60</v>
      </c>
      <c r="C1063" s="27" t="s">
        <v>60</v>
      </c>
      <c r="D1063" s="27" t="s">
        <v>60</v>
      </c>
      <c r="E1063" s="27" t="s">
        <v>60</v>
      </c>
      <c r="F1063" s="27" t="s">
        <v>60</v>
      </c>
      <c r="G1063" s="27" t="s">
        <v>60</v>
      </c>
      <c r="H1063" s="27" t="s">
        <v>60</v>
      </c>
      <c r="I1063" s="27" t="s">
        <v>60</v>
      </c>
      <c r="J1063" s="27" t="s">
        <v>60</v>
      </c>
      <c r="K1063" s="27" t="s">
        <v>60</v>
      </c>
      <c r="L1063" s="27" t="s">
        <v>60</v>
      </c>
      <c r="M1063" s="27" t="s">
        <v>60</v>
      </c>
      <c r="N1063" s="27" t="s">
        <v>60</v>
      </c>
      <c r="O1063" s="27" t="s">
        <v>60</v>
      </c>
      <c r="P1063" s="27" t="s">
        <v>60</v>
      </c>
      <c r="Q1063" s="27" t="s">
        <v>60</v>
      </c>
      <c r="R1063" s="35" t="s">
        <v>2009</v>
      </c>
      <c r="S1063" s="35" t="s">
        <v>60</v>
      </c>
      <c r="T1063" s="26">
        <f>SUM(T1026:T1062)</f>
        <v>0</v>
      </c>
      <c r="U1063" s="26" t="s">
        <v>8145</v>
      </c>
      <c r="V1063" s="27" t="s">
        <v>60</v>
      </c>
      <c r="W1063" s="27" t="s">
        <v>60</v>
      </c>
      <c r="X1063" s="27" t="s">
        <v>60</v>
      </c>
    </row>
    <row r="1064" spans="1:24" ht="15.6" x14ac:dyDescent="0.3">
      <c r="A1064" s="34" t="s">
        <v>8146</v>
      </c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</row>
    <row r="1065" spans="1:24" ht="109.2" x14ac:dyDescent="0.3">
      <c r="A1065" s="23" t="s">
        <v>42</v>
      </c>
      <c r="B1065" s="23" t="s">
        <v>43</v>
      </c>
      <c r="C1065" s="24" t="s">
        <v>44</v>
      </c>
      <c r="D1065" s="24" t="s">
        <v>4154</v>
      </c>
      <c r="E1065" s="24" t="s">
        <v>4155</v>
      </c>
      <c r="F1065" s="24" t="s">
        <v>4156</v>
      </c>
      <c r="G1065" s="24" t="s">
        <v>45</v>
      </c>
      <c r="H1065" s="24" t="s">
        <v>4157</v>
      </c>
      <c r="I1065" s="24" t="s">
        <v>46</v>
      </c>
      <c r="J1065" s="24" t="s">
        <v>4158</v>
      </c>
      <c r="K1065" s="24" t="s">
        <v>4159</v>
      </c>
      <c r="L1065" s="24" t="s">
        <v>4160</v>
      </c>
      <c r="M1065" s="24" t="s">
        <v>4161</v>
      </c>
      <c r="N1065" s="24" t="s">
        <v>47</v>
      </c>
      <c r="O1065" s="24" t="s">
        <v>48</v>
      </c>
      <c r="P1065" s="24" t="s">
        <v>49</v>
      </c>
      <c r="Q1065" s="24" t="s">
        <v>50</v>
      </c>
      <c r="R1065" s="23" t="s">
        <v>4162</v>
      </c>
      <c r="S1065" s="23" t="s">
        <v>4163</v>
      </c>
      <c r="T1065" s="23" t="s">
        <v>4164</v>
      </c>
      <c r="U1065" s="23" t="s">
        <v>4165</v>
      </c>
      <c r="V1065" s="24" t="s">
        <v>51</v>
      </c>
      <c r="W1065" s="24" t="s">
        <v>52</v>
      </c>
      <c r="X1065" s="24" t="s">
        <v>53</v>
      </c>
    </row>
    <row r="1066" spans="1:24" ht="15" x14ac:dyDescent="0.3">
      <c r="A1066" s="3">
        <v>1</v>
      </c>
      <c r="B1066" s="3" t="s">
        <v>8147</v>
      </c>
      <c r="C1066" s="14" t="s">
        <v>26</v>
      </c>
      <c r="D1066" s="14" t="s">
        <v>2614</v>
      </c>
      <c r="E1066" s="14" t="s">
        <v>4778</v>
      </c>
      <c r="F1066" s="14" t="s">
        <v>1528</v>
      </c>
      <c r="G1066" s="14" t="s">
        <v>3</v>
      </c>
      <c r="H1066" s="14" t="s">
        <v>8148</v>
      </c>
      <c r="I1066" s="14" t="s">
        <v>2615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2616</v>
      </c>
      <c r="P1066" s="14" t="s">
        <v>8149</v>
      </c>
      <c r="Q1066" s="14" t="s">
        <v>11</v>
      </c>
      <c r="R1066" s="3">
        <v>0</v>
      </c>
      <c r="S1066" s="3">
        <f t="shared" ref="S1066:S1099" si="56">IF(RIGHT(C1066,3)="MAZ",550,IF(RIGHT(C1066,4)="MATE",570,IF(RIGHT(C1066,7)="SKD-III",640,IF(RIGHT(C1066,6)="SKD-II",770,IF(RIGHT(C1066,5)="SKD-I",900,IF(RIGHT(C1066,5)="CPDVR",770,""))))))</f>
        <v>770</v>
      </c>
      <c r="T1066" s="3">
        <f t="shared" ref="T1066:T1088" si="57">R1066*S1066</f>
        <v>0</v>
      </c>
      <c r="U1066" s="3" t="s">
        <v>60</v>
      </c>
      <c r="V1066" s="14" t="s">
        <v>6</v>
      </c>
      <c r="W1066" s="14" t="s">
        <v>4980</v>
      </c>
      <c r="X1066" s="14" t="s">
        <v>60</v>
      </c>
    </row>
    <row r="1067" spans="1:24" ht="15" x14ac:dyDescent="0.3">
      <c r="A1067" s="3">
        <v>2</v>
      </c>
      <c r="B1067" s="3" t="s">
        <v>8150</v>
      </c>
      <c r="C1067" s="14" t="s">
        <v>91</v>
      </c>
      <c r="D1067" s="14" t="s">
        <v>259</v>
      </c>
      <c r="E1067" s="14" t="s">
        <v>8151</v>
      </c>
      <c r="F1067" s="14" t="s">
        <v>2638</v>
      </c>
      <c r="G1067" s="14" t="s">
        <v>3</v>
      </c>
      <c r="H1067" s="14" t="s">
        <v>8152</v>
      </c>
      <c r="I1067" s="14" t="s">
        <v>2639</v>
      </c>
      <c r="J1067" s="14" t="s">
        <v>60</v>
      </c>
      <c r="K1067" s="14" t="s">
        <v>60</v>
      </c>
      <c r="L1067" s="14" t="s">
        <v>60</v>
      </c>
      <c r="M1067" s="14" t="s">
        <v>2640</v>
      </c>
      <c r="N1067" s="14" t="s">
        <v>60</v>
      </c>
      <c r="O1067" s="14" t="s">
        <v>261</v>
      </c>
      <c r="P1067" s="14" t="s">
        <v>8153</v>
      </c>
      <c r="Q1067" s="14" t="s">
        <v>11</v>
      </c>
      <c r="R1067" s="3">
        <v>0</v>
      </c>
      <c r="S1067" s="3">
        <f t="shared" si="56"/>
        <v>770</v>
      </c>
      <c r="T1067" s="3">
        <f t="shared" si="57"/>
        <v>0</v>
      </c>
      <c r="U1067" s="3" t="s">
        <v>60</v>
      </c>
      <c r="V1067" s="14" t="s">
        <v>4301</v>
      </c>
      <c r="W1067" s="14" t="s">
        <v>8154</v>
      </c>
      <c r="X1067" s="14" t="s">
        <v>60</v>
      </c>
    </row>
    <row r="1068" spans="1:24" ht="15" x14ac:dyDescent="0.3">
      <c r="A1068" s="3">
        <v>3</v>
      </c>
      <c r="B1068" s="3" t="s">
        <v>8155</v>
      </c>
      <c r="C1068" s="14" t="s">
        <v>0</v>
      </c>
      <c r="D1068" s="14" t="s">
        <v>2641</v>
      </c>
      <c r="E1068" s="14" t="s">
        <v>8156</v>
      </c>
      <c r="F1068" s="14" t="s">
        <v>2642</v>
      </c>
      <c r="G1068" s="14" t="s">
        <v>3</v>
      </c>
      <c r="H1068" s="14" t="s">
        <v>8157</v>
      </c>
      <c r="I1068" s="14" t="s">
        <v>2643</v>
      </c>
      <c r="J1068" s="14" t="s">
        <v>60</v>
      </c>
      <c r="K1068" s="14" t="s">
        <v>60</v>
      </c>
      <c r="L1068" s="14" t="s">
        <v>60</v>
      </c>
      <c r="M1068" s="14" t="s">
        <v>2644</v>
      </c>
      <c r="N1068" s="14" t="s">
        <v>60</v>
      </c>
      <c r="O1068" s="14" t="s">
        <v>261</v>
      </c>
      <c r="P1068" s="14" t="s">
        <v>8158</v>
      </c>
      <c r="Q1068" s="14" t="s">
        <v>11</v>
      </c>
      <c r="R1068" s="3">
        <v>0</v>
      </c>
      <c r="S1068" s="3">
        <f t="shared" si="56"/>
        <v>550</v>
      </c>
      <c r="T1068" s="3">
        <f t="shared" si="57"/>
        <v>0</v>
      </c>
      <c r="U1068" s="3" t="s">
        <v>60</v>
      </c>
      <c r="V1068" s="14" t="s">
        <v>4301</v>
      </c>
      <c r="W1068" s="14" t="s">
        <v>6984</v>
      </c>
      <c r="X1068" s="14" t="s">
        <v>60</v>
      </c>
    </row>
    <row r="1069" spans="1:24" ht="15" x14ac:dyDescent="0.3">
      <c r="A1069" s="3">
        <v>4</v>
      </c>
      <c r="B1069" s="3" t="s">
        <v>8159</v>
      </c>
      <c r="C1069" s="14" t="s">
        <v>0</v>
      </c>
      <c r="D1069" s="14" t="s">
        <v>2645</v>
      </c>
      <c r="E1069" s="14" t="s">
        <v>8160</v>
      </c>
      <c r="F1069" s="14" t="s">
        <v>2646</v>
      </c>
      <c r="G1069" s="14" t="s">
        <v>3</v>
      </c>
      <c r="H1069" s="14" t="s">
        <v>8161</v>
      </c>
      <c r="I1069" s="14" t="s">
        <v>2647</v>
      </c>
      <c r="J1069" s="14" t="s">
        <v>60</v>
      </c>
      <c r="K1069" s="14" t="s">
        <v>60</v>
      </c>
      <c r="L1069" s="14" t="s">
        <v>60</v>
      </c>
      <c r="M1069" s="14" t="s">
        <v>2648</v>
      </c>
      <c r="N1069" s="14" t="s">
        <v>60</v>
      </c>
      <c r="O1069" s="14" t="s">
        <v>261</v>
      </c>
      <c r="P1069" s="14" t="s">
        <v>8162</v>
      </c>
      <c r="Q1069" s="14" t="s">
        <v>11</v>
      </c>
      <c r="R1069" s="3">
        <v>0</v>
      </c>
      <c r="S1069" s="3">
        <f t="shared" si="56"/>
        <v>550</v>
      </c>
      <c r="T1069" s="3">
        <f t="shared" si="57"/>
        <v>0</v>
      </c>
      <c r="U1069" s="3" t="s">
        <v>60</v>
      </c>
      <c r="V1069" s="14" t="s">
        <v>4301</v>
      </c>
      <c r="W1069" s="14" t="s">
        <v>6984</v>
      </c>
      <c r="X1069" s="14" t="s">
        <v>60</v>
      </c>
    </row>
    <row r="1070" spans="1:24" ht="15" x14ac:dyDescent="0.3">
      <c r="A1070" s="3">
        <v>5</v>
      </c>
      <c r="B1070" s="3" t="s">
        <v>8163</v>
      </c>
      <c r="C1070" s="14" t="s">
        <v>0</v>
      </c>
      <c r="D1070" s="14" t="s">
        <v>2649</v>
      </c>
      <c r="E1070" s="14" t="s">
        <v>8164</v>
      </c>
      <c r="F1070" s="14" t="s">
        <v>1465</v>
      </c>
      <c r="G1070" s="14" t="s">
        <v>3</v>
      </c>
      <c r="H1070" s="14" t="s">
        <v>8165</v>
      </c>
      <c r="I1070" s="14" t="s">
        <v>2650</v>
      </c>
      <c r="J1070" s="14" t="s">
        <v>60</v>
      </c>
      <c r="K1070" s="14" t="s">
        <v>60</v>
      </c>
      <c r="L1070" s="14" t="s">
        <v>60</v>
      </c>
      <c r="M1070" s="14" t="s">
        <v>2651</v>
      </c>
      <c r="N1070" s="14" t="s">
        <v>60</v>
      </c>
      <c r="O1070" s="14" t="s">
        <v>261</v>
      </c>
      <c r="P1070" s="14" t="s">
        <v>8166</v>
      </c>
      <c r="Q1070" s="14" t="s">
        <v>11</v>
      </c>
      <c r="R1070" s="3">
        <v>0</v>
      </c>
      <c r="S1070" s="3">
        <f t="shared" si="56"/>
        <v>550</v>
      </c>
      <c r="T1070" s="3">
        <f t="shared" si="57"/>
        <v>0</v>
      </c>
      <c r="U1070" s="3" t="s">
        <v>60</v>
      </c>
      <c r="V1070" s="14" t="s">
        <v>4301</v>
      </c>
      <c r="W1070" s="14" t="s">
        <v>6984</v>
      </c>
      <c r="X1070" s="14" t="s">
        <v>60</v>
      </c>
    </row>
    <row r="1071" spans="1:24" ht="15" x14ac:dyDescent="0.3">
      <c r="A1071" s="3">
        <v>6</v>
      </c>
      <c r="B1071" s="3" t="s">
        <v>8167</v>
      </c>
      <c r="C1071" s="14" t="s">
        <v>710</v>
      </c>
      <c r="D1071" s="14" t="s">
        <v>2652</v>
      </c>
      <c r="E1071" s="14" t="s">
        <v>8168</v>
      </c>
      <c r="F1071" s="14" t="s">
        <v>2653</v>
      </c>
      <c r="G1071" s="14" t="s">
        <v>3</v>
      </c>
      <c r="H1071" s="14" t="s">
        <v>8169</v>
      </c>
      <c r="I1071" s="14" t="s">
        <v>2654</v>
      </c>
      <c r="J1071" s="14" t="s">
        <v>1183</v>
      </c>
      <c r="K1071" s="14" t="s">
        <v>1152</v>
      </c>
      <c r="L1071" s="14" t="s">
        <v>60</v>
      </c>
      <c r="M1071" s="14" t="s">
        <v>2655</v>
      </c>
      <c r="N1071" s="14" t="s">
        <v>60</v>
      </c>
      <c r="O1071" s="14" t="s">
        <v>193</v>
      </c>
      <c r="P1071" s="14" t="s">
        <v>8170</v>
      </c>
      <c r="Q1071" s="14" t="s">
        <v>11</v>
      </c>
      <c r="R1071" s="3">
        <v>0</v>
      </c>
      <c r="S1071" s="3">
        <f t="shared" si="56"/>
        <v>900</v>
      </c>
      <c r="T1071" s="3">
        <f t="shared" si="57"/>
        <v>0</v>
      </c>
      <c r="U1071" s="3" t="s">
        <v>60</v>
      </c>
      <c r="V1071" s="14" t="s">
        <v>6</v>
      </c>
      <c r="W1071" s="14" t="s">
        <v>6349</v>
      </c>
      <c r="X1071" s="14" t="s">
        <v>60</v>
      </c>
    </row>
    <row r="1072" spans="1:24" ht="15" x14ac:dyDescent="0.3">
      <c r="A1072" s="3">
        <v>7</v>
      </c>
      <c r="B1072" s="3" t="s">
        <v>8171</v>
      </c>
      <c r="C1072" s="14" t="s">
        <v>91</v>
      </c>
      <c r="D1072" s="14" t="s">
        <v>2656</v>
      </c>
      <c r="E1072" s="14" t="s">
        <v>8172</v>
      </c>
      <c r="F1072" s="14" t="s">
        <v>2657</v>
      </c>
      <c r="G1072" s="14" t="s">
        <v>3</v>
      </c>
      <c r="H1072" s="14" t="s">
        <v>2658</v>
      </c>
      <c r="I1072" s="14" t="s">
        <v>2659</v>
      </c>
      <c r="J1072" s="14" t="s">
        <v>60</v>
      </c>
      <c r="K1072" s="14" t="s">
        <v>60</v>
      </c>
      <c r="L1072" s="14" t="s">
        <v>60</v>
      </c>
      <c r="M1072" s="14" t="s">
        <v>2660</v>
      </c>
      <c r="N1072" s="14" t="s">
        <v>60</v>
      </c>
      <c r="O1072" s="14" t="s">
        <v>60</v>
      </c>
      <c r="P1072" s="14" t="s">
        <v>8173</v>
      </c>
      <c r="Q1072" s="14" t="s">
        <v>11</v>
      </c>
      <c r="R1072" s="3">
        <v>0</v>
      </c>
      <c r="S1072" s="3">
        <f t="shared" si="56"/>
        <v>770</v>
      </c>
      <c r="T1072" s="3">
        <f t="shared" si="57"/>
        <v>0</v>
      </c>
      <c r="U1072" s="3" t="s">
        <v>60</v>
      </c>
      <c r="V1072" s="14" t="s">
        <v>6</v>
      </c>
      <c r="W1072" s="14" t="s">
        <v>8174</v>
      </c>
      <c r="X1072" s="14" t="s">
        <v>8175</v>
      </c>
    </row>
    <row r="1073" spans="1:24" ht="15" x14ac:dyDescent="0.3">
      <c r="A1073" s="3">
        <v>8</v>
      </c>
      <c r="B1073" s="3" t="s">
        <v>8176</v>
      </c>
      <c r="C1073" s="14" t="s">
        <v>710</v>
      </c>
      <c r="D1073" s="14" t="s">
        <v>2661</v>
      </c>
      <c r="E1073" s="14" t="s">
        <v>8177</v>
      </c>
      <c r="F1073" s="14" t="s">
        <v>2662</v>
      </c>
      <c r="G1073" s="14" t="s">
        <v>3</v>
      </c>
      <c r="H1073" s="14" t="s">
        <v>8178</v>
      </c>
      <c r="I1073" s="14" t="s">
        <v>2663</v>
      </c>
      <c r="J1073" s="14" t="s">
        <v>60</v>
      </c>
      <c r="K1073" s="14" t="s">
        <v>60</v>
      </c>
      <c r="L1073" s="14" t="s">
        <v>60</v>
      </c>
      <c r="M1073" s="14" t="s">
        <v>60</v>
      </c>
      <c r="N1073" s="14" t="s">
        <v>60</v>
      </c>
      <c r="O1073" s="14" t="s">
        <v>60</v>
      </c>
      <c r="P1073" s="14" t="s">
        <v>8179</v>
      </c>
      <c r="Q1073" s="14" t="s">
        <v>2664</v>
      </c>
      <c r="R1073" s="3">
        <v>0</v>
      </c>
      <c r="S1073" s="3">
        <f t="shared" si="56"/>
        <v>900</v>
      </c>
      <c r="T1073" s="3">
        <f t="shared" si="57"/>
        <v>0</v>
      </c>
      <c r="U1073" s="3" t="s">
        <v>60</v>
      </c>
      <c r="V1073" s="14" t="s">
        <v>4208</v>
      </c>
      <c r="W1073" s="14" t="s">
        <v>4577</v>
      </c>
      <c r="X1073" s="14" t="s">
        <v>60</v>
      </c>
    </row>
    <row r="1074" spans="1:24" ht="15" x14ac:dyDescent="0.3">
      <c r="A1074" s="3">
        <v>9</v>
      </c>
      <c r="B1074" s="3" t="s">
        <v>8180</v>
      </c>
      <c r="C1074" s="14" t="s">
        <v>0</v>
      </c>
      <c r="D1074" s="14" t="s">
        <v>2665</v>
      </c>
      <c r="E1074" s="14" t="s">
        <v>8181</v>
      </c>
      <c r="F1074" s="14" t="s">
        <v>2638</v>
      </c>
      <c r="G1074" s="14" t="s">
        <v>121</v>
      </c>
      <c r="H1074" s="14" t="s">
        <v>8182</v>
      </c>
      <c r="I1074" s="14" t="s">
        <v>2666</v>
      </c>
      <c r="J1074" s="14" t="s">
        <v>60</v>
      </c>
      <c r="K1074" s="14" t="s">
        <v>60</v>
      </c>
      <c r="L1074" s="14" t="s">
        <v>60</v>
      </c>
      <c r="M1074" s="14" t="s">
        <v>60</v>
      </c>
      <c r="N1074" s="14" t="s">
        <v>60</v>
      </c>
      <c r="O1074" s="14" t="s">
        <v>60</v>
      </c>
      <c r="P1074" s="14" t="s">
        <v>8183</v>
      </c>
      <c r="Q1074" s="14" t="s">
        <v>11</v>
      </c>
      <c r="R1074" s="3">
        <v>0</v>
      </c>
      <c r="S1074" s="3">
        <f t="shared" si="56"/>
        <v>550</v>
      </c>
      <c r="T1074" s="3">
        <f t="shared" si="57"/>
        <v>0</v>
      </c>
      <c r="U1074" s="3" t="s">
        <v>60</v>
      </c>
      <c r="V1074" s="14" t="s">
        <v>6</v>
      </c>
      <c r="W1074" s="14" t="s">
        <v>8184</v>
      </c>
      <c r="X1074" s="14" t="s">
        <v>60</v>
      </c>
    </row>
    <row r="1075" spans="1:24" ht="15" x14ac:dyDescent="0.3">
      <c r="A1075" s="3">
        <v>10</v>
      </c>
      <c r="B1075" s="3" t="s">
        <v>8185</v>
      </c>
      <c r="C1075" s="14" t="s">
        <v>0</v>
      </c>
      <c r="D1075" s="14" t="s">
        <v>2667</v>
      </c>
      <c r="E1075" s="14" t="s">
        <v>4216</v>
      </c>
      <c r="F1075" s="14" t="s">
        <v>2668</v>
      </c>
      <c r="G1075" s="14" t="s">
        <v>3</v>
      </c>
      <c r="H1075" s="14" t="s">
        <v>8186</v>
      </c>
      <c r="I1075" s="14" t="s">
        <v>2669</v>
      </c>
      <c r="J1075" s="14" t="s">
        <v>60</v>
      </c>
      <c r="K1075" s="14" t="s">
        <v>60</v>
      </c>
      <c r="L1075" s="14" t="s">
        <v>60</v>
      </c>
      <c r="M1075" s="14" t="s">
        <v>2670</v>
      </c>
      <c r="N1075" s="14" t="s">
        <v>60</v>
      </c>
      <c r="O1075" s="14" t="s">
        <v>60</v>
      </c>
      <c r="P1075" s="14" t="s">
        <v>8187</v>
      </c>
      <c r="Q1075" s="14" t="s">
        <v>11</v>
      </c>
      <c r="R1075" s="3">
        <v>0</v>
      </c>
      <c r="S1075" s="3">
        <f t="shared" si="56"/>
        <v>550</v>
      </c>
      <c r="T1075" s="3">
        <f t="shared" si="57"/>
        <v>0</v>
      </c>
      <c r="U1075" s="3" t="s">
        <v>60</v>
      </c>
      <c r="V1075" s="14" t="s">
        <v>6</v>
      </c>
      <c r="W1075" s="14" t="s">
        <v>5040</v>
      </c>
      <c r="X1075" s="14" t="s">
        <v>60</v>
      </c>
    </row>
    <row r="1076" spans="1:24" ht="15" x14ac:dyDescent="0.3">
      <c r="A1076" s="3">
        <v>11</v>
      </c>
      <c r="B1076" s="3" t="s">
        <v>8188</v>
      </c>
      <c r="C1076" s="14" t="s">
        <v>0</v>
      </c>
      <c r="D1076" s="14" t="s">
        <v>2671</v>
      </c>
      <c r="E1076" s="14" t="s">
        <v>5154</v>
      </c>
      <c r="F1076" s="14" t="s">
        <v>1295</v>
      </c>
      <c r="G1076" s="14" t="s">
        <v>3</v>
      </c>
      <c r="H1076" s="14" t="s">
        <v>8189</v>
      </c>
      <c r="I1076" s="14" t="s">
        <v>2672</v>
      </c>
      <c r="J1076" s="14" t="s">
        <v>60</v>
      </c>
      <c r="K1076" s="14" t="s">
        <v>60</v>
      </c>
      <c r="L1076" s="14" t="s">
        <v>60</v>
      </c>
      <c r="M1076" s="14" t="s">
        <v>2673</v>
      </c>
      <c r="N1076" s="14" t="s">
        <v>60</v>
      </c>
      <c r="O1076" s="14" t="s">
        <v>60</v>
      </c>
      <c r="P1076" s="14" t="s">
        <v>8190</v>
      </c>
      <c r="Q1076" s="14" t="s">
        <v>11</v>
      </c>
      <c r="R1076" s="3">
        <v>0</v>
      </c>
      <c r="S1076" s="3">
        <f t="shared" si="56"/>
        <v>550</v>
      </c>
      <c r="T1076" s="3">
        <f t="shared" si="57"/>
        <v>0</v>
      </c>
      <c r="U1076" s="3" t="s">
        <v>60</v>
      </c>
      <c r="V1076" s="14" t="s">
        <v>6</v>
      </c>
      <c r="W1076" s="14" t="s">
        <v>5040</v>
      </c>
      <c r="X1076" s="14" t="s">
        <v>60</v>
      </c>
    </row>
    <row r="1077" spans="1:24" ht="15" x14ac:dyDescent="0.3">
      <c r="A1077" s="3">
        <v>12</v>
      </c>
      <c r="B1077" s="3" t="s">
        <v>8191</v>
      </c>
      <c r="C1077" s="14" t="s">
        <v>0</v>
      </c>
      <c r="D1077" s="14" t="s">
        <v>2674</v>
      </c>
      <c r="E1077" s="14" t="s">
        <v>4990</v>
      </c>
      <c r="F1077" s="14" t="s">
        <v>2675</v>
      </c>
      <c r="G1077" s="14" t="s">
        <v>3</v>
      </c>
      <c r="H1077" s="14" t="s">
        <v>8192</v>
      </c>
      <c r="I1077" s="14" t="s">
        <v>2676</v>
      </c>
      <c r="J1077" s="14" t="s">
        <v>60</v>
      </c>
      <c r="K1077" s="14" t="s">
        <v>60</v>
      </c>
      <c r="L1077" s="14" t="s">
        <v>60</v>
      </c>
      <c r="M1077" s="14" t="s">
        <v>2677</v>
      </c>
      <c r="N1077" s="14" t="s">
        <v>60</v>
      </c>
      <c r="O1077" s="14" t="s">
        <v>60</v>
      </c>
      <c r="P1077" s="14" t="s">
        <v>8193</v>
      </c>
      <c r="Q1077" s="14" t="s">
        <v>11</v>
      </c>
      <c r="R1077" s="3">
        <v>0</v>
      </c>
      <c r="S1077" s="3">
        <f t="shared" si="56"/>
        <v>550</v>
      </c>
      <c r="T1077" s="3">
        <f t="shared" si="57"/>
        <v>0</v>
      </c>
      <c r="U1077" s="3" t="s">
        <v>60</v>
      </c>
      <c r="V1077" s="14" t="s">
        <v>6</v>
      </c>
      <c r="W1077" s="14" t="s">
        <v>5040</v>
      </c>
      <c r="X1077" s="14" t="s">
        <v>60</v>
      </c>
    </row>
    <row r="1078" spans="1:24" ht="15" x14ac:dyDescent="0.3">
      <c r="A1078" s="3">
        <v>13</v>
      </c>
      <c r="B1078" s="3" t="s">
        <v>8194</v>
      </c>
      <c r="C1078" s="14" t="s">
        <v>0</v>
      </c>
      <c r="D1078" s="14" t="s">
        <v>2678</v>
      </c>
      <c r="E1078" s="14" t="s">
        <v>4200</v>
      </c>
      <c r="F1078" s="14" t="s">
        <v>2679</v>
      </c>
      <c r="G1078" s="14" t="s">
        <v>3</v>
      </c>
      <c r="H1078" s="14" t="s">
        <v>8195</v>
      </c>
      <c r="I1078" s="14" t="s">
        <v>2680</v>
      </c>
      <c r="J1078" s="14" t="s">
        <v>60</v>
      </c>
      <c r="K1078" s="14" t="s">
        <v>60</v>
      </c>
      <c r="L1078" s="14" t="s">
        <v>60</v>
      </c>
      <c r="M1078" s="14" t="s">
        <v>2681</v>
      </c>
      <c r="N1078" s="14" t="s">
        <v>60</v>
      </c>
      <c r="O1078" s="14" t="s">
        <v>60</v>
      </c>
      <c r="P1078" s="14" t="s">
        <v>8196</v>
      </c>
      <c r="Q1078" s="14" t="s">
        <v>11</v>
      </c>
      <c r="R1078" s="3">
        <v>0</v>
      </c>
      <c r="S1078" s="3">
        <f t="shared" si="56"/>
        <v>550</v>
      </c>
      <c r="T1078" s="3">
        <f t="shared" si="57"/>
        <v>0</v>
      </c>
      <c r="U1078" s="3" t="s">
        <v>60</v>
      </c>
      <c r="V1078" s="14" t="s">
        <v>6</v>
      </c>
      <c r="W1078" s="14" t="s">
        <v>5040</v>
      </c>
      <c r="X1078" s="14" t="s">
        <v>60</v>
      </c>
    </row>
    <row r="1079" spans="1:24" ht="15" x14ac:dyDescent="0.3">
      <c r="A1079" s="3">
        <v>14</v>
      </c>
      <c r="B1079" s="3" t="s">
        <v>8197</v>
      </c>
      <c r="C1079" s="14" t="s">
        <v>14</v>
      </c>
      <c r="D1079" s="14" t="s">
        <v>2682</v>
      </c>
      <c r="E1079" s="14" t="s">
        <v>8198</v>
      </c>
      <c r="F1079" s="14" t="s">
        <v>2683</v>
      </c>
      <c r="G1079" s="14" t="s">
        <v>3</v>
      </c>
      <c r="H1079" s="14" t="s">
        <v>8199</v>
      </c>
      <c r="I1079" s="14" t="s">
        <v>2684</v>
      </c>
      <c r="J1079" s="14" t="s">
        <v>60</v>
      </c>
      <c r="K1079" s="14" t="s">
        <v>60</v>
      </c>
      <c r="L1079" s="14" t="s">
        <v>60</v>
      </c>
      <c r="M1079" s="14" t="s">
        <v>2685</v>
      </c>
      <c r="N1079" s="14" t="s">
        <v>60</v>
      </c>
      <c r="O1079" s="14" t="s">
        <v>60</v>
      </c>
      <c r="P1079" s="14" t="s">
        <v>8200</v>
      </c>
      <c r="Q1079" s="14" t="s">
        <v>11</v>
      </c>
      <c r="R1079" s="3">
        <v>0</v>
      </c>
      <c r="S1079" s="3">
        <f t="shared" si="56"/>
        <v>640</v>
      </c>
      <c r="T1079" s="3">
        <f t="shared" si="57"/>
        <v>0</v>
      </c>
      <c r="U1079" s="3" t="s">
        <v>60</v>
      </c>
      <c r="V1079" s="14" t="s">
        <v>6</v>
      </c>
      <c r="W1079" s="14" t="s">
        <v>5040</v>
      </c>
      <c r="X1079" s="14" t="s">
        <v>60</v>
      </c>
    </row>
    <row r="1080" spans="1:24" ht="15" x14ac:dyDescent="0.3">
      <c r="A1080" s="3">
        <v>15</v>
      </c>
      <c r="B1080" s="3" t="s">
        <v>8201</v>
      </c>
      <c r="C1080" s="14" t="s">
        <v>0</v>
      </c>
      <c r="D1080" s="14" t="s">
        <v>2686</v>
      </c>
      <c r="E1080" s="14" t="s">
        <v>4430</v>
      </c>
      <c r="F1080" s="14" t="s">
        <v>2687</v>
      </c>
      <c r="G1080" s="14" t="s">
        <v>3</v>
      </c>
      <c r="H1080" s="14" t="s">
        <v>8202</v>
      </c>
      <c r="I1080" s="14" t="s">
        <v>2688</v>
      </c>
      <c r="J1080" s="14" t="s">
        <v>60</v>
      </c>
      <c r="K1080" s="14" t="s">
        <v>60</v>
      </c>
      <c r="L1080" s="14" t="s">
        <v>60</v>
      </c>
      <c r="M1080" s="14" t="s">
        <v>2689</v>
      </c>
      <c r="N1080" s="14" t="s">
        <v>60</v>
      </c>
      <c r="O1080" s="14" t="s">
        <v>60</v>
      </c>
      <c r="P1080" s="14" t="s">
        <v>8203</v>
      </c>
      <c r="Q1080" s="14" t="s">
        <v>11</v>
      </c>
      <c r="R1080" s="3">
        <v>0</v>
      </c>
      <c r="S1080" s="3">
        <f t="shared" si="56"/>
        <v>550</v>
      </c>
      <c r="T1080" s="3">
        <f t="shared" si="57"/>
        <v>0</v>
      </c>
      <c r="U1080" s="3" t="s">
        <v>60</v>
      </c>
      <c r="V1080" s="14" t="s">
        <v>6</v>
      </c>
      <c r="W1080" s="14" t="s">
        <v>5040</v>
      </c>
      <c r="X1080" s="14" t="s">
        <v>60</v>
      </c>
    </row>
    <row r="1081" spans="1:24" ht="15" x14ac:dyDescent="0.3">
      <c r="A1081" s="3">
        <v>16</v>
      </c>
      <c r="B1081" s="3" t="s">
        <v>8204</v>
      </c>
      <c r="C1081" s="14" t="s">
        <v>710</v>
      </c>
      <c r="D1081" s="14" t="s">
        <v>2690</v>
      </c>
      <c r="E1081" s="14" t="s">
        <v>8205</v>
      </c>
      <c r="F1081" s="14" t="s">
        <v>2691</v>
      </c>
      <c r="G1081" s="14" t="s">
        <v>3</v>
      </c>
      <c r="H1081" s="14" t="s">
        <v>8206</v>
      </c>
      <c r="I1081" s="14" t="s">
        <v>60</v>
      </c>
      <c r="J1081" s="14" t="s">
        <v>60</v>
      </c>
      <c r="K1081" s="14" t="s">
        <v>60</v>
      </c>
      <c r="L1081" s="14" t="s">
        <v>60</v>
      </c>
      <c r="M1081" s="14" t="s">
        <v>8207</v>
      </c>
      <c r="N1081" s="14" t="s">
        <v>60</v>
      </c>
      <c r="O1081" s="14" t="s">
        <v>60</v>
      </c>
      <c r="P1081" s="14" t="s">
        <v>8208</v>
      </c>
      <c r="Q1081" s="14" t="s">
        <v>11</v>
      </c>
      <c r="R1081" s="3">
        <v>0</v>
      </c>
      <c r="S1081" s="3">
        <f t="shared" si="56"/>
        <v>900</v>
      </c>
      <c r="T1081" s="3">
        <f t="shared" si="57"/>
        <v>0</v>
      </c>
      <c r="U1081" s="3" t="s">
        <v>60</v>
      </c>
      <c r="V1081" s="14" t="s">
        <v>6</v>
      </c>
      <c r="W1081" s="14" t="s">
        <v>8033</v>
      </c>
      <c r="X1081" s="14" t="s">
        <v>60</v>
      </c>
    </row>
    <row r="1082" spans="1:24" ht="15" x14ac:dyDescent="0.3">
      <c r="A1082" s="3">
        <v>17</v>
      </c>
      <c r="B1082" s="3" t="s">
        <v>8209</v>
      </c>
      <c r="C1082" s="14" t="s">
        <v>91</v>
      </c>
      <c r="D1082" s="14" t="s">
        <v>1639</v>
      </c>
      <c r="E1082" s="14" t="s">
        <v>8210</v>
      </c>
      <c r="F1082" s="14" t="s">
        <v>2692</v>
      </c>
      <c r="G1082" s="14" t="s">
        <v>3</v>
      </c>
      <c r="H1082" s="14" t="s">
        <v>8211</v>
      </c>
      <c r="I1082" s="14" t="s">
        <v>2693</v>
      </c>
      <c r="J1082" s="14" t="s">
        <v>60</v>
      </c>
      <c r="K1082" s="14" t="s">
        <v>60</v>
      </c>
      <c r="L1082" s="14" t="s">
        <v>60</v>
      </c>
      <c r="M1082" s="14" t="s">
        <v>2694</v>
      </c>
      <c r="N1082" s="14" t="s">
        <v>60</v>
      </c>
      <c r="O1082" s="14" t="s">
        <v>60</v>
      </c>
      <c r="P1082" s="14" t="s">
        <v>8212</v>
      </c>
      <c r="Q1082" s="14" t="s">
        <v>2695</v>
      </c>
      <c r="R1082" s="3">
        <v>0</v>
      </c>
      <c r="S1082" s="3">
        <f t="shared" si="56"/>
        <v>770</v>
      </c>
      <c r="T1082" s="3">
        <f t="shared" si="57"/>
        <v>0</v>
      </c>
      <c r="U1082" s="3" t="s">
        <v>60</v>
      </c>
      <c r="V1082" s="14" t="s">
        <v>6</v>
      </c>
      <c r="W1082" s="14" t="s">
        <v>8213</v>
      </c>
      <c r="X1082" s="14" t="s">
        <v>60</v>
      </c>
    </row>
    <row r="1083" spans="1:24" ht="15" x14ac:dyDescent="0.3">
      <c r="A1083" s="3">
        <v>18</v>
      </c>
      <c r="B1083" s="3" t="s">
        <v>8214</v>
      </c>
      <c r="C1083" s="14" t="s">
        <v>710</v>
      </c>
      <c r="D1083" s="14" t="s">
        <v>2696</v>
      </c>
      <c r="E1083" s="14" t="s">
        <v>8215</v>
      </c>
      <c r="F1083" s="14" t="s">
        <v>2697</v>
      </c>
      <c r="G1083" s="14" t="s">
        <v>3</v>
      </c>
      <c r="H1083" s="14" t="s">
        <v>8216</v>
      </c>
      <c r="I1083" s="14" t="s">
        <v>2698</v>
      </c>
      <c r="J1083" s="14" t="s">
        <v>60</v>
      </c>
      <c r="K1083" s="14" t="s">
        <v>60</v>
      </c>
      <c r="L1083" s="14" t="s">
        <v>60</v>
      </c>
      <c r="M1083" s="14" t="s">
        <v>2699</v>
      </c>
      <c r="N1083" s="14" t="s">
        <v>60</v>
      </c>
      <c r="O1083" s="14" t="s">
        <v>60</v>
      </c>
      <c r="P1083" s="14" t="s">
        <v>8217</v>
      </c>
      <c r="Q1083" s="14" t="s">
        <v>1120</v>
      </c>
      <c r="R1083" s="3">
        <v>0</v>
      </c>
      <c r="S1083" s="3">
        <f t="shared" si="56"/>
        <v>900</v>
      </c>
      <c r="T1083" s="3">
        <f t="shared" si="57"/>
        <v>0</v>
      </c>
      <c r="U1083" s="3" t="s">
        <v>60</v>
      </c>
      <c r="V1083" s="14" t="s">
        <v>6</v>
      </c>
      <c r="W1083" s="14" t="s">
        <v>8213</v>
      </c>
      <c r="X1083" s="14" t="s">
        <v>60</v>
      </c>
    </row>
    <row r="1084" spans="1:24" ht="15" x14ac:dyDescent="0.3">
      <c r="A1084" s="3">
        <v>19</v>
      </c>
      <c r="B1084" s="3" t="s">
        <v>8218</v>
      </c>
      <c r="C1084" s="14" t="s">
        <v>26</v>
      </c>
      <c r="D1084" s="14" t="s">
        <v>762</v>
      </c>
      <c r="E1084" s="14" t="s">
        <v>8219</v>
      </c>
      <c r="F1084" s="14" t="s">
        <v>763</v>
      </c>
      <c r="G1084" s="14" t="s">
        <v>3</v>
      </c>
      <c r="H1084" s="14" t="s">
        <v>8220</v>
      </c>
      <c r="I1084" s="14" t="s">
        <v>764</v>
      </c>
      <c r="J1084" s="14" t="s">
        <v>60</v>
      </c>
      <c r="K1084" s="14" t="s">
        <v>60</v>
      </c>
      <c r="L1084" s="14" t="s">
        <v>60</v>
      </c>
      <c r="M1084" s="14" t="s">
        <v>765</v>
      </c>
      <c r="N1084" s="14" t="s">
        <v>60</v>
      </c>
      <c r="O1084" s="14" t="s">
        <v>86</v>
      </c>
      <c r="P1084" s="14" t="s">
        <v>8221</v>
      </c>
      <c r="Q1084" s="14" t="s">
        <v>180</v>
      </c>
      <c r="R1084" s="3">
        <v>0</v>
      </c>
      <c r="S1084" s="3">
        <f t="shared" si="56"/>
        <v>770</v>
      </c>
      <c r="T1084" s="3">
        <f t="shared" si="57"/>
        <v>0</v>
      </c>
      <c r="U1084" s="3" t="s">
        <v>60</v>
      </c>
      <c r="V1084" s="14" t="s">
        <v>6</v>
      </c>
      <c r="W1084" s="14" t="s">
        <v>5980</v>
      </c>
      <c r="X1084" s="14" t="s">
        <v>60</v>
      </c>
    </row>
    <row r="1085" spans="1:24" ht="15" x14ac:dyDescent="0.3">
      <c r="A1085" s="3">
        <v>20</v>
      </c>
      <c r="B1085" s="3" t="s">
        <v>8222</v>
      </c>
      <c r="C1085" s="14" t="s">
        <v>0</v>
      </c>
      <c r="D1085" s="14" t="s">
        <v>623</v>
      </c>
      <c r="E1085" s="14" t="s">
        <v>4430</v>
      </c>
      <c r="F1085" s="14" t="s">
        <v>624</v>
      </c>
      <c r="G1085" s="14" t="s">
        <v>3</v>
      </c>
      <c r="H1085" s="14" t="s">
        <v>8223</v>
      </c>
      <c r="I1085" s="14" t="s">
        <v>625</v>
      </c>
      <c r="J1085" s="14" t="s">
        <v>60</v>
      </c>
      <c r="K1085" s="14" t="s">
        <v>60</v>
      </c>
      <c r="L1085" s="14" t="s">
        <v>60</v>
      </c>
      <c r="M1085" s="14" t="s">
        <v>626</v>
      </c>
      <c r="N1085" s="14" t="s">
        <v>60</v>
      </c>
      <c r="O1085" s="14" t="s">
        <v>60</v>
      </c>
      <c r="P1085" s="14" t="s">
        <v>8224</v>
      </c>
      <c r="Q1085" s="14" t="s">
        <v>240</v>
      </c>
      <c r="R1085" s="3">
        <v>0</v>
      </c>
      <c r="S1085" s="3">
        <f t="shared" si="56"/>
        <v>550</v>
      </c>
      <c r="T1085" s="3">
        <f t="shared" si="57"/>
        <v>0</v>
      </c>
      <c r="U1085" s="3" t="s">
        <v>8225</v>
      </c>
      <c r="V1085" s="14" t="s">
        <v>6</v>
      </c>
      <c r="W1085" s="14" t="s">
        <v>8226</v>
      </c>
      <c r="X1085" s="14" t="s">
        <v>60</v>
      </c>
    </row>
    <row r="1086" spans="1:24" ht="15" x14ac:dyDescent="0.3">
      <c r="A1086" s="3">
        <v>21</v>
      </c>
      <c r="B1086" s="3" t="s">
        <v>8227</v>
      </c>
      <c r="C1086" s="14" t="s">
        <v>0</v>
      </c>
      <c r="D1086" s="14" t="s">
        <v>695</v>
      </c>
      <c r="E1086" s="14" t="s">
        <v>8228</v>
      </c>
      <c r="F1086" s="14" t="s">
        <v>696</v>
      </c>
      <c r="G1086" s="14" t="s">
        <v>3</v>
      </c>
      <c r="H1086" s="14" t="s">
        <v>8229</v>
      </c>
      <c r="I1086" s="14" t="s">
        <v>697</v>
      </c>
      <c r="J1086" s="14" t="s">
        <v>60</v>
      </c>
      <c r="K1086" s="14" t="s">
        <v>60</v>
      </c>
      <c r="L1086" s="14" t="s">
        <v>60</v>
      </c>
      <c r="M1086" s="14" t="s">
        <v>698</v>
      </c>
      <c r="N1086" s="14" t="s">
        <v>60</v>
      </c>
      <c r="O1086" s="14" t="s">
        <v>169</v>
      </c>
      <c r="P1086" s="14" t="s">
        <v>8230</v>
      </c>
      <c r="Q1086" s="14" t="s">
        <v>174</v>
      </c>
      <c r="R1086" s="3">
        <v>0</v>
      </c>
      <c r="S1086" s="3">
        <f t="shared" si="56"/>
        <v>550</v>
      </c>
      <c r="T1086" s="3">
        <f t="shared" si="57"/>
        <v>0</v>
      </c>
      <c r="U1086" s="3" t="s">
        <v>60</v>
      </c>
      <c r="V1086" s="14" t="s">
        <v>6</v>
      </c>
      <c r="W1086" s="14" t="s">
        <v>8231</v>
      </c>
      <c r="X1086" s="14" t="s">
        <v>60</v>
      </c>
    </row>
    <row r="1087" spans="1:24" ht="15" x14ac:dyDescent="0.3">
      <c r="A1087" s="3">
        <v>22</v>
      </c>
      <c r="B1087" s="3" t="s">
        <v>8232</v>
      </c>
      <c r="C1087" s="14" t="s">
        <v>91</v>
      </c>
      <c r="D1087" s="14" t="s">
        <v>2806</v>
      </c>
      <c r="E1087" s="14" t="s">
        <v>8233</v>
      </c>
      <c r="F1087" s="14" t="s">
        <v>2807</v>
      </c>
      <c r="G1087" s="14" t="s">
        <v>3</v>
      </c>
      <c r="H1087" s="14" t="s">
        <v>8234</v>
      </c>
      <c r="I1087" s="14" t="s">
        <v>2808</v>
      </c>
      <c r="J1087" s="14" t="s">
        <v>60</v>
      </c>
      <c r="K1087" s="14" t="s">
        <v>60</v>
      </c>
      <c r="L1087" s="14" t="s">
        <v>60</v>
      </c>
      <c r="M1087" s="14" t="s">
        <v>60</v>
      </c>
      <c r="N1087" s="14" t="s">
        <v>60</v>
      </c>
      <c r="O1087" s="14" t="s">
        <v>60</v>
      </c>
      <c r="P1087" s="14" t="s">
        <v>8235</v>
      </c>
      <c r="Q1087" s="14" t="s">
        <v>11</v>
      </c>
      <c r="R1087" s="3">
        <v>0</v>
      </c>
      <c r="S1087" s="3">
        <f t="shared" si="56"/>
        <v>770</v>
      </c>
      <c r="T1087" s="3">
        <f t="shared" si="57"/>
        <v>0</v>
      </c>
      <c r="U1087" s="3" t="s">
        <v>60</v>
      </c>
      <c r="V1087" s="14" t="s">
        <v>6</v>
      </c>
      <c r="W1087" s="14" t="s">
        <v>8236</v>
      </c>
      <c r="X1087" s="14" t="s">
        <v>60</v>
      </c>
    </row>
    <row r="1088" spans="1:24" ht="15" x14ac:dyDescent="0.3">
      <c r="A1088" s="3">
        <v>23</v>
      </c>
      <c r="B1088" s="3" t="s">
        <v>8237</v>
      </c>
      <c r="C1088" s="14" t="s">
        <v>0</v>
      </c>
      <c r="D1088" s="14" t="s">
        <v>3448</v>
      </c>
      <c r="E1088" s="14" t="s">
        <v>8238</v>
      </c>
      <c r="F1088" s="14" t="s">
        <v>3450</v>
      </c>
      <c r="G1088" s="14" t="s">
        <v>3</v>
      </c>
      <c r="H1088" s="14" t="s">
        <v>8239</v>
      </c>
      <c r="I1088" s="14" t="s">
        <v>3871</v>
      </c>
      <c r="J1088" s="14" t="s">
        <v>60</v>
      </c>
      <c r="K1088" s="14" t="s">
        <v>60</v>
      </c>
      <c r="L1088" s="14" t="s">
        <v>60</v>
      </c>
      <c r="M1088" s="14" t="s">
        <v>3872</v>
      </c>
      <c r="N1088" s="14" t="s">
        <v>60</v>
      </c>
      <c r="O1088" s="14" t="s">
        <v>60</v>
      </c>
      <c r="P1088" s="14" t="s">
        <v>8240</v>
      </c>
      <c r="Q1088" s="14" t="s">
        <v>2791</v>
      </c>
      <c r="R1088" s="3">
        <v>0</v>
      </c>
      <c r="S1088" s="3">
        <f t="shared" si="56"/>
        <v>550</v>
      </c>
      <c r="T1088" s="3">
        <f t="shared" si="57"/>
        <v>0</v>
      </c>
      <c r="U1088" s="3" t="s">
        <v>60</v>
      </c>
      <c r="V1088" s="14" t="s">
        <v>6</v>
      </c>
      <c r="W1088" s="14" t="s">
        <v>6096</v>
      </c>
      <c r="X1088" s="14" t="s">
        <v>60</v>
      </c>
    </row>
    <row r="1089" spans="1:24" ht="15.6" x14ac:dyDescent="0.3">
      <c r="A1089" s="10">
        <v>31</v>
      </c>
      <c r="B1089" s="10">
        <v>8485</v>
      </c>
      <c r="C1089" s="7" t="s">
        <v>0</v>
      </c>
      <c r="D1089" s="5" t="s">
        <v>3449</v>
      </c>
      <c r="E1089" s="21">
        <v>37880</v>
      </c>
      <c r="F1089" s="19" t="s">
        <v>3451</v>
      </c>
      <c r="G1089" s="5" t="s">
        <v>3</v>
      </c>
      <c r="H1089" s="5" t="s">
        <v>3873</v>
      </c>
      <c r="I1089" s="14" t="s">
        <v>3874</v>
      </c>
      <c r="J1089" s="1"/>
      <c r="K1089" s="1"/>
      <c r="L1089" s="1"/>
      <c r="M1089" s="5" t="s">
        <v>3875</v>
      </c>
      <c r="N1089" s="2"/>
      <c r="O1089" s="22"/>
      <c r="P1089" s="7">
        <v>35311721181</v>
      </c>
      <c r="Q1089" s="19" t="s">
        <v>174</v>
      </c>
      <c r="R1089" s="3">
        <v>0</v>
      </c>
      <c r="S1089" s="3">
        <f t="shared" si="56"/>
        <v>550</v>
      </c>
      <c r="T1089" s="3">
        <f>S1089*R1089</f>
        <v>0</v>
      </c>
      <c r="U1089" s="7"/>
      <c r="V1089" s="14" t="s">
        <v>6</v>
      </c>
      <c r="W1089" s="11">
        <v>46209</v>
      </c>
      <c r="X1089" s="11"/>
    </row>
    <row r="1090" spans="1:24" ht="15" x14ac:dyDescent="0.3">
      <c r="A1090" s="3">
        <v>25</v>
      </c>
      <c r="B1090" s="3" t="s">
        <v>8241</v>
      </c>
      <c r="C1090" s="14" t="s">
        <v>26</v>
      </c>
      <c r="D1090" s="14" t="s">
        <v>2617</v>
      </c>
      <c r="E1090" s="14" t="s">
        <v>8242</v>
      </c>
      <c r="F1090" s="14" t="s">
        <v>2618</v>
      </c>
      <c r="G1090" s="14" t="s">
        <v>3</v>
      </c>
      <c r="H1090" s="14" t="s">
        <v>8243</v>
      </c>
      <c r="I1090" s="14" t="s">
        <v>2619</v>
      </c>
      <c r="J1090" s="14" t="s">
        <v>60</v>
      </c>
      <c r="K1090" s="14" t="s">
        <v>60</v>
      </c>
      <c r="L1090" s="14" t="s">
        <v>60</v>
      </c>
      <c r="M1090" s="14" t="s">
        <v>2620</v>
      </c>
      <c r="N1090" s="14" t="s">
        <v>60</v>
      </c>
      <c r="O1090" s="14" t="s">
        <v>370</v>
      </c>
      <c r="P1090" s="14" t="s">
        <v>8244</v>
      </c>
      <c r="Q1090" s="14" t="s">
        <v>2621</v>
      </c>
      <c r="R1090" s="3">
        <v>0</v>
      </c>
      <c r="S1090" s="3">
        <f t="shared" si="56"/>
        <v>770</v>
      </c>
      <c r="T1090" s="3">
        <f t="shared" ref="T1090:T1099" si="58">R1090*S1090</f>
        <v>0</v>
      </c>
      <c r="U1090" s="3" t="s">
        <v>60</v>
      </c>
      <c r="V1090" s="14" t="s">
        <v>6</v>
      </c>
      <c r="W1090" s="14" t="s">
        <v>5090</v>
      </c>
      <c r="X1090" s="14" t="s">
        <v>60</v>
      </c>
    </row>
    <row r="1091" spans="1:24" ht="15" x14ac:dyDescent="0.3">
      <c r="A1091" s="3">
        <v>26</v>
      </c>
      <c r="B1091" s="3" t="s">
        <v>8245</v>
      </c>
      <c r="C1091" s="14" t="s">
        <v>69</v>
      </c>
      <c r="D1091" s="14" t="s">
        <v>2622</v>
      </c>
      <c r="E1091" s="14" t="s">
        <v>8246</v>
      </c>
      <c r="F1091" s="14" t="s">
        <v>2623</v>
      </c>
      <c r="G1091" s="14" t="s">
        <v>3</v>
      </c>
      <c r="H1091" s="14" t="s">
        <v>8247</v>
      </c>
      <c r="I1091" s="14" t="s">
        <v>2624</v>
      </c>
      <c r="J1091" s="14" t="s">
        <v>60</v>
      </c>
      <c r="K1091" s="14" t="s">
        <v>60</v>
      </c>
      <c r="L1091" s="14" t="s">
        <v>60</v>
      </c>
      <c r="M1091" s="14" t="s">
        <v>2625</v>
      </c>
      <c r="N1091" s="14" t="s">
        <v>60</v>
      </c>
      <c r="O1091" s="14" t="s">
        <v>184</v>
      </c>
      <c r="P1091" s="14" t="s">
        <v>8248</v>
      </c>
      <c r="Q1091" s="14" t="s">
        <v>11</v>
      </c>
      <c r="R1091" s="3">
        <v>0</v>
      </c>
      <c r="S1091" s="3">
        <f t="shared" si="56"/>
        <v>570</v>
      </c>
      <c r="T1091" s="3">
        <f t="shared" si="58"/>
        <v>0</v>
      </c>
      <c r="U1091" s="3" t="s">
        <v>60</v>
      </c>
      <c r="V1091" s="14" t="s">
        <v>6</v>
      </c>
      <c r="W1091" s="14" t="s">
        <v>4287</v>
      </c>
      <c r="X1091" s="14" t="s">
        <v>60</v>
      </c>
    </row>
    <row r="1092" spans="1:24" ht="15" x14ac:dyDescent="0.3">
      <c r="A1092" s="3">
        <v>27</v>
      </c>
      <c r="B1092" s="3" t="s">
        <v>8249</v>
      </c>
      <c r="C1092" s="14" t="s">
        <v>26</v>
      </c>
      <c r="D1092" s="14" t="s">
        <v>2626</v>
      </c>
      <c r="E1092" s="14" t="s">
        <v>4216</v>
      </c>
      <c r="F1092" s="14" t="s">
        <v>2627</v>
      </c>
      <c r="G1092" s="14" t="s">
        <v>3</v>
      </c>
      <c r="H1092" s="14" t="s">
        <v>8250</v>
      </c>
      <c r="I1092" s="14" t="s">
        <v>2628</v>
      </c>
      <c r="J1092" s="14" t="s">
        <v>60</v>
      </c>
      <c r="K1092" s="14" t="s">
        <v>60</v>
      </c>
      <c r="L1092" s="14" t="s">
        <v>60</v>
      </c>
      <c r="M1092" s="14" t="s">
        <v>2629</v>
      </c>
      <c r="N1092" s="14" t="s">
        <v>60</v>
      </c>
      <c r="O1092" s="14" t="s">
        <v>485</v>
      </c>
      <c r="P1092" s="14" t="s">
        <v>8251</v>
      </c>
      <c r="Q1092" s="14" t="s">
        <v>11</v>
      </c>
      <c r="R1092" s="3">
        <v>0</v>
      </c>
      <c r="S1092" s="3">
        <f t="shared" si="56"/>
        <v>770</v>
      </c>
      <c r="T1092" s="3">
        <f t="shared" si="58"/>
        <v>0</v>
      </c>
      <c r="U1092" s="3" t="s">
        <v>60</v>
      </c>
      <c r="V1092" s="14" t="s">
        <v>6</v>
      </c>
      <c r="W1092" s="14" t="s">
        <v>8252</v>
      </c>
      <c r="X1092" s="14" t="s">
        <v>60</v>
      </c>
    </row>
    <row r="1093" spans="1:24" ht="15" x14ac:dyDescent="0.3">
      <c r="A1093" s="3">
        <v>28</v>
      </c>
      <c r="B1093" s="3" t="s">
        <v>8253</v>
      </c>
      <c r="C1093" s="14" t="s">
        <v>14</v>
      </c>
      <c r="D1093" s="14" t="s">
        <v>2630</v>
      </c>
      <c r="E1093" s="14" t="s">
        <v>8254</v>
      </c>
      <c r="F1093" s="14" t="s">
        <v>2631</v>
      </c>
      <c r="G1093" s="14" t="s">
        <v>3</v>
      </c>
      <c r="H1093" s="14" t="s">
        <v>8255</v>
      </c>
      <c r="I1093" s="14" t="s">
        <v>2632</v>
      </c>
      <c r="J1093" s="14" t="s">
        <v>60</v>
      </c>
      <c r="K1093" s="14" t="s">
        <v>60</v>
      </c>
      <c r="L1093" s="14" t="s">
        <v>60</v>
      </c>
      <c r="M1093" s="14" t="s">
        <v>2633</v>
      </c>
      <c r="N1093" s="14" t="s">
        <v>60</v>
      </c>
      <c r="O1093" s="14" t="s">
        <v>261</v>
      </c>
      <c r="P1093" s="14" t="s">
        <v>8256</v>
      </c>
      <c r="Q1093" s="14" t="s">
        <v>11</v>
      </c>
      <c r="R1093" s="3">
        <v>0</v>
      </c>
      <c r="S1093" s="3">
        <f t="shared" si="56"/>
        <v>640</v>
      </c>
      <c r="T1093" s="3">
        <f t="shared" si="58"/>
        <v>0</v>
      </c>
      <c r="U1093" s="3" t="s">
        <v>60</v>
      </c>
      <c r="V1093" s="14" t="s">
        <v>6</v>
      </c>
      <c r="W1093" s="14" t="s">
        <v>4202</v>
      </c>
      <c r="X1093" s="14" t="s">
        <v>60</v>
      </c>
    </row>
    <row r="1094" spans="1:24" ht="15" x14ac:dyDescent="0.3">
      <c r="A1094" s="3">
        <v>29</v>
      </c>
      <c r="B1094" s="3" t="s">
        <v>8257</v>
      </c>
      <c r="C1094" s="14" t="s">
        <v>14</v>
      </c>
      <c r="D1094" s="14" t="s">
        <v>2634</v>
      </c>
      <c r="E1094" s="14" t="s">
        <v>8258</v>
      </c>
      <c r="F1094" s="14" t="s">
        <v>2635</v>
      </c>
      <c r="G1094" s="14" t="s">
        <v>3</v>
      </c>
      <c r="H1094" s="14" t="s">
        <v>8259</v>
      </c>
      <c r="I1094" s="14" t="s">
        <v>2636</v>
      </c>
      <c r="J1094" s="14" t="s">
        <v>60</v>
      </c>
      <c r="K1094" s="14" t="s">
        <v>60</v>
      </c>
      <c r="L1094" s="14" t="s">
        <v>60</v>
      </c>
      <c r="M1094" s="14" t="s">
        <v>2637</v>
      </c>
      <c r="N1094" s="14" t="s">
        <v>60</v>
      </c>
      <c r="O1094" s="14" t="s">
        <v>261</v>
      </c>
      <c r="P1094" s="14" t="s">
        <v>8260</v>
      </c>
      <c r="Q1094" s="14" t="s">
        <v>185</v>
      </c>
      <c r="R1094" s="3">
        <v>0</v>
      </c>
      <c r="S1094" s="3">
        <f t="shared" si="56"/>
        <v>640</v>
      </c>
      <c r="T1094" s="3">
        <f t="shared" si="58"/>
        <v>0</v>
      </c>
      <c r="U1094" s="3" t="s">
        <v>60</v>
      </c>
      <c r="V1094" s="14" t="s">
        <v>6</v>
      </c>
      <c r="W1094" s="14" t="s">
        <v>4202</v>
      </c>
      <c r="X1094" s="14" t="s">
        <v>60</v>
      </c>
    </row>
    <row r="1095" spans="1:24" ht="15" x14ac:dyDescent="0.3">
      <c r="A1095" s="3">
        <v>30</v>
      </c>
      <c r="B1095" s="3" t="s">
        <v>8261</v>
      </c>
      <c r="C1095" s="14" t="s">
        <v>0</v>
      </c>
      <c r="D1095" s="14" t="s">
        <v>2740</v>
      </c>
      <c r="E1095" s="14" t="s">
        <v>4778</v>
      </c>
      <c r="F1095" s="14" t="s">
        <v>2741</v>
      </c>
      <c r="G1095" s="14" t="s">
        <v>3</v>
      </c>
      <c r="H1095" s="14" t="s">
        <v>8262</v>
      </c>
      <c r="I1095" s="14" t="s">
        <v>2742</v>
      </c>
      <c r="J1095" s="14" t="s">
        <v>60</v>
      </c>
      <c r="K1095" s="14" t="s">
        <v>60</v>
      </c>
      <c r="L1095" s="14" t="s">
        <v>60</v>
      </c>
      <c r="M1095" s="14" t="s">
        <v>2743</v>
      </c>
      <c r="N1095" s="14" t="s">
        <v>60</v>
      </c>
      <c r="O1095" s="14" t="s">
        <v>60</v>
      </c>
      <c r="P1095" s="14" t="s">
        <v>8263</v>
      </c>
      <c r="Q1095" s="14" t="s">
        <v>11</v>
      </c>
      <c r="R1095" s="3">
        <v>0</v>
      </c>
      <c r="S1095" s="3">
        <f t="shared" si="56"/>
        <v>550</v>
      </c>
      <c r="T1095" s="3">
        <f t="shared" si="58"/>
        <v>0</v>
      </c>
      <c r="U1095" s="3" t="s">
        <v>60</v>
      </c>
      <c r="V1095" s="14" t="s">
        <v>6</v>
      </c>
      <c r="W1095" s="14" t="s">
        <v>8213</v>
      </c>
      <c r="X1095" s="14" t="s">
        <v>60</v>
      </c>
    </row>
    <row r="1096" spans="1:24" ht="15.6" x14ac:dyDescent="0.3">
      <c r="A1096" s="3">
        <v>31</v>
      </c>
      <c r="B1096" s="25" t="s">
        <v>8264</v>
      </c>
      <c r="C1096" s="14" t="s">
        <v>0</v>
      </c>
      <c r="D1096" s="14" t="s">
        <v>8265</v>
      </c>
      <c r="E1096" s="14" t="s">
        <v>4746</v>
      </c>
      <c r="F1096" s="14" t="s">
        <v>8266</v>
      </c>
      <c r="G1096" s="14" t="s">
        <v>3</v>
      </c>
      <c r="H1096" s="14" t="s">
        <v>8267</v>
      </c>
      <c r="I1096" s="14" t="s">
        <v>8268</v>
      </c>
      <c r="J1096" s="14" t="s">
        <v>60</v>
      </c>
      <c r="K1096" s="14" t="s">
        <v>60</v>
      </c>
      <c r="L1096" s="14" t="s">
        <v>60</v>
      </c>
      <c r="M1096" s="14" t="s">
        <v>60</v>
      </c>
      <c r="N1096" s="14" t="s">
        <v>60</v>
      </c>
      <c r="O1096" s="14" t="s">
        <v>60</v>
      </c>
      <c r="P1096" s="14" t="s">
        <v>8269</v>
      </c>
      <c r="Q1096" s="14" t="s">
        <v>1120</v>
      </c>
      <c r="R1096" s="3">
        <v>0</v>
      </c>
      <c r="S1096" s="3">
        <f t="shared" si="56"/>
        <v>550</v>
      </c>
      <c r="T1096" s="3">
        <f t="shared" si="58"/>
        <v>0</v>
      </c>
      <c r="U1096" s="3" t="s">
        <v>60</v>
      </c>
      <c r="V1096" s="14" t="s">
        <v>6</v>
      </c>
      <c r="W1096" s="14" t="s">
        <v>7980</v>
      </c>
      <c r="X1096" s="14" t="s">
        <v>60</v>
      </c>
    </row>
    <row r="1097" spans="1:24" ht="15.6" x14ac:dyDescent="0.3">
      <c r="A1097" s="3">
        <v>32</v>
      </c>
      <c r="B1097" s="25" t="s">
        <v>8270</v>
      </c>
      <c r="C1097" s="14" t="s">
        <v>0</v>
      </c>
      <c r="D1097" s="14" t="s">
        <v>8271</v>
      </c>
      <c r="E1097" s="14" t="s">
        <v>8272</v>
      </c>
      <c r="F1097" s="14" t="s">
        <v>8273</v>
      </c>
      <c r="G1097" s="14" t="s">
        <v>3</v>
      </c>
      <c r="H1097" s="14" t="s">
        <v>8274</v>
      </c>
      <c r="I1097" s="14" t="s">
        <v>8275</v>
      </c>
      <c r="J1097" s="14" t="s">
        <v>60</v>
      </c>
      <c r="K1097" s="14" t="s">
        <v>60</v>
      </c>
      <c r="L1097" s="14" t="s">
        <v>60</v>
      </c>
      <c r="M1097" s="14" t="s">
        <v>60</v>
      </c>
      <c r="N1097" s="14" t="s">
        <v>60</v>
      </c>
      <c r="O1097" s="14" t="s">
        <v>60</v>
      </c>
      <c r="P1097" s="14" t="s">
        <v>8276</v>
      </c>
      <c r="Q1097" s="14" t="s">
        <v>11</v>
      </c>
      <c r="R1097" s="3">
        <v>0</v>
      </c>
      <c r="S1097" s="3">
        <f t="shared" si="56"/>
        <v>550</v>
      </c>
      <c r="T1097" s="3">
        <f t="shared" si="58"/>
        <v>0</v>
      </c>
      <c r="U1097" s="3" t="s">
        <v>60</v>
      </c>
      <c r="V1097" s="14" t="s">
        <v>6</v>
      </c>
      <c r="W1097" s="14" t="s">
        <v>4203</v>
      </c>
      <c r="X1097" s="14" t="s">
        <v>60</v>
      </c>
    </row>
    <row r="1098" spans="1:24" ht="15.6" x14ac:dyDescent="0.3">
      <c r="A1098" s="3">
        <v>33</v>
      </c>
      <c r="B1098" s="25" t="s">
        <v>8277</v>
      </c>
      <c r="C1098" s="14" t="s">
        <v>0</v>
      </c>
      <c r="D1098" s="14" t="s">
        <v>8278</v>
      </c>
      <c r="E1098" s="14" t="s">
        <v>4990</v>
      </c>
      <c r="F1098" s="14" t="s">
        <v>8279</v>
      </c>
      <c r="G1098" s="14" t="s">
        <v>3</v>
      </c>
      <c r="H1098" s="14" t="s">
        <v>8280</v>
      </c>
      <c r="I1098" s="14" t="s">
        <v>8281</v>
      </c>
      <c r="J1098" s="14" t="s">
        <v>60</v>
      </c>
      <c r="K1098" s="14" t="s">
        <v>60</v>
      </c>
      <c r="L1098" s="14" t="s">
        <v>60</v>
      </c>
      <c r="M1098" s="14" t="s">
        <v>8282</v>
      </c>
      <c r="N1098" s="14" t="s">
        <v>60</v>
      </c>
      <c r="O1098" s="14" t="s">
        <v>60</v>
      </c>
      <c r="P1098" s="14" t="s">
        <v>8283</v>
      </c>
      <c r="Q1098" s="14" t="s">
        <v>11</v>
      </c>
      <c r="R1098" s="3">
        <v>0</v>
      </c>
      <c r="S1098" s="3">
        <f t="shared" si="56"/>
        <v>550</v>
      </c>
      <c r="T1098" s="3">
        <f t="shared" si="58"/>
        <v>0</v>
      </c>
      <c r="U1098" s="3" t="s">
        <v>60</v>
      </c>
      <c r="V1098" s="14" t="s">
        <v>6</v>
      </c>
      <c r="W1098" s="14" t="s">
        <v>8284</v>
      </c>
      <c r="X1098" s="14" t="s">
        <v>60</v>
      </c>
    </row>
    <row r="1099" spans="1:24" ht="15.6" x14ac:dyDescent="0.3">
      <c r="A1099" s="3">
        <v>34</v>
      </c>
      <c r="B1099" s="25" t="s">
        <v>8285</v>
      </c>
      <c r="C1099" s="14" t="s">
        <v>0</v>
      </c>
      <c r="D1099" s="14" t="s">
        <v>8286</v>
      </c>
      <c r="E1099" s="14" t="s">
        <v>4293</v>
      </c>
      <c r="F1099" s="14" t="s">
        <v>8287</v>
      </c>
      <c r="G1099" s="14" t="s">
        <v>3</v>
      </c>
      <c r="H1099" s="14" t="s">
        <v>8288</v>
      </c>
      <c r="I1099" s="14" t="s">
        <v>8289</v>
      </c>
      <c r="J1099" s="14" t="s">
        <v>60</v>
      </c>
      <c r="K1099" s="14" t="s">
        <v>60</v>
      </c>
      <c r="L1099" s="14" t="s">
        <v>60</v>
      </c>
      <c r="M1099" s="14" t="s">
        <v>8290</v>
      </c>
      <c r="N1099" s="14" t="s">
        <v>60</v>
      </c>
      <c r="O1099" s="14" t="s">
        <v>60</v>
      </c>
      <c r="P1099" s="14" t="s">
        <v>8291</v>
      </c>
      <c r="Q1099" s="14" t="s">
        <v>11</v>
      </c>
      <c r="R1099" s="3">
        <v>0</v>
      </c>
      <c r="S1099" s="3">
        <f t="shared" si="56"/>
        <v>550</v>
      </c>
      <c r="T1099" s="3">
        <f t="shared" si="58"/>
        <v>0</v>
      </c>
      <c r="U1099" s="3" t="s">
        <v>8292</v>
      </c>
      <c r="V1099" s="14" t="s">
        <v>6</v>
      </c>
      <c r="W1099" s="14" t="s">
        <v>4870</v>
      </c>
      <c r="X1099" s="14" t="s">
        <v>60</v>
      </c>
    </row>
    <row r="1100" spans="1:24" ht="15.6" x14ac:dyDescent="0.3">
      <c r="A1100" s="26" t="s">
        <v>60</v>
      </c>
      <c r="B1100" s="26" t="s">
        <v>60</v>
      </c>
      <c r="C1100" s="27" t="s">
        <v>60</v>
      </c>
      <c r="D1100" s="27" t="s">
        <v>60</v>
      </c>
      <c r="E1100" s="27" t="s">
        <v>60</v>
      </c>
      <c r="F1100" s="27" t="s">
        <v>60</v>
      </c>
      <c r="G1100" s="27" t="s">
        <v>60</v>
      </c>
      <c r="H1100" s="27" t="s">
        <v>60</v>
      </c>
      <c r="I1100" s="27" t="s">
        <v>60</v>
      </c>
      <c r="J1100" s="27" t="s">
        <v>60</v>
      </c>
      <c r="K1100" s="27" t="s">
        <v>60</v>
      </c>
      <c r="L1100" s="27" t="s">
        <v>60</v>
      </c>
      <c r="M1100" s="27" t="s">
        <v>60</v>
      </c>
      <c r="N1100" s="27" t="s">
        <v>60</v>
      </c>
      <c r="O1100" s="27" t="s">
        <v>60</v>
      </c>
      <c r="P1100" s="27" t="s">
        <v>60</v>
      </c>
      <c r="Q1100" s="27" t="s">
        <v>60</v>
      </c>
      <c r="R1100" s="35" t="s">
        <v>2009</v>
      </c>
      <c r="S1100" s="35" t="s">
        <v>60</v>
      </c>
      <c r="T1100" s="26">
        <f>SUM(T1065:T1099)</f>
        <v>0</v>
      </c>
      <c r="U1100" s="26" t="s">
        <v>8293</v>
      </c>
      <c r="V1100" s="27" t="s">
        <v>60</v>
      </c>
      <c r="W1100" s="27" t="s">
        <v>60</v>
      </c>
      <c r="X1100" s="27" t="s">
        <v>60</v>
      </c>
    </row>
    <row r="1101" spans="1:24" ht="15.6" x14ac:dyDescent="0.3">
      <c r="A1101" s="34" t="s">
        <v>8294</v>
      </c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</row>
    <row r="1102" spans="1:24" ht="109.2" x14ac:dyDescent="0.3">
      <c r="A1102" s="23" t="s">
        <v>42</v>
      </c>
      <c r="B1102" s="23" t="s">
        <v>43</v>
      </c>
      <c r="C1102" s="24" t="s">
        <v>44</v>
      </c>
      <c r="D1102" s="24" t="s">
        <v>4154</v>
      </c>
      <c r="E1102" s="24" t="s">
        <v>4155</v>
      </c>
      <c r="F1102" s="24" t="s">
        <v>4156</v>
      </c>
      <c r="G1102" s="24" t="s">
        <v>45</v>
      </c>
      <c r="H1102" s="24" t="s">
        <v>4157</v>
      </c>
      <c r="I1102" s="24" t="s">
        <v>46</v>
      </c>
      <c r="J1102" s="24" t="s">
        <v>4158</v>
      </c>
      <c r="K1102" s="24" t="s">
        <v>4159</v>
      </c>
      <c r="L1102" s="24" t="s">
        <v>4160</v>
      </c>
      <c r="M1102" s="24" t="s">
        <v>4161</v>
      </c>
      <c r="N1102" s="24" t="s">
        <v>47</v>
      </c>
      <c r="O1102" s="24" t="s">
        <v>48</v>
      </c>
      <c r="P1102" s="24" t="s">
        <v>49</v>
      </c>
      <c r="Q1102" s="24" t="s">
        <v>50</v>
      </c>
      <c r="R1102" s="23" t="s">
        <v>4162</v>
      </c>
      <c r="S1102" s="23" t="s">
        <v>4163</v>
      </c>
      <c r="T1102" s="23" t="s">
        <v>4164</v>
      </c>
      <c r="U1102" s="23" t="s">
        <v>4165</v>
      </c>
      <c r="V1102" s="24" t="s">
        <v>51</v>
      </c>
      <c r="W1102" s="24" t="s">
        <v>52</v>
      </c>
      <c r="X1102" s="24" t="s">
        <v>53</v>
      </c>
    </row>
    <row r="1103" spans="1:24" ht="15" x14ac:dyDescent="0.3">
      <c r="A1103" s="3">
        <v>1</v>
      </c>
      <c r="B1103" s="3" t="s">
        <v>8295</v>
      </c>
      <c r="C1103" s="14" t="s">
        <v>69</v>
      </c>
      <c r="D1103" s="14" t="s">
        <v>2708</v>
      </c>
      <c r="E1103" s="14" t="s">
        <v>4319</v>
      </c>
      <c r="F1103" s="14" t="s">
        <v>2709</v>
      </c>
      <c r="G1103" s="14" t="s">
        <v>3</v>
      </c>
      <c r="H1103" s="14" t="s">
        <v>8296</v>
      </c>
      <c r="I1103" s="14" t="s">
        <v>2710</v>
      </c>
      <c r="J1103" s="14" t="s">
        <v>60</v>
      </c>
      <c r="K1103" s="14" t="s">
        <v>60</v>
      </c>
      <c r="L1103" s="14" t="s">
        <v>60</v>
      </c>
      <c r="M1103" s="14" t="s">
        <v>2711</v>
      </c>
      <c r="N1103" s="14" t="s">
        <v>60</v>
      </c>
      <c r="O1103" s="14" t="s">
        <v>60</v>
      </c>
      <c r="P1103" s="14" t="s">
        <v>8297</v>
      </c>
      <c r="Q1103" s="14" t="s">
        <v>11</v>
      </c>
      <c r="R1103" s="3">
        <v>0</v>
      </c>
      <c r="S1103" s="3">
        <f t="shared" ref="S1103:S1137" si="59">IF(RIGHT(C1103,3)="MAZ",550,IF(RIGHT(C1103,4)="MATE",570,IF(RIGHT(C1103,7)="SKD-III",640,IF(RIGHT(C1103,6)="SKD-II",770,IF(RIGHT(C1103,5)="SKD-I",900,IF(RIGHT(C1103,5)="CPDVR",770,""))))))</f>
        <v>570</v>
      </c>
      <c r="T1103" s="3">
        <f t="shared" ref="T1103:T1137" si="60">R1103*S1103</f>
        <v>0</v>
      </c>
      <c r="U1103" s="3" t="s">
        <v>60</v>
      </c>
      <c r="V1103" s="14" t="s">
        <v>6</v>
      </c>
      <c r="W1103" s="14" t="s">
        <v>4287</v>
      </c>
      <c r="X1103" s="14" t="s">
        <v>60</v>
      </c>
    </row>
    <row r="1104" spans="1:24" ht="15" x14ac:dyDescent="0.3">
      <c r="A1104" s="3">
        <v>2</v>
      </c>
      <c r="B1104" s="3" t="s">
        <v>8298</v>
      </c>
      <c r="C1104" s="14" t="s">
        <v>0</v>
      </c>
      <c r="D1104" s="14" t="s">
        <v>2744</v>
      </c>
      <c r="E1104" s="14" t="s">
        <v>4319</v>
      </c>
      <c r="F1104" s="14" t="s">
        <v>2745</v>
      </c>
      <c r="G1104" s="14" t="s">
        <v>3</v>
      </c>
      <c r="H1104" s="14" t="s">
        <v>8299</v>
      </c>
      <c r="I1104" s="14" t="s">
        <v>2746</v>
      </c>
      <c r="J1104" s="14" t="s">
        <v>60</v>
      </c>
      <c r="K1104" s="14" t="s">
        <v>60</v>
      </c>
      <c r="L1104" s="14" t="s">
        <v>60</v>
      </c>
      <c r="M1104" s="14" t="s">
        <v>2747</v>
      </c>
      <c r="N1104" s="14" t="s">
        <v>60</v>
      </c>
      <c r="O1104" s="14" t="s">
        <v>60</v>
      </c>
      <c r="P1104" s="14" t="s">
        <v>8300</v>
      </c>
      <c r="Q1104" s="14" t="s">
        <v>11</v>
      </c>
      <c r="R1104" s="3">
        <v>0</v>
      </c>
      <c r="S1104" s="3">
        <f t="shared" si="59"/>
        <v>550</v>
      </c>
      <c r="T1104" s="3">
        <f t="shared" si="60"/>
        <v>0</v>
      </c>
      <c r="U1104" s="3" t="s">
        <v>60</v>
      </c>
      <c r="V1104" s="14" t="s">
        <v>6</v>
      </c>
      <c r="W1104" s="14" t="s">
        <v>4287</v>
      </c>
      <c r="X1104" s="14" t="s">
        <v>60</v>
      </c>
    </row>
    <row r="1105" spans="1:24" ht="15" x14ac:dyDescent="0.3">
      <c r="A1105" s="3">
        <v>3</v>
      </c>
      <c r="B1105" s="3" t="s">
        <v>8301</v>
      </c>
      <c r="C1105" s="14" t="s">
        <v>0</v>
      </c>
      <c r="D1105" s="14" t="s">
        <v>2748</v>
      </c>
      <c r="E1105" s="14" t="s">
        <v>4367</v>
      </c>
      <c r="F1105" s="14" t="s">
        <v>2749</v>
      </c>
      <c r="G1105" s="14" t="s">
        <v>3</v>
      </c>
      <c r="H1105" s="14" t="s">
        <v>8302</v>
      </c>
      <c r="I1105" s="14" t="s">
        <v>2750</v>
      </c>
      <c r="J1105" s="14" t="s">
        <v>60</v>
      </c>
      <c r="K1105" s="14" t="s">
        <v>60</v>
      </c>
      <c r="L1105" s="14" t="s">
        <v>60</v>
      </c>
      <c r="M1105" s="14" t="s">
        <v>2751</v>
      </c>
      <c r="N1105" s="14" t="s">
        <v>60</v>
      </c>
      <c r="O1105" s="14" t="s">
        <v>60</v>
      </c>
      <c r="P1105" s="14" t="s">
        <v>8303</v>
      </c>
      <c r="Q1105" s="14" t="s">
        <v>11</v>
      </c>
      <c r="R1105" s="3">
        <v>0</v>
      </c>
      <c r="S1105" s="3">
        <f t="shared" si="59"/>
        <v>550</v>
      </c>
      <c r="T1105" s="3">
        <f t="shared" si="60"/>
        <v>0</v>
      </c>
      <c r="U1105" s="3" t="s">
        <v>60</v>
      </c>
      <c r="V1105" s="14" t="s">
        <v>6</v>
      </c>
      <c r="W1105" s="14" t="s">
        <v>4287</v>
      </c>
      <c r="X1105" s="14" t="s">
        <v>60</v>
      </c>
    </row>
    <row r="1106" spans="1:24" ht="15" x14ac:dyDescent="0.3">
      <c r="A1106" s="3">
        <v>4</v>
      </c>
      <c r="B1106" s="3" t="s">
        <v>8304</v>
      </c>
      <c r="C1106" s="14" t="s">
        <v>0</v>
      </c>
      <c r="D1106" s="14" t="s">
        <v>2752</v>
      </c>
      <c r="E1106" s="14" t="s">
        <v>4200</v>
      </c>
      <c r="F1106" s="14" t="s">
        <v>2753</v>
      </c>
      <c r="G1106" s="14" t="s">
        <v>3</v>
      </c>
      <c r="H1106" s="14" t="s">
        <v>8305</v>
      </c>
      <c r="I1106" s="14" t="s">
        <v>2754</v>
      </c>
      <c r="J1106" s="14" t="s">
        <v>60</v>
      </c>
      <c r="K1106" s="14" t="s">
        <v>60</v>
      </c>
      <c r="L1106" s="14" t="s">
        <v>60</v>
      </c>
      <c r="M1106" s="14" t="s">
        <v>2755</v>
      </c>
      <c r="N1106" s="14" t="s">
        <v>60</v>
      </c>
      <c r="O1106" s="14" t="s">
        <v>60</v>
      </c>
      <c r="P1106" s="14" t="s">
        <v>8306</v>
      </c>
      <c r="Q1106" s="14" t="s">
        <v>11</v>
      </c>
      <c r="R1106" s="3">
        <v>0</v>
      </c>
      <c r="S1106" s="3">
        <f t="shared" si="59"/>
        <v>550</v>
      </c>
      <c r="T1106" s="3">
        <f t="shared" si="60"/>
        <v>0</v>
      </c>
      <c r="U1106" s="3" t="s">
        <v>60</v>
      </c>
      <c r="V1106" s="14" t="s">
        <v>6</v>
      </c>
      <c r="W1106" s="14" t="s">
        <v>6018</v>
      </c>
      <c r="X1106" s="14" t="s">
        <v>60</v>
      </c>
    </row>
    <row r="1107" spans="1:24" ht="15" x14ac:dyDescent="0.3">
      <c r="A1107" s="3">
        <v>5</v>
      </c>
      <c r="B1107" s="3" t="s">
        <v>8307</v>
      </c>
      <c r="C1107" s="14" t="s">
        <v>0</v>
      </c>
      <c r="D1107" s="14" t="s">
        <v>513</v>
      </c>
      <c r="E1107" s="14" t="s">
        <v>8308</v>
      </c>
      <c r="F1107" s="14" t="s">
        <v>2756</v>
      </c>
      <c r="G1107" s="14" t="s">
        <v>3</v>
      </c>
      <c r="H1107" s="14" t="s">
        <v>8309</v>
      </c>
      <c r="I1107" s="14" t="s">
        <v>2757</v>
      </c>
      <c r="J1107" s="14" t="s">
        <v>60</v>
      </c>
      <c r="K1107" s="14" t="s">
        <v>60</v>
      </c>
      <c r="L1107" s="14" t="s">
        <v>60</v>
      </c>
      <c r="M1107" s="14" t="s">
        <v>2758</v>
      </c>
      <c r="N1107" s="14" t="s">
        <v>60</v>
      </c>
      <c r="O1107" s="14" t="s">
        <v>60</v>
      </c>
      <c r="P1107" s="14" t="s">
        <v>8310</v>
      </c>
      <c r="Q1107" s="14" t="s">
        <v>11</v>
      </c>
      <c r="R1107" s="3">
        <v>0</v>
      </c>
      <c r="S1107" s="3">
        <f t="shared" si="59"/>
        <v>550</v>
      </c>
      <c r="T1107" s="3">
        <f t="shared" si="60"/>
        <v>0</v>
      </c>
      <c r="U1107" s="3" t="s">
        <v>60</v>
      </c>
      <c r="V1107" s="14" t="s">
        <v>6</v>
      </c>
      <c r="W1107" s="14" t="s">
        <v>4287</v>
      </c>
      <c r="X1107" s="14" t="s">
        <v>60</v>
      </c>
    </row>
    <row r="1108" spans="1:24" ht="15" x14ac:dyDescent="0.3">
      <c r="A1108" s="3">
        <v>6</v>
      </c>
      <c r="B1108" s="3" t="s">
        <v>8311</v>
      </c>
      <c r="C1108" s="14" t="s">
        <v>0</v>
      </c>
      <c r="D1108" s="14" t="s">
        <v>2759</v>
      </c>
      <c r="E1108" s="14" t="s">
        <v>8312</v>
      </c>
      <c r="F1108" s="14" t="s">
        <v>2760</v>
      </c>
      <c r="G1108" s="14" t="s">
        <v>3</v>
      </c>
      <c r="H1108" s="14" t="s">
        <v>8313</v>
      </c>
      <c r="I1108" s="14" t="s">
        <v>2761</v>
      </c>
      <c r="J1108" s="14" t="s">
        <v>60</v>
      </c>
      <c r="K1108" s="14" t="s">
        <v>60</v>
      </c>
      <c r="L1108" s="14" t="s">
        <v>60</v>
      </c>
      <c r="M1108" s="14" t="s">
        <v>2762</v>
      </c>
      <c r="N1108" s="14" t="s">
        <v>60</v>
      </c>
      <c r="O1108" s="14" t="s">
        <v>60</v>
      </c>
      <c r="P1108" s="14" t="s">
        <v>8314</v>
      </c>
      <c r="Q1108" s="14" t="s">
        <v>11</v>
      </c>
      <c r="R1108" s="3">
        <v>0</v>
      </c>
      <c r="S1108" s="3">
        <f t="shared" si="59"/>
        <v>550</v>
      </c>
      <c r="T1108" s="3">
        <f t="shared" si="60"/>
        <v>0</v>
      </c>
      <c r="U1108" s="3" t="s">
        <v>60</v>
      </c>
      <c r="V1108" s="14" t="s">
        <v>6</v>
      </c>
      <c r="W1108" s="14" t="s">
        <v>6033</v>
      </c>
      <c r="X1108" s="14" t="s">
        <v>60</v>
      </c>
    </row>
    <row r="1109" spans="1:24" ht="15" x14ac:dyDescent="0.3">
      <c r="A1109" s="3">
        <v>7</v>
      </c>
      <c r="B1109" s="3" t="s">
        <v>8315</v>
      </c>
      <c r="C1109" s="14" t="s">
        <v>0</v>
      </c>
      <c r="D1109" s="14" t="s">
        <v>2763</v>
      </c>
      <c r="E1109" s="14" t="s">
        <v>4440</v>
      </c>
      <c r="F1109" s="14" t="s">
        <v>2764</v>
      </c>
      <c r="G1109" s="14" t="s">
        <v>3</v>
      </c>
      <c r="H1109" s="14" t="s">
        <v>8316</v>
      </c>
      <c r="I1109" s="14" t="s">
        <v>2765</v>
      </c>
      <c r="J1109" s="14" t="s">
        <v>60</v>
      </c>
      <c r="K1109" s="14" t="s">
        <v>60</v>
      </c>
      <c r="L1109" s="14" t="s">
        <v>60</v>
      </c>
      <c r="M1109" s="14" t="s">
        <v>2766</v>
      </c>
      <c r="N1109" s="14" t="s">
        <v>60</v>
      </c>
      <c r="O1109" s="14" t="s">
        <v>60</v>
      </c>
      <c r="P1109" s="14" t="s">
        <v>8317</v>
      </c>
      <c r="Q1109" s="14" t="s">
        <v>11</v>
      </c>
      <c r="R1109" s="3">
        <v>0</v>
      </c>
      <c r="S1109" s="3">
        <f t="shared" si="59"/>
        <v>550</v>
      </c>
      <c r="T1109" s="3">
        <f t="shared" si="60"/>
        <v>0</v>
      </c>
      <c r="U1109" s="3" t="s">
        <v>60</v>
      </c>
      <c r="V1109" s="14" t="s">
        <v>6</v>
      </c>
      <c r="W1109" s="14" t="s">
        <v>8213</v>
      </c>
      <c r="X1109" s="14" t="s">
        <v>60</v>
      </c>
    </row>
    <row r="1110" spans="1:24" ht="15" x14ac:dyDescent="0.3">
      <c r="A1110" s="3">
        <v>8</v>
      </c>
      <c r="B1110" s="3" t="s">
        <v>8318</v>
      </c>
      <c r="C1110" s="14" t="s">
        <v>0</v>
      </c>
      <c r="D1110" s="14" t="s">
        <v>2767</v>
      </c>
      <c r="E1110" s="14" t="s">
        <v>4216</v>
      </c>
      <c r="F1110" s="14" t="s">
        <v>1618</v>
      </c>
      <c r="G1110" s="14" t="s">
        <v>3</v>
      </c>
      <c r="H1110" s="14" t="s">
        <v>8319</v>
      </c>
      <c r="I1110" s="14" t="s">
        <v>2768</v>
      </c>
      <c r="J1110" s="14" t="s">
        <v>60</v>
      </c>
      <c r="K1110" s="14" t="s">
        <v>60</v>
      </c>
      <c r="L1110" s="14" t="s">
        <v>60</v>
      </c>
      <c r="M1110" s="14" t="s">
        <v>2769</v>
      </c>
      <c r="N1110" s="14" t="s">
        <v>60</v>
      </c>
      <c r="O1110" s="14" t="s">
        <v>60</v>
      </c>
      <c r="P1110" s="14" t="s">
        <v>8320</v>
      </c>
      <c r="Q1110" s="14" t="s">
        <v>11</v>
      </c>
      <c r="R1110" s="3">
        <v>0</v>
      </c>
      <c r="S1110" s="3">
        <f t="shared" si="59"/>
        <v>550</v>
      </c>
      <c r="T1110" s="3">
        <f t="shared" si="60"/>
        <v>0</v>
      </c>
      <c r="U1110" s="3" t="s">
        <v>60</v>
      </c>
      <c r="V1110" s="14" t="s">
        <v>6</v>
      </c>
      <c r="W1110" s="14" t="s">
        <v>6038</v>
      </c>
      <c r="X1110" s="14" t="s">
        <v>60</v>
      </c>
    </row>
    <row r="1111" spans="1:24" ht="15" x14ac:dyDescent="0.3">
      <c r="A1111" s="3">
        <v>9</v>
      </c>
      <c r="B1111" s="3" t="s">
        <v>8321</v>
      </c>
      <c r="C1111" s="14" t="s">
        <v>2079</v>
      </c>
      <c r="D1111" s="14" t="s">
        <v>2770</v>
      </c>
      <c r="E1111" s="14" t="s">
        <v>4367</v>
      </c>
      <c r="F1111" s="14" t="s">
        <v>2771</v>
      </c>
      <c r="G1111" s="14" t="s">
        <v>3</v>
      </c>
      <c r="H1111" s="14" t="s">
        <v>2772</v>
      </c>
      <c r="I1111" s="14" t="s">
        <v>2773</v>
      </c>
      <c r="J1111" s="14" t="s">
        <v>60</v>
      </c>
      <c r="K1111" s="14" t="s">
        <v>60</v>
      </c>
      <c r="L1111" s="14" t="s">
        <v>60</v>
      </c>
      <c r="M1111" s="14" t="s">
        <v>2774</v>
      </c>
      <c r="N1111" s="14" t="s">
        <v>60</v>
      </c>
      <c r="O1111" s="14" t="s">
        <v>60</v>
      </c>
      <c r="P1111" s="14" t="s">
        <v>8322</v>
      </c>
      <c r="Q1111" s="14" t="s">
        <v>11</v>
      </c>
      <c r="R1111" s="3">
        <v>0</v>
      </c>
      <c r="S1111" s="3">
        <f t="shared" si="59"/>
        <v>640</v>
      </c>
      <c r="T1111" s="3">
        <f t="shared" si="60"/>
        <v>0</v>
      </c>
      <c r="U1111" s="3" t="s">
        <v>60</v>
      </c>
      <c r="V1111" s="14" t="s">
        <v>6</v>
      </c>
      <c r="W1111" s="14" t="s">
        <v>4287</v>
      </c>
      <c r="X1111" s="14" t="s">
        <v>60</v>
      </c>
    </row>
    <row r="1112" spans="1:24" ht="15" x14ac:dyDescent="0.3">
      <c r="A1112" s="3">
        <v>10</v>
      </c>
      <c r="B1112" s="3" t="s">
        <v>8323</v>
      </c>
      <c r="C1112" s="14" t="s">
        <v>0</v>
      </c>
      <c r="D1112" s="14" t="s">
        <v>2775</v>
      </c>
      <c r="E1112" s="14" t="s">
        <v>4778</v>
      </c>
      <c r="F1112" s="14" t="s">
        <v>2428</v>
      </c>
      <c r="G1112" s="14" t="s">
        <v>3</v>
      </c>
      <c r="H1112" s="14" t="s">
        <v>2776</v>
      </c>
      <c r="I1112" s="14" t="s">
        <v>2777</v>
      </c>
      <c r="J1112" s="14" t="s">
        <v>60</v>
      </c>
      <c r="K1112" s="14" t="s">
        <v>60</v>
      </c>
      <c r="L1112" s="14" t="s">
        <v>60</v>
      </c>
      <c r="M1112" s="14" t="s">
        <v>2778</v>
      </c>
      <c r="N1112" s="14" t="s">
        <v>60</v>
      </c>
      <c r="O1112" s="14" t="s">
        <v>60</v>
      </c>
      <c r="P1112" s="14" t="s">
        <v>8324</v>
      </c>
      <c r="Q1112" s="14" t="s">
        <v>11</v>
      </c>
      <c r="R1112" s="3">
        <v>0</v>
      </c>
      <c r="S1112" s="3">
        <f t="shared" si="59"/>
        <v>550</v>
      </c>
      <c r="T1112" s="3">
        <f t="shared" si="60"/>
        <v>0</v>
      </c>
      <c r="U1112" s="3" t="s">
        <v>60</v>
      </c>
      <c r="V1112" s="14" t="s">
        <v>6</v>
      </c>
      <c r="W1112" s="14" t="s">
        <v>5291</v>
      </c>
      <c r="X1112" s="14" t="s">
        <v>60</v>
      </c>
    </row>
    <row r="1113" spans="1:24" ht="15" x14ac:dyDescent="0.3">
      <c r="A1113" s="3">
        <v>11</v>
      </c>
      <c r="B1113" s="3" t="s">
        <v>8325</v>
      </c>
      <c r="C1113" s="14" t="s">
        <v>91</v>
      </c>
      <c r="D1113" s="14" t="s">
        <v>2780</v>
      </c>
      <c r="E1113" s="14" t="s">
        <v>8326</v>
      </c>
      <c r="F1113" s="14" t="s">
        <v>2781</v>
      </c>
      <c r="G1113" s="14" t="s">
        <v>3</v>
      </c>
      <c r="H1113" s="14" t="s">
        <v>8327</v>
      </c>
      <c r="I1113" s="14" t="s">
        <v>2782</v>
      </c>
      <c r="J1113" s="14" t="s">
        <v>60</v>
      </c>
      <c r="K1113" s="14" t="s">
        <v>60</v>
      </c>
      <c r="L1113" s="14" t="s">
        <v>60</v>
      </c>
      <c r="M1113" s="14" t="s">
        <v>60</v>
      </c>
      <c r="N1113" s="14" t="s">
        <v>60</v>
      </c>
      <c r="O1113" s="14" t="s">
        <v>60</v>
      </c>
      <c r="P1113" s="14" t="s">
        <v>8328</v>
      </c>
      <c r="Q1113" s="14" t="s">
        <v>11</v>
      </c>
      <c r="R1113" s="3">
        <v>0</v>
      </c>
      <c r="S1113" s="3">
        <f t="shared" si="59"/>
        <v>770</v>
      </c>
      <c r="T1113" s="3">
        <f t="shared" si="60"/>
        <v>0</v>
      </c>
      <c r="U1113" s="3" t="s">
        <v>60</v>
      </c>
      <c r="V1113" s="14" t="s">
        <v>6</v>
      </c>
      <c r="W1113" s="14" t="s">
        <v>4287</v>
      </c>
      <c r="X1113" s="14" t="s">
        <v>60</v>
      </c>
    </row>
    <row r="1114" spans="1:24" ht="15" x14ac:dyDescent="0.3">
      <c r="A1114" s="3">
        <v>12</v>
      </c>
      <c r="B1114" s="3" t="s">
        <v>8329</v>
      </c>
      <c r="C1114" s="14" t="s">
        <v>14</v>
      </c>
      <c r="D1114" s="14" t="s">
        <v>2783</v>
      </c>
      <c r="E1114" s="14" t="s">
        <v>4658</v>
      </c>
      <c r="F1114" s="14" t="s">
        <v>2346</v>
      </c>
      <c r="G1114" s="14" t="s">
        <v>3</v>
      </c>
      <c r="H1114" s="14" t="s">
        <v>8330</v>
      </c>
      <c r="I1114" s="14" t="s">
        <v>2784</v>
      </c>
      <c r="J1114" s="14" t="s">
        <v>60</v>
      </c>
      <c r="K1114" s="14" t="s">
        <v>60</v>
      </c>
      <c r="L1114" s="14" t="s">
        <v>60</v>
      </c>
      <c r="M1114" s="14" t="s">
        <v>2785</v>
      </c>
      <c r="N1114" s="14" t="s">
        <v>60</v>
      </c>
      <c r="O1114" s="14" t="s">
        <v>60</v>
      </c>
      <c r="P1114" s="14" t="s">
        <v>8331</v>
      </c>
      <c r="Q1114" s="14" t="s">
        <v>11</v>
      </c>
      <c r="R1114" s="3">
        <v>0</v>
      </c>
      <c r="S1114" s="3">
        <f t="shared" si="59"/>
        <v>640</v>
      </c>
      <c r="T1114" s="3">
        <f t="shared" si="60"/>
        <v>0</v>
      </c>
      <c r="U1114" s="3" t="s">
        <v>60</v>
      </c>
      <c r="V1114" s="14" t="s">
        <v>6</v>
      </c>
      <c r="W1114" s="14" t="s">
        <v>6053</v>
      </c>
      <c r="X1114" s="14" t="s">
        <v>60</v>
      </c>
    </row>
    <row r="1115" spans="1:24" ht="15" x14ac:dyDescent="0.3">
      <c r="A1115" s="3">
        <v>13</v>
      </c>
      <c r="B1115" s="3" t="s">
        <v>8332</v>
      </c>
      <c r="C1115" s="14" t="s">
        <v>8333</v>
      </c>
      <c r="D1115" s="14" t="s">
        <v>2786</v>
      </c>
      <c r="E1115" s="14" t="s">
        <v>8334</v>
      </c>
      <c r="F1115" s="14" t="s">
        <v>2787</v>
      </c>
      <c r="G1115" s="14" t="s">
        <v>3</v>
      </c>
      <c r="H1115" s="14" t="s">
        <v>2788</v>
      </c>
      <c r="I1115" s="14" t="s">
        <v>2789</v>
      </c>
      <c r="J1115" s="14" t="s">
        <v>60</v>
      </c>
      <c r="K1115" s="14" t="s">
        <v>60</v>
      </c>
      <c r="L1115" s="14" t="s">
        <v>60</v>
      </c>
      <c r="M1115" s="14" t="s">
        <v>2790</v>
      </c>
      <c r="N1115" s="14" t="s">
        <v>60</v>
      </c>
      <c r="O1115" s="14" t="s">
        <v>60</v>
      </c>
      <c r="P1115" s="14" t="s">
        <v>8335</v>
      </c>
      <c r="Q1115" s="14" t="s">
        <v>2791</v>
      </c>
      <c r="R1115" s="3">
        <v>0</v>
      </c>
      <c r="S1115" s="3">
        <f t="shared" si="59"/>
        <v>900</v>
      </c>
      <c r="T1115" s="3">
        <f t="shared" si="60"/>
        <v>0</v>
      </c>
      <c r="U1115" s="3" t="s">
        <v>60</v>
      </c>
      <c r="V1115" s="14" t="s">
        <v>6</v>
      </c>
      <c r="W1115" s="14" t="s">
        <v>6053</v>
      </c>
      <c r="X1115" s="14" t="s">
        <v>60</v>
      </c>
    </row>
    <row r="1116" spans="1:24" ht="15" x14ac:dyDescent="0.3">
      <c r="A1116" s="3">
        <v>14</v>
      </c>
      <c r="B1116" s="3" t="s">
        <v>8336</v>
      </c>
      <c r="C1116" s="14" t="s">
        <v>0</v>
      </c>
      <c r="D1116" s="14" t="s">
        <v>2792</v>
      </c>
      <c r="E1116" s="14" t="s">
        <v>8337</v>
      </c>
      <c r="F1116" s="14" t="s">
        <v>2627</v>
      </c>
      <c r="G1116" s="14" t="s">
        <v>3</v>
      </c>
      <c r="H1116" s="14" t="s">
        <v>8338</v>
      </c>
      <c r="I1116" s="14" t="s">
        <v>2793</v>
      </c>
      <c r="J1116" s="14" t="s">
        <v>60</v>
      </c>
      <c r="K1116" s="14" t="s">
        <v>60</v>
      </c>
      <c r="L1116" s="14" t="s">
        <v>60</v>
      </c>
      <c r="M1116" s="14" t="s">
        <v>2794</v>
      </c>
      <c r="N1116" s="14" t="s">
        <v>60</v>
      </c>
      <c r="O1116" s="14" t="s">
        <v>60</v>
      </c>
      <c r="P1116" s="14" t="s">
        <v>8339</v>
      </c>
      <c r="Q1116" s="14" t="s">
        <v>11</v>
      </c>
      <c r="R1116" s="3">
        <v>0</v>
      </c>
      <c r="S1116" s="3">
        <f t="shared" si="59"/>
        <v>550</v>
      </c>
      <c r="T1116" s="3">
        <f t="shared" si="60"/>
        <v>0</v>
      </c>
      <c r="U1116" s="3" t="s">
        <v>60</v>
      </c>
      <c r="V1116" s="14" t="s">
        <v>6</v>
      </c>
      <c r="W1116" s="14" t="s">
        <v>4251</v>
      </c>
      <c r="X1116" s="14" t="s">
        <v>60</v>
      </c>
    </row>
    <row r="1117" spans="1:24" ht="15" x14ac:dyDescent="0.3">
      <c r="A1117" s="3">
        <v>15</v>
      </c>
      <c r="B1117" s="3" t="s">
        <v>8340</v>
      </c>
      <c r="C1117" s="14" t="s">
        <v>0</v>
      </c>
      <c r="D1117" s="14" t="s">
        <v>2795</v>
      </c>
      <c r="E1117" s="14" t="s">
        <v>4293</v>
      </c>
      <c r="F1117" s="14" t="s">
        <v>2796</v>
      </c>
      <c r="G1117" s="14" t="s">
        <v>3</v>
      </c>
      <c r="H1117" s="14" t="s">
        <v>8341</v>
      </c>
      <c r="I1117" s="14" t="s">
        <v>2797</v>
      </c>
      <c r="J1117" s="14" t="s">
        <v>60</v>
      </c>
      <c r="K1117" s="14" t="s">
        <v>60</v>
      </c>
      <c r="L1117" s="14" t="s">
        <v>60</v>
      </c>
      <c r="M1117" s="14" t="s">
        <v>2798</v>
      </c>
      <c r="N1117" s="14" t="s">
        <v>60</v>
      </c>
      <c r="O1117" s="14" t="s">
        <v>60</v>
      </c>
      <c r="P1117" s="14" t="s">
        <v>8342</v>
      </c>
      <c r="Q1117" s="14" t="s">
        <v>11</v>
      </c>
      <c r="R1117" s="3">
        <v>0</v>
      </c>
      <c r="S1117" s="3">
        <f t="shared" si="59"/>
        <v>550</v>
      </c>
      <c r="T1117" s="3">
        <f t="shared" si="60"/>
        <v>0</v>
      </c>
      <c r="U1117" s="3" t="s">
        <v>60</v>
      </c>
      <c r="V1117" s="14" t="s">
        <v>6</v>
      </c>
      <c r="W1117" s="14" t="s">
        <v>4985</v>
      </c>
      <c r="X1117" s="14" t="s">
        <v>60</v>
      </c>
    </row>
    <row r="1118" spans="1:24" ht="15" x14ac:dyDescent="0.3">
      <c r="A1118" s="3">
        <v>16</v>
      </c>
      <c r="B1118" s="3" t="s">
        <v>8343</v>
      </c>
      <c r="C1118" s="14" t="s">
        <v>26</v>
      </c>
      <c r="D1118" s="14" t="s">
        <v>2799</v>
      </c>
      <c r="E1118" s="14" t="s">
        <v>8344</v>
      </c>
      <c r="F1118" s="14" t="s">
        <v>2800</v>
      </c>
      <c r="G1118" s="14" t="s">
        <v>3</v>
      </c>
      <c r="H1118" s="14" t="s">
        <v>8345</v>
      </c>
      <c r="I1118" s="14" t="s">
        <v>2801</v>
      </c>
      <c r="J1118" s="14" t="s">
        <v>60</v>
      </c>
      <c r="K1118" s="14" t="s">
        <v>60</v>
      </c>
      <c r="L1118" s="14" t="s">
        <v>60</v>
      </c>
      <c r="M1118" s="14" t="s">
        <v>2802</v>
      </c>
      <c r="N1118" s="14" t="s">
        <v>60</v>
      </c>
      <c r="O1118" s="14" t="s">
        <v>60</v>
      </c>
      <c r="P1118" s="14" t="s">
        <v>8346</v>
      </c>
      <c r="Q1118" s="14" t="s">
        <v>11</v>
      </c>
      <c r="R1118" s="3">
        <v>0</v>
      </c>
      <c r="S1118" s="3">
        <f t="shared" si="59"/>
        <v>770</v>
      </c>
      <c r="T1118" s="3">
        <f t="shared" si="60"/>
        <v>0</v>
      </c>
      <c r="U1118" s="3" t="s">
        <v>60</v>
      </c>
      <c r="V1118" s="14" t="s">
        <v>6</v>
      </c>
      <c r="W1118" s="14" t="s">
        <v>4731</v>
      </c>
      <c r="X1118" s="14" t="s">
        <v>60</v>
      </c>
    </row>
    <row r="1119" spans="1:24" ht="15" x14ac:dyDescent="0.3">
      <c r="A1119" s="3">
        <v>17</v>
      </c>
      <c r="B1119" s="3" t="s">
        <v>8347</v>
      </c>
      <c r="C1119" s="14" t="s">
        <v>0</v>
      </c>
      <c r="D1119" s="14" t="s">
        <v>2803</v>
      </c>
      <c r="E1119" s="14" t="s">
        <v>8348</v>
      </c>
      <c r="F1119" s="14" t="s">
        <v>2779</v>
      </c>
      <c r="G1119" s="14" t="s">
        <v>121</v>
      </c>
      <c r="H1119" s="14" t="s">
        <v>2804</v>
      </c>
      <c r="I1119" s="14" t="s">
        <v>8349</v>
      </c>
      <c r="J1119" s="14" t="s">
        <v>60</v>
      </c>
      <c r="K1119" s="14" t="s">
        <v>60</v>
      </c>
      <c r="L1119" s="14" t="s">
        <v>60</v>
      </c>
      <c r="M1119" s="14" t="s">
        <v>2805</v>
      </c>
      <c r="N1119" s="14" t="s">
        <v>60</v>
      </c>
      <c r="O1119" s="14" t="s">
        <v>60</v>
      </c>
      <c r="P1119" s="14" t="s">
        <v>8350</v>
      </c>
      <c r="Q1119" s="14" t="s">
        <v>11</v>
      </c>
      <c r="R1119" s="3">
        <v>0</v>
      </c>
      <c r="S1119" s="3">
        <f t="shared" si="59"/>
        <v>550</v>
      </c>
      <c r="T1119" s="3">
        <f t="shared" si="60"/>
        <v>0</v>
      </c>
      <c r="U1119" s="3" t="s">
        <v>60</v>
      </c>
      <c r="V1119" s="14" t="s">
        <v>6</v>
      </c>
      <c r="W1119" s="14" t="s">
        <v>6067</v>
      </c>
      <c r="X1119" s="31">
        <v>46284</v>
      </c>
    </row>
    <row r="1120" spans="1:24" ht="15" x14ac:dyDescent="0.3">
      <c r="A1120" s="3">
        <v>18</v>
      </c>
      <c r="B1120" s="3" t="s">
        <v>8351</v>
      </c>
      <c r="C1120" s="14" t="s">
        <v>0</v>
      </c>
      <c r="D1120" s="14" t="s">
        <v>2814</v>
      </c>
      <c r="E1120" s="14" t="s">
        <v>8352</v>
      </c>
      <c r="F1120" s="14" t="s">
        <v>2638</v>
      </c>
      <c r="G1120" s="14" t="s">
        <v>3</v>
      </c>
      <c r="H1120" s="14" t="s">
        <v>8353</v>
      </c>
      <c r="I1120" s="14" t="s">
        <v>2815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8354</v>
      </c>
      <c r="Q1120" s="14" t="s">
        <v>11</v>
      </c>
      <c r="R1120" s="3">
        <v>0</v>
      </c>
      <c r="S1120" s="3">
        <f t="shared" si="59"/>
        <v>550</v>
      </c>
      <c r="T1120" s="3">
        <f t="shared" si="60"/>
        <v>0</v>
      </c>
      <c r="U1120" s="3" t="s">
        <v>60</v>
      </c>
      <c r="V1120" s="14" t="s">
        <v>6</v>
      </c>
      <c r="W1120" s="14" t="s">
        <v>8184</v>
      </c>
      <c r="X1120" s="14" t="s">
        <v>60</v>
      </c>
    </row>
    <row r="1121" spans="1:24" ht="15" x14ac:dyDescent="0.3">
      <c r="A1121" s="3">
        <v>19</v>
      </c>
      <c r="B1121" s="3" t="s">
        <v>8355</v>
      </c>
      <c r="C1121" s="14" t="s">
        <v>0</v>
      </c>
      <c r="D1121" s="14" t="s">
        <v>2816</v>
      </c>
      <c r="E1121" s="14" t="s">
        <v>8356</v>
      </c>
      <c r="F1121" s="14" t="s">
        <v>2638</v>
      </c>
      <c r="G1121" s="14" t="s">
        <v>3</v>
      </c>
      <c r="H1121" s="14" t="s">
        <v>8353</v>
      </c>
      <c r="I1121" s="14" t="s">
        <v>2817</v>
      </c>
      <c r="J1121" s="14" t="s">
        <v>60</v>
      </c>
      <c r="K1121" s="14" t="s">
        <v>60</v>
      </c>
      <c r="L1121" s="14" t="s">
        <v>60</v>
      </c>
      <c r="M1121" s="14" t="s">
        <v>60</v>
      </c>
      <c r="N1121" s="14" t="s">
        <v>60</v>
      </c>
      <c r="O1121" s="14" t="s">
        <v>60</v>
      </c>
      <c r="P1121" s="14" t="s">
        <v>8357</v>
      </c>
      <c r="Q1121" s="14" t="s">
        <v>11</v>
      </c>
      <c r="R1121" s="3">
        <v>0</v>
      </c>
      <c r="S1121" s="3">
        <f t="shared" si="59"/>
        <v>550</v>
      </c>
      <c r="T1121" s="3">
        <f t="shared" si="60"/>
        <v>0</v>
      </c>
      <c r="U1121" s="3" t="s">
        <v>60</v>
      </c>
      <c r="V1121" s="14" t="s">
        <v>6</v>
      </c>
      <c r="W1121" s="14" t="s">
        <v>8184</v>
      </c>
      <c r="X1121" s="14" t="s">
        <v>60</v>
      </c>
    </row>
    <row r="1122" spans="1:24" ht="15" x14ac:dyDescent="0.3">
      <c r="A1122" s="3">
        <v>20</v>
      </c>
      <c r="B1122" s="3" t="s">
        <v>8358</v>
      </c>
      <c r="C1122" s="14" t="s">
        <v>8359</v>
      </c>
      <c r="D1122" s="14" t="s">
        <v>2818</v>
      </c>
      <c r="E1122" s="14" t="s">
        <v>4928</v>
      </c>
      <c r="F1122" s="14" t="s">
        <v>2819</v>
      </c>
      <c r="G1122" s="14" t="s">
        <v>3</v>
      </c>
      <c r="H1122" s="14" t="s">
        <v>2820</v>
      </c>
      <c r="I1122" s="14" t="s">
        <v>2821</v>
      </c>
      <c r="J1122" s="14" t="s">
        <v>60</v>
      </c>
      <c r="K1122" s="14" t="s">
        <v>60</v>
      </c>
      <c r="L1122" s="14" t="s">
        <v>60</v>
      </c>
      <c r="M1122" s="14" t="s">
        <v>2822</v>
      </c>
      <c r="N1122" s="14" t="s">
        <v>60</v>
      </c>
      <c r="O1122" s="14" t="s">
        <v>60</v>
      </c>
      <c r="P1122" s="14" t="s">
        <v>8360</v>
      </c>
      <c r="Q1122" s="14" t="s">
        <v>11</v>
      </c>
      <c r="R1122" s="3">
        <v>0</v>
      </c>
      <c r="S1122" s="3">
        <f t="shared" si="59"/>
        <v>770</v>
      </c>
      <c r="T1122" s="3">
        <f t="shared" si="60"/>
        <v>0</v>
      </c>
      <c r="U1122" s="3" t="s">
        <v>8361</v>
      </c>
      <c r="V1122" s="14" t="s">
        <v>6</v>
      </c>
      <c r="W1122" s="14" t="s">
        <v>8362</v>
      </c>
      <c r="X1122" s="31" t="s">
        <v>7851</v>
      </c>
    </row>
    <row r="1123" spans="1:24" ht="15" x14ac:dyDescent="0.3">
      <c r="A1123" s="3">
        <v>21</v>
      </c>
      <c r="B1123" s="3" t="s">
        <v>8363</v>
      </c>
      <c r="C1123" s="14" t="s">
        <v>0</v>
      </c>
      <c r="D1123" s="14" t="s">
        <v>2823</v>
      </c>
      <c r="E1123" s="14" t="s">
        <v>8364</v>
      </c>
      <c r="F1123" s="14" t="s">
        <v>2824</v>
      </c>
      <c r="G1123" s="14" t="s">
        <v>3</v>
      </c>
      <c r="H1123" s="14" t="s">
        <v>8365</v>
      </c>
      <c r="I1123" s="14" t="s">
        <v>2825</v>
      </c>
      <c r="J1123" s="14" t="s">
        <v>60</v>
      </c>
      <c r="K1123" s="14" t="s">
        <v>60</v>
      </c>
      <c r="L1123" s="14" t="s">
        <v>60</v>
      </c>
      <c r="M1123" s="14" t="s">
        <v>60</v>
      </c>
      <c r="N1123" s="14" t="s">
        <v>60</v>
      </c>
      <c r="O1123" s="14" t="s">
        <v>60</v>
      </c>
      <c r="P1123" s="14" t="s">
        <v>8366</v>
      </c>
      <c r="Q1123" s="14" t="s">
        <v>11</v>
      </c>
      <c r="R1123" s="3">
        <v>0</v>
      </c>
      <c r="S1123" s="3">
        <f t="shared" si="59"/>
        <v>550</v>
      </c>
      <c r="T1123" s="3">
        <f t="shared" si="60"/>
        <v>0</v>
      </c>
      <c r="U1123" s="3" t="s">
        <v>60</v>
      </c>
      <c r="V1123" s="14" t="s">
        <v>6</v>
      </c>
      <c r="W1123" s="14" t="s">
        <v>8362</v>
      </c>
      <c r="X1123" s="14" t="s">
        <v>60</v>
      </c>
    </row>
    <row r="1124" spans="1:24" ht="15" x14ac:dyDescent="0.3">
      <c r="A1124" s="3">
        <v>22</v>
      </c>
      <c r="B1124" s="3" t="s">
        <v>8367</v>
      </c>
      <c r="C1124" s="14" t="s">
        <v>26</v>
      </c>
      <c r="D1124" s="14" t="s">
        <v>2826</v>
      </c>
      <c r="E1124" s="14" t="s">
        <v>4200</v>
      </c>
      <c r="F1124" s="14" t="s">
        <v>2827</v>
      </c>
      <c r="G1124" s="14" t="s">
        <v>3</v>
      </c>
      <c r="H1124" s="14" t="s">
        <v>8368</v>
      </c>
      <c r="I1124" s="14" t="s">
        <v>2828</v>
      </c>
      <c r="J1124" s="14" t="s">
        <v>60</v>
      </c>
      <c r="K1124" s="14" t="s">
        <v>60</v>
      </c>
      <c r="L1124" s="14" t="s">
        <v>60</v>
      </c>
      <c r="M1124" s="14" t="s">
        <v>2829</v>
      </c>
      <c r="N1124" s="14" t="s">
        <v>60</v>
      </c>
      <c r="O1124" s="14" t="s">
        <v>60</v>
      </c>
      <c r="P1124" s="14" t="s">
        <v>8369</v>
      </c>
      <c r="Q1124" s="14" t="s">
        <v>11</v>
      </c>
      <c r="R1124" s="3">
        <v>0</v>
      </c>
      <c r="S1124" s="3">
        <f t="shared" si="59"/>
        <v>770</v>
      </c>
      <c r="T1124" s="3">
        <f t="shared" si="60"/>
        <v>0</v>
      </c>
      <c r="U1124" s="3" t="s">
        <v>60</v>
      </c>
      <c r="V1124" s="14" t="s">
        <v>6</v>
      </c>
      <c r="W1124" s="14" t="s">
        <v>8362</v>
      </c>
      <c r="X1124" s="14" t="s">
        <v>60</v>
      </c>
    </row>
    <row r="1125" spans="1:24" ht="15" x14ac:dyDescent="0.3">
      <c r="A1125" s="3">
        <v>23</v>
      </c>
      <c r="B1125" s="3" t="s">
        <v>8370</v>
      </c>
      <c r="C1125" s="14" t="s">
        <v>0</v>
      </c>
      <c r="D1125" s="14" t="s">
        <v>2830</v>
      </c>
      <c r="E1125" s="14" t="s">
        <v>4778</v>
      </c>
      <c r="F1125" s="14" t="s">
        <v>1237</v>
      </c>
      <c r="G1125" s="14" t="s">
        <v>3</v>
      </c>
      <c r="H1125" s="14" t="s">
        <v>8371</v>
      </c>
      <c r="I1125" s="14" t="s">
        <v>2831</v>
      </c>
      <c r="J1125" s="14" t="s">
        <v>60</v>
      </c>
      <c r="K1125" s="14" t="s">
        <v>60</v>
      </c>
      <c r="L1125" s="14" t="s">
        <v>60</v>
      </c>
      <c r="M1125" s="14" t="s">
        <v>2832</v>
      </c>
      <c r="N1125" s="14" t="s">
        <v>60</v>
      </c>
      <c r="O1125" s="14" t="s">
        <v>60</v>
      </c>
      <c r="P1125" s="14" t="s">
        <v>8372</v>
      </c>
      <c r="Q1125" s="14" t="s">
        <v>2833</v>
      </c>
      <c r="R1125" s="3">
        <v>0</v>
      </c>
      <c r="S1125" s="3">
        <f t="shared" si="59"/>
        <v>550</v>
      </c>
      <c r="T1125" s="3">
        <f t="shared" si="60"/>
        <v>0</v>
      </c>
      <c r="U1125" s="3" t="s">
        <v>60</v>
      </c>
      <c r="V1125" s="14" t="s">
        <v>6</v>
      </c>
      <c r="W1125" s="14" t="s">
        <v>8373</v>
      </c>
      <c r="X1125" s="14" t="s">
        <v>60</v>
      </c>
    </row>
    <row r="1126" spans="1:24" ht="15" x14ac:dyDescent="0.3">
      <c r="A1126" s="3">
        <v>24</v>
      </c>
      <c r="B1126" s="3" t="s">
        <v>8374</v>
      </c>
      <c r="C1126" s="14" t="s">
        <v>0</v>
      </c>
      <c r="D1126" s="14" t="s">
        <v>2834</v>
      </c>
      <c r="E1126" s="14" t="s">
        <v>6868</v>
      </c>
      <c r="F1126" s="14" t="s">
        <v>2835</v>
      </c>
      <c r="G1126" s="14" t="s">
        <v>3</v>
      </c>
      <c r="H1126" s="14" t="s">
        <v>8375</v>
      </c>
      <c r="I1126" s="14" t="s">
        <v>2836</v>
      </c>
      <c r="J1126" s="14" t="s">
        <v>60</v>
      </c>
      <c r="K1126" s="14" t="s">
        <v>60</v>
      </c>
      <c r="L1126" s="14" t="s">
        <v>60</v>
      </c>
      <c r="M1126" s="14" t="s">
        <v>2837</v>
      </c>
      <c r="N1126" s="14" t="s">
        <v>60</v>
      </c>
      <c r="O1126" s="14" t="s">
        <v>60</v>
      </c>
      <c r="P1126" s="14" t="s">
        <v>8376</v>
      </c>
      <c r="Q1126" s="14" t="s">
        <v>11</v>
      </c>
      <c r="R1126" s="3">
        <v>0</v>
      </c>
      <c r="S1126" s="3">
        <f t="shared" si="59"/>
        <v>550</v>
      </c>
      <c r="T1126" s="3">
        <f t="shared" si="60"/>
        <v>0</v>
      </c>
      <c r="U1126" s="3" t="s">
        <v>60</v>
      </c>
      <c r="V1126" s="14" t="s">
        <v>6</v>
      </c>
      <c r="W1126" s="14" t="s">
        <v>8373</v>
      </c>
      <c r="X1126" s="14" t="s">
        <v>60</v>
      </c>
    </row>
    <row r="1127" spans="1:24" ht="15" x14ac:dyDescent="0.3">
      <c r="A1127" s="3">
        <v>25</v>
      </c>
      <c r="B1127" s="3" t="s">
        <v>8377</v>
      </c>
      <c r="C1127" s="14" t="s">
        <v>14</v>
      </c>
      <c r="D1127" s="14" t="s">
        <v>2809</v>
      </c>
      <c r="E1127" s="14" t="s">
        <v>4308</v>
      </c>
      <c r="F1127" s="14" t="s">
        <v>2810</v>
      </c>
      <c r="G1127" s="14" t="s">
        <v>3</v>
      </c>
      <c r="H1127" s="14" t="s">
        <v>8378</v>
      </c>
      <c r="I1127" s="14" t="s">
        <v>2811</v>
      </c>
      <c r="J1127" s="14" t="s">
        <v>60</v>
      </c>
      <c r="K1127" s="14" t="s">
        <v>60</v>
      </c>
      <c r="L1127" s="14" t="s">
        <v>60</v>
      </c>
      <c r="M1127" s="14" t="s">
        <v>2812</v>
      </c>
      <c r="N1127" s="14" t="s">
        <v>60</v>
      </c>
      <c r="O1127" s="14" t="s">
        <v>60</v>
      </c>
      <c r="P1127" s="14" t="s">
        <v>8379</v>
      </c>
      <c r="Q1127" s="14" t="s">
        <v>2791</v>
      </c>
      <c r="R1127" s="3">
        <v>0</v>
      </c>
      <c r="S1127" s="3">
        <f t="shared" si="59"/>
        <v>640</v>
      </c>
      <c r="T1127" s="3">
        <f t="shared" si="60"/>
        <v>0</v>
      </c>
      <c r="U1127" s="3" t="s">
        <v>60</v>
      </c>
      <c r="V1127" s="14" t="s">
        <v>6</v>
      </c>
      <c r="W1127" s="14" t="s">
        <v>4731</v>
      </c>
      <c r="X1127" s="14" t="s">
        <v>60</v>
      </c>
    </row>
    <row r="1128" spans="1:24" ht="15" x14ac:dyDescent="0.3">
      <c r="A1128" s="3">
        <v>26</v>
      </c>
      <c r="B1128" s="3" t="s">
        <v>8380</v>
      </c>
      <c r="C1128" s="14" t="s">
        <v>26</v>
      </c>
      <c r="D1128" s="14" t="s">
        <v>407</v>
      </c>
      <c r="E1128" s="14" t="s">
        <v>8381</v>
      </c>
      <c r="F1128" s="14" t="s">
        <v>408</v>
      </c>
      <c r="G1128" s="14" t="s">
        <v>3</v>
      </c>
      <c r="H1128" s="14" t="s">
        <v>8382</v>
      </c>
      <c r="I1128" s="14" t="s">
        <v>409</v>
      </c>
      <c r="J1128" s="14" t="s">
        <v>60</v>
      </c>
      <c r="K1128" s="14" t="s">
        <v>60</v>
      </c>
      <c r="L1128" s="14" t="s">
        <v>60</v>
      </c>
      <c r="M1128" s="14" t="s">
        <v>410</v>
      </c>
      <c r="N1128" s="14" t="s">
        <v>60</v>
      </c>
      <c r="O1128" s="14" t="s">
        <v>328</v>
      </c>
      <c r="P1128" s="14" t="s">
        <v>8383</v>
      </c>
      <c r="Q1128" s="14" t="s">
        <v>411</v>
      </c>
      <c r="R1128" s="3">
        <v>0</v>
      </c>
      <c r="S1128" s="3">
        <f t="shared" si="59"/>
        <v>770</v>
      </c>
      <c r="T1128" s="3">
        <f t="shared" si="60"/>
        <v>0</v>
      </c>
      <c r="U1128" s="3" t="s">
        <v>60</v>
      </c>
      <c r="V1128" s="14" t="s">
        <v>6</v>
      </c>
      <c r="W1128" s="14" t="s">
        <v>7511</v>
      </c>
      <c r="X1128" s="14" t="s">
        <v>60</v>
      </c>
    </row>
    <row r="1129" spans="1:24" ht="15" x14ac:dyDescent="0.3">
      <c r="A1129" s="3">
        <v>27</v>
      </c>
      <c r="B1129" s="3" t="s">
        <v>8384</v>
      </c>
      <c r="C1129" s="14" t="s">
        <v>0</v>
      </c>
      <c r="D1129" s="14" t="s">
        <v>2700</v>
      </c>
      <c r="E1129" s="14" t="s">
        <v>4308</v>
      </c>
      <c r="F1129" s="14" t="s">
        <v>2701</v>
      </c>
      <c r="G1129" s="14" t="s">
        <v>3</v>
      </c>
      <c r="H1129" s="14" t="s">
        <v>8385</v>
      </c>
      <c r="I1129" s="14" t="s">
        <v>2702</v>
      </c>
      <c r="J1129" s="14" t="s">
        <v>60</v>
      </c>
      <c r="K1129" s="14" t="s">
        <v>60</v>
      </c>
      <c r="L1129" s="14" t="s">
        <v>60</v>
      </c>
      <c r="M1129" s="14" t="s">
        <v>2703</v>
      </c>
      <c r="N1129" s="14" t="s">
        <v>60</v>
      </c>
      <c r="O1129" s="14" t="s">
        <v>60</v>
      </c>
      <c r="P1129" s="14" t="s">
        <v>8386</v>
      </c>
      <c r="Q1129" s="14" t="s">
        <v>11</v>
      </c>
      <c r="R1129" s="3">
        <v>0</v>
      </c>
      <c r="S1129" s="3">
        <f t="shared" si="59"/>
        <v>550</v>
      </c>
      <c r="T1129" s="3">
        <f t="shared" si="60"/>
        <v>0</v>
      </c>
      <c r="U1129" s="3" t="s">
        <v>60</v>
      </c>
      <c r="V1129" s="14" t="s">
        <v>6</v>
      </c>
      <c r="W1129" s="14" t="s">
        <v>8213</v>
      </c>
      <c r="X1129" s="14" t="s">
        <v>60</v>
      </c>
    </row>
    <row r="1130" spans="1:24" ht="15" x14ac:dyDescent="0.3">
      <c r="A1130" s="3">
        <v>28</v>
      </c>
      <c r="B1130" s="3" t="s">
        <v>8387</v>
      </c>
      <c r="C1130" s="14" t="s">
        <v>0</v>
      </c>
      <c r="D1130" s="14" t="s">
        <v>2704</v>
      </c>
      <c r="E1130" s="14" t="s">
        <v>4562</v>
      </c>
      <c r="F1130" s="14" t="s">
        <v>2705</v>
      </c>
      <c r="G1130" s="14" t="s">
        <v>3</v>
      </c>
      <c r="H1130" s="14" t="s">
        <v>8388</v>
      </c>
      <c r="I1130" s="14" t="s">
        <v>2706</v>
      </c>
      <c r="J1130" s="14" t="s">
        <v>60</v>
      </c>
      <c r="K1130" s="14" t="s">
        <v>60</v>
      </c>
      <c r="L1130" s="14" t="s">
        <v>60</v>
      </c>
      <c r="M1130" s="14" t="s">
        <v>2707</v>
      </c>
      <c r="N1130" s="14" t="s">
        <v>60</v>
      </c>
      <c r="O1130" s="14" t="s">
        <v>60</v>
      </c>
      <c r="P1130" s="14" t="s">
        <v>8389</v>
      </c>
      <c r="Q1130" s="14" t="s">
        <v>11</v>
      </c>
      <c r="R1130" s="3">
        <v>0</v>
      </c>
      <c r="S1130" s="3">
        <f t="shared" si="59"/>
        <v>550</v>
      </c>
      <c r="T1130" s="3">
        <f t="shared" si="60"/>
        <v>0</v>
      </c>
      <c r="U1130" s="3" t="s">
        <v>60</v>
      </c>
      <c r="V1130" s="14" t="s">
        <v>6</v>
      </c>
      <c r="W1130" s="14" t="s">
        <v>8213</v>
      </c>
      <c r="X1130" s="14" t="s">
        <v>60</v>
      </c>
    </row>
    <row r="1131" spans="1:24" ht="15" x14ac:dyDescent="0.3">
      <c r="A1131" s="3">
        <v>29</v>
      </c>
      <c r="B1131" s="3" t="s">
        <v>8390</v>
      </c>
      <c r="C1131" s="14" t="s">
        <v>0</v>
      </c>
      <c r="D1131" s="14" t="s">
        <v>2712</v>
      </c>
      <c r="E1131" s="14" t="s">
        <v>8391</v>
      </c>
      <c r="F1131" s="14" t="s">
        <v>2709</v>
      </c>
      <c r="G1131" s="14" t="s">
        <v>3</v>
      </c>
      <c r="H1131" s="14" t="s">
        <v>8392</v>
      </c>
      <c r="I1131" s="14" t="s">
        <v>2713</v>
      </c>
      <c r="J1131" s="14" t="s">
        <v>60</v>
      </c>
      <c r="K1131" s="14" t="s">
        <v>60</v>
      </c>
      <c r="L1131" s="14" t="s">
        <v>60</v>
      </c>
      <c r="M1131" s="14" t="s">
        <v>2714</v>
      </c>
      <c r="N1131" s="14" t="s">
        <v>60</v>
      </c>
      <c r="O1131" s="14" t="s">
        <v>60</v>
      </c>
      <c r="P1131" s="14" t="s">
        <v>8393</v>
      </c>
      <c r="Q1131" s="14" t="s">
        <v>11</v>
      </c>
      <c r="R1131" s="3">
        <v>0</v>
      </c>
      <c r="S1131" s="3">
        <f t="shared" si="59"/>
        <v>550</v>
      </c>
      <c r="T1131" s="3">
        <f t="shared" si="60"/>
        <v>0</v>
      </c>
      <c r="U1131" s="3" t="s">
        <v>60</v>
      </c>
      <c r="V1131" s="14" t="s">
        <v>6</v>
      </c>
      <c r="W1131" s="14" t="s">
        <v>8213</v>
      </c>
      <c r="X1131" s="14" t="s">
        <v>60</v>
      </c>
    </row>
    <row r="1132" spans="1:24" ht="15" x14ac:dyDescent="0.3">
      <c r="A1132" s="3">
        <v>30</v>
      </c>
      <c r="B1132" s="3" t="s">
        <v>8394</v>
      </c>
      <c r="C1132" s="14" t="s">
        <v>0</v>
      </c>
      <c r="D1132" s="14" t="s">
        <v>2715</v>
      </c>
      <c r="E1132" s="14" t="s">
        <v>4319</v>
      </c>
      <c r="F1132" s="14" t="s">
        <v>2716</v>
      </c>
      <c r="G1132" s="14" t="s">
        <v>3</v>
      </c>
      <c r="H1132" s="14" t="s">
        <v>8395</v>
      </c>
      <c r="I1132" s="14" t="s">
        <v>2717</v>
      </c>
      <c r="J1132" s="14" t="s">
        <v>60</v>
      </c>
      <c r="K1132" s="14" t="s">
        <v>60</v>
      </c>
      <c r="L1132" s="14" t="s">
        <v>60</v>
      </c>
      <c r="M1132" s="14" t="s">
        <v>2718</v>
      </c>
      <c r="N1132" s="14" t="s">
        <v>60</v>
      </c>
      <c r="O1132" s="14" t="s">
        <v>60</v>
      </c>
      <c r="P1132" s="14" t="s">
        <v>8396</v>
      </c>
      <c r="Q1132" s="14" t="s">
        <v>11</v>
      </c>
      <c r="R1132" s="3">
        <v>0</v>
      </c>
      <c r="S1132" s="3">
        <f t="shared" si="59"/>
        <v>550</v>
      </c>
      <c r="T1132" s="3">
        <f t="shared" si="60"/>
        <v>0</v>
      </c>
      <c r="U1132" s="3" t="s">
        <v>60</v>
      </c>
      <c r="V1132" s="14" t="s">
        <v>6</v>
      </c>
      <c r="W1132" s="14" t="s">
        <v>8213</v>
      </c>
      <c r="X1132" s="14" t="s">
        <v>60</v>
      </c>
    </row>
    <row r="1133" spans="1:24" ht="15" x14ac:dyDescent="0.3">
      <c r="A1133" s="3">
        <v>31</v>
      </c>
      <c r="B1133" s="3" t="s">
        <v>8397</v>
      </c>
      <c r="C1133" s="14" t="s">
        <v>0</v>
      </c>
      <c r="D1133" s="14" t="s">
        <v>2719</v>
      </c>
      <c r="E1133" s="14" t="s">
        <v>4367</v>
      </c>
      <c r="F1133" s="14" t="s">
        <v>2720</v>
      </c>
      <c r="G1133" s="14" t="s">
        <v>3</v>
      </c>
      <c r="H1133" s="14" t="s">
        <v>8398</v>
      </c>
      <c r="I1133" s="14" t="s">
        <v>2721</v>
      </c>
      <c r="J1133" s="14" t="s">
        <v>60</v>
      </c>
      <c r="K1133" s="14" t="s">
        <v>60</v>
      </c>
      <c r="L1133" s="14" t="s">
        <v>60</v>
      </c>
      <c r="M1133" s="14" t="s">
        <v>2722</v>
      </c>
      <c r="N1133" s="14" t="s">
        <v>60</v>
      </c>
      <c r="O1133" s="14" t="s">
        <v>60</v>
      </c>
      <c r="P1133" s="14" t="s">
        <v>8399</v>
      </c>
      <c r="Q1133" s="14" t="s">
        <v>2723</v>
      </c>
      <c r="R1133" s="3">
        <v>0</v>
      </c>
      <c r="S1133" s="3">
        <f t="shared" si="59"/>
        <v>550</v>
      </c>
      <c r="T1133" s="3">
        <f t="shared" si="60"/>
        <v>0</v>
      </c>
      <c r="U1133" s="3" t="s">
        <v>60</v>
      </c>
      <c r="V1133" s="14" t="s">
        <v>6</v>
      </c>
      <c r="W1133" s="14" t="s">
        <v>8213</v>
      </c>
      <c r="X1133" s="14" t="s">
        <v>60</v>
      </c>
    </row>
    <row r="1134" spans="1:24" ht="15" x14ac:dyDescent="0.3">
      <c r="A1134" s="3">
        <v>32</v>
      </c>
      <c r="B1134" s="3" t="s">
        <v>8400</v>
      </c>
      <c r="C1134" s="14" t="s">
        <v>0</v>
      </c>
      <c r="D1134" s="14" t="s">
        <v>2724</v>
      </c>
      <c r="E1134" s="14" t="s">
        <v>4746</v>
      </c>
      <c r="F1134" s="14" t="s">
        <v>2725</v>
      </c>
      <c r="G1134" s="14" t="s">
        <v>3</v>
      </c>
      <c r="H1134" s="14" t="s">
        <v>8401</v>
      </c>
      <c r="I1134" s="14" t="s">
        <v>2726</v>
      </c>
      <c r="J1134" s="14" t="s">
        <v>60</v>
      </c>
      <c r="K1134" s="14" t="s">
        <v>60</v>
      </c>
      <c r="L1134" s="14" t="s">
        <v>60</v>
      </c>
      <c r="M1134" s="14" t="s">
        <v>2727</v>
      </c>
      <c r="N1134" s="14" t="s">
        <v>60</v>
      </c>
      <c r="O1134" s="14" t="s">
        <v>60</v>
      </c>
      <c r="P1134" s="14" t="s">
        <v>8402</v>
      </c>
      <c r="Q1134" s="14" t="s">
        <v>11</v>
      </c>
      <c r="R1134" s="3">
        <v>0</v>
      </c>
      <c r="S1134" s="3">
        <f t="shared" si="59"/>
        <v>550</v>
      </c>
      <c r="T1134" s="3">
        <f t="shared" si="60"/>
        <v>0</v>
      </c>
      <c r="U1134" s="3" t="s">
        <v>60</v>
      </c>
      <c r="V1134" s="14" t="s">
        <v>6</v>
      </c>
      <c r="W1134" s="14" t="s">
        <v>8213</v>
      </c>
      <c r="X1134" s="14" t="s">
        <v>60</v>
      </c>
    </row>
    <row r="1135" spans="1:24" ht="15" x14ac:dyDescent="0.3">
      <c r="A1135" s="3">
        <v>33</v>
      </c>
      <c r="B1135" s="3" t="s">
        <v>8403</v>
      </c>
      <c r="C1135" s="14" t="s">
        <v>0</v>
      </c>
      <c r="D1135" s="14" t="s">
        <v>2728</v>
      </c>
      <c r="E1135" s="14" t="s">
        <v>4195</v>
      </c>
      <c r="F1135" s="14" t="s">
        <v>2729</v>
      </c>
      <c r="G1135" s="14" t="s">
        <v>3</v>
      </c>
      <c r="H1135" s="14" t="s">
        <v>8404</v>
      </c>
      <c r="I1135" s="14" t="s">
        <v>2730</v>
      </c>
      <c r="J1135" s="14" t="s">
        <v>60</v>
      </c>
      <c r="K1135" s="14" t="s">
        <v>60</v>
      </c>
      <c r="L1135" s="14" t="s">
        <v>60</v>
      </c>
      <c r="M1135" s="14" t="s">
        <v>2731</v>
      </c>
      <c r="N1135" s="14" t="s">
        <v>60</v>
      </c>
      <c r="O1135" s="14" t="s">
        <v>60</v>
      </c>
      <c r="P1135" s="14" t="s">
        <v>8405</v>
      </c>
      <c r="Q1135" s="14" t="s">
        <v>11</v>
      </c>
      <c r="R1135" s="3">
        <v>0</v>
      </c>
      <c r="S1135" s="3">
        <f t="shared" si="59"/>
        <v>550</v>
      </c>
      <c r="T1135" s="3">
        <f t="shared" si="60"/>
        <v>0</v>
      </c>
      <c r="U1135" s="3" t="s">
        <v>60</v>
      </c>
      <c r="V1135" s="14" t="s">
        <v>6</v>
      </c>
      <c r="W1135" s="14" t="s">
        <v>8213</v>
      </c>
      <c r="X1135" s="14" t="s">
        <v>60</v>
      </c>
    </row>
    <row r="1136" spans="1:24" ht="15" x14ac:dyDescent="0.3">
      <c r="A1136" s="3">
        <v>34</v>
      </c>
      <c r="B1136" s="3" t="s">
        <v>8406</v>
      </c>
      <c r="C1136" s="14" t="s">
        <v>0</v>
      </c>
      <c r="D1136" s="14" t="s">
        <v>2732</v>
      </c>
      <c r="E1136" s="14" t="s">
        <v>5008</v>
      </c>
      <c r="F1136" s="14" t="s">
        <v>2733</v>
      </c>
      <c r="G1136" s="14" t="s">
        <v>3</v>
      </c>
      <c r="H1136" s="14" t="s">
        <v>8407</v>
      </c>
      <c r="I1136" s="14" t="s">
        <v>2734</v>
      </c>
      <c r="J1136" s="14" t="s">
        <v>60</v>
      </c>
      <c r="K1136" s="14" t="s">
        <v>60</v>
      </c>
      <c r="L1136" s="14" t="s">
        <v>60</v>
      </c>
      <c r="M1136" s="14" t="s">
        <v>2735</v>
      </c>
      <c r="N1136" s="14" t="s">
        <v>60</v>
      </c>
      <c r="O1136" s="14" t="s">
        <v>60</v>
      </c>
      <c r="P1136" s="14" t="s">
        <v>8408</v>
      </c>
      <c r="Q1136" s="14" t="s">
        <v>11</v>
      </c>
      <c r="R1136" s="3">
        <v>0</v>
      </c>
      <c r="S1136" s="3">
        <f t="shared" si="59"/>
        <v>550</v>
      </c>
      <c r="T1136" s="3">
        <f t="shared" si="60"/>
        <v>0</v>
      </c>
      <c r="U1136" s="3" t="s">
        <v>60</v>
      </c>
      <c r="V1136" s="14" t="s">
        <v>6</v>
      </c>
      <c r="W1136" s="14" t="s">
        <v>8213</v>
      </c>
      <c r="X1136" s="14" t="s">
        <v>60</v>
      </c>
    </row>
    <row r="1137" spans="1:24" ht="15" x14ac:dyDescent="0.3">
      <c r="A1137" s="3">
        <v>35</v>
      </c>
      <c r="B1137" s="3" t="s">
        <v>8409</v>
      </c>
      <c r="C1137" s="14" t="s">
        <v>0</v>
      </c>
      <c r="D1137" s="14" t="s">
        <v>2736</v>
      </c>
      <c r="E1137" s="14" t="s">
        <v>4308</v>
      </c>
      <c r="F1137" s="14" t="s">
        <v>2737</v>
      </c>
      <c r="G1137" s="14" t="s">
        <v>3</v>
      </c>
      <c r="H1137" s="14" t="s">
        <v>8410</v>
      </c>
      <c r="I1137" s="14" t="s">
        <v>2738</v>
      </c>
      <c r="J1137" s="14" t="s">
        <v>60</v>
      </c>
      <c r="K1137" s="14" t="s">
        <v>60</v>
      </c>
      <c r="L1137" s="14" t="s">
        <v>60</v>
      </c>
      <c r="M1137" s="14" t="s">
        <v>2739</v>
      </c>
      <c r="N1137" s="14" t="s">
        <v>60</v>
      </c>
      <c r="O1137" s="14" t="s">
        <v>60</v>
      </c>
      <c r="P1137" s="14" t="s">
        <v>8411</v>
      </c>
      <c r="Q1137" s="14" t="s">
        <v>11</v>
      </c>
      <c r="R1137" s="3">
        <v>0</v>
      </c>
      <c r="S1137" s="3">
        <f t="shared" si="59"/>
        <v>550</v>
      </c>
      <c r="T1137" s="3">
        <f t="shared" si="60"/>
        <v>0</v>
      </c>
      <c r="U1137" s="3" t="s">
        <v>60</v>
      </c>
      <c r="V1137" s="14" t="s">
        <v>6</v>
      </c>
      <c r="W1137" s="14" t="s">
        <v>8213</v>
      </c>
      <c r="X1137" s="14" t="s">
        <v>60</v>
      </c>
    </row>
    <row r="1138" spans="1:24" ht="15.6" x14ac:dyDescent="0.3">
      <c r="A1138" s="26" t="s">
        <v>60</v>
      </c>
      <c r="B1138" s="26" t="s">
        <v>60</v>
      </c>
      <c r="C1138" s="27" t="s">
        <v>60</v>
      </c>
      <c r="D1138" s="27" t="s">
        <v>60</v>
      </c>
      <c r="E1138" s="27" t="s">
        <v>60</v>
      </c>
      <c r="F1138" s="27" t="s">
        <v>60</v>
      </c>
      <c r="G1138" s="27" t="s">
        <v>60</v>
      </c>
      <c r="H1138" s="27" t="s">
        <v>60</v>
      </c>
      <c r="I1138" s="27" t="s">
        <v>60</v>
      </c>
      <c r="J1138" s="27" t="s">
        <v>60</v>
      </c>
      <c r="K1138" s="27" t="s">
        <v>60</v>
      </c>
      <c r="L1138" s="27" t="s">
        <v>60</v>
      </c>
      <c r="M1138" s="27" t="s">
        <v>60</v>
      </c>
      <c r="N1138" s="27" t="s">
        <v>60</v>
      </c>
      <c r="O1138" s="27" t="s">
        <v>60</v>
      </c>
      <c r="P1138" s="27" t="s">
        <v>60</v>
      </c>
      <c r="Q1138" s="27" t="s">
        <v>60</v>
      </c>
      <c r="R1138" s="35" t="s">
        <v>2009</v>
      </c>
      <c r="S1138" s="35" t="s">
        <v>60</v>
      </c>
      <c r="T1138" s="26">
        <f>SUM(T1102:T1137)</f>
        <v>0</v>
      </c>
      <c r="U1138" s="26" t="s">
        <v>8412</v>
      </c>
      <c r="V1138" s="27" t="s">
        <v>60</v>
      </c>
      <c r="W1138" s="27" t="s">
        <v>60</v>
      </c>
      <c r="X1138" s="27" t="s">
        <v>60</v>
      </c>
    </row>
    <row r="1139" spans="1:24" x14ac:dyDescent="0.3">
      <c r="T1139">
        <f>T81+T168+T208+T246+T314+T429+T471+T507+T526+T414+T590+T633+T666+T700+T737+T834+T847+T864+T918+T955+T1024+T1063+T1100+T1138</f>
        <v>0</v>
      </c>
    </row>
  </sheetData>
  <mergeCells count="48">
    <mergeCell ref="A430:X430"/>
    <mergeCell ref="A247:X247"/>
    <mergeCell ref="A1:X1"/>
    <mergeCell ref="R81:S81"/>
    <mergeCell ref="A82:X82"/>
    <mergeCell ref="R314:S314"/>
    <mergeCell ref="A315:X315"/>
    <mergeCell ref="R414:S414"/>
    <mergeCell ref="A415:X415"/>
    <mergeCell ref="R429:S429"/>
    <mergeCell ref="A848:X848"/>
    <mergeCell ref="R864:S864"/>
    <mergeCell ref="A865:X865"/>
    <mergeCell ref="A701:X701"/>
    <mergeCell ref="A527:X527"/>
    <mergeCell ref="R590:S590"/>
    <mergeCell ref="A591:X591"/>
    <mergeCell ref="R737:S737"/>
    <mergeCell ref="A738:X738"/>
    <mergeCell ref="R834:S834"/>
    <mergeCell ref="A835:X835"/>
    <mergeCell ref="R847:S847"/>
    <mergeCell ref="R168:S168"/>
    <mergeCell ref="A169:X169"/>
    <mergeCell ref="R208:S208"/>
    <mergeCell ref="A209:X209"/>
    <mergeCell ref="R246:S246"/>
    <mergeCell ref="R471:S471"/>
    <mergeCell ref="A472:X472"/>
    <mergeCell ref="R507:S507"/>
    <mergeCell ref="A508:X508"/>
    <mergeCell ref="R526:S526"/>
    <mergeCell ref="R1138:S1138"/>
    <mergeCell ref="R633:S633"/>
    <mergeCell ref="A634:X634"/>
    <mergeCell ref="R666:S666"/>
    <mergeCell ref="A667:X667"/>
    <mergeCell ref="R700:S700"/>
    <mergeCell ref="R1024:S1024"/>
    <mergeCell ref="A1025:X1025"/>
    <mergeCell ref="R1063:S1063"/>
    <mergeCell ref="A1064:X1064"/>
    <mergeCell ref="R1100:S1100"/>
    <mergeCell ref="A1101:X1101"/>
    <mergeCell ref="R918:S918"/>
    <mergeCell ref="A919:X919"/>
    <mergeCell ref="R955:S955"/>
    <mergeCell ref="A956:X956"/>
  </mergeCells>
  <conditionalFormatting sqref="A1089:B1089">
    <cfRule type="duplicateValues" dxfId="17" priority="18"/>
  </conditionalFormatting>
  <conditionalFormatting sqref="B209:B244 B246">
    <cfRule type="duplicateValues" dxfId="16" priority="1"/>
  </conditionalFormatting>
  <conditionalFormatting sqref="D230">
    <cfRule type="duplicateValues" dxfId="15" priority="2"/>
  </conditionalFormatting>
  <conditionalFormatting sqref="D728">
    <cfRule type="duplicateValues" dxfId="14" priority="6"/>
  </conditionalFormatting>
  <conditionalFormatting sqref="D1016">
    <cfRule type="duplicateValues" dxfId="13" priority="10"/>
  </conditionalFormatting>
  <conditionalFormatting sqref="D1089">
    <cfRule type="duplicateValues" dxfId="12" priority="14"/>
  </conditionalFormatting>
  <conditionalFormatting sqref="J1089:M1089">
    <cfRule type="containsBlanks" dxfId="11" priority="16">
      <formula>LEN(TRIM(J1089))=0</formula>
    </cfRule>
  </conditionalFormatting>
  <conditionalFormatting sqref="M230:O230">
    <cfRule type="containsBlanks" dxfId="10" priority="4">
      <formula>LEN(TRIM(M230))=0</formula>
    </cfRule>
  </conditionalFormatting>
  <conditionalFormatting sqref="M728:O728">
    <cfRule type="containsBlanks" dxfId="9" priority="8">
      <formula>LEN(TRIM(M728))=0</formula>
    </cfRule>
  </conditionalFormatting>
  <conditionalFormatting sqref="N1016:P1016">
    <cfRule type="containsBlanks" dxfId="8" priority="13">
      <formula>LEN(TRIM(N1016))=0</formula>
    </cfRule>
  </conditionalFormatting>
  <conditionalFormatting sqref="P230">
    <cfRule type="duplicateValues" dxfId="7" priority="3"/>
    <cfRule type="duplicateValues" dxfId="6" priority="5"/>
  </conditionalFormatting>
  <conditionalFormatting sqref="P728">
    <cfRule type="duplicateValues" dxfId="5" priority="7"/>
    <cfRule type="duplicateValues" dxfId="4" priority="9"/>
  </conditionalFormatting>
  <conditionalFormatting sqref="P1016">
    <cfRule type="duplicateValues" dxfId="3" priority="11"/>
  </conditionalFormatting>
  <conditionalFormatting sqref="P1089">
    <cfRule type="duplicateValues" dxfId="2" priority="15"/>
    <cfRule type="duplicateValues" dxfId="1" priority="17"/>
  </conditionalFormatting>
  <conditionalFormatting sqref="Q1016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2B48-5095-456D-BE74-256708CA44B0}">
  <dimension ref="A1"/>
  <sheetViews>
    <sheetView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DAY</vt:lpstr>
      <vt:lpstr>MASTERLIST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LALNEIHKIMA</dc:creator>
  <cp:lastModifiedBy>AB LALNEIHKIMA</cp:lastModifiedBy>
  <cp:lastPrinted>2026-08-22T12:17:51Z</cp:lastPrinted>
  <dcterms:created xsi:type="dcterms:W3CDTF">2026-06-19T13:56:20Z</dcterms:created>
  <dcterms:modified xsi:type="dcterms:W3CDTF">2026-10-11T03:12:16Z</dcterms:modified>
</cp:coreProperties>
</file>